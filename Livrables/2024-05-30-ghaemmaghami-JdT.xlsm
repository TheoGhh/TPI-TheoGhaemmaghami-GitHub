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Documents\GitHub\TPI-TheoGhaemmaghami-GitHub\Livrables\"/>
    </mc:Choice>
  </mc:AlternateContent>
  <xr:revisionPtr revIDLastSave="0" documentId="13_ncr:1_{5B810821-542C-4316-BA52-58D0DCF39C78}" xr6:coauthVersionLast="47" xr6:coauthVersionMax="47" xr10:uidLastSave="{00000000-0000-0000-0000-000000000000}"/>
  <bookViews>
    <workbookView xWindow="0" yWindow="600" windowWidth="21900" windowHeight="150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B72" i="12"/>
  <c r="C71" i="12"/>
  <c r="C70" i="12"/>
  <c r="C69" i="12"/>
  <c r="C68" i="12"/>
  <c r="B84" i="12"/>
  <c r="C83" i="12"/>
  <c r="C82" i="12"/>
  <c r="C81" i="12"/>
  <c r="C80" i="12"/>
  <c r="C79" i="12"/>
  <c r="C78" i="12"/>
  <c r="B96" i="12"/>
  <c r="C95" i="12"/>
  <c r="C94" i="12"/>
  <c r="C93" i="12"/>
  <c r="C92" i="12"/>
  <c r="C91" i="12"/>
  <c r="B108" i="12"/>
  <c r="C107" i="12"/>
  <c r="C106" i="12"/>
  <c r="C105" i="12"/>
  <c r="B120" i="12"/>
  <c r="C119" i="12"/>
  <c r="C118" i="12"/>
  <c r="C117" i="12"/>
  <c r="C116" i="12"/>
  <c r="B132" i="12"/>
  <c r="C131" i="12"/>
  <c r="C130" i="12"/>
  <c r="C129" i="12"/>
  <c r="C128"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56" i="12"/>
  <c r="C55" i="12"/>
  <c r="C54" i="12"/>
  <c r="C53" i="12"/>
  <c r="C52" i="12"/>
  <c r="C173" i="10"/>
  <c r="D16" i="1"/>
  <c r="D42" i="1"/>
  <c r="D24" i="1"/>
  <c r="D49" i="1"/>
  <c r="C245" i="12"/>
  <c r="C321" i="12"/>
  <c r="C185" i="10"/>
  <c r="C319" i="10"/>
  <c r="D47" i="1"/>
  <c r="C233" i="12"/>
  <c r="C236" i="12"/>
  <c r="D51" i="1"/>
  <c r="C280" i="12"/>
  <c r="D27" i="1"/>
  <c r="D62" i="1"/>
  <c r="C228" i="12"/>
  <c r="C160" i="10"/>
  <c r="C113" i="10"/>
  <c r="C5" i="10"/>
  <c r="D40" i="1"/>
  <c r="C24" i="10"/>
  <c r="C96" i="10"/>
  <c r="C216" i="10"/>
  <c r="C233" i="10"/>
  <c r="C240" i="12"/>
  <c r="C196" i="10"/>
  <c r="C40" i="10"/>
  <c r="C209" i="12"/>
  <c r="C113" i="12"/>
  <c r="D18" i="1"/>
  <c r="D82" i="1"/>
  <c r="C197" i="10"/>
  <c r="C268" i="10"/>
  <c r="C198" i="12"/>
  <c r="C148" i="12"/>
  <c r="C4" i="10"/>
  <c r="C102" i="12"/>
  <c r="C89" i="12"/>
  <c r="D66" i="1"/>
  <c r="D92" i="1"/>
  <c r="D90" i="1"/>
  <c r="D73" i="1"/>
  <c r="C137" i="10"/>
  <c r="C294" i="12"/>
  <c r="C192" i="10"/>
  <c r="C276" i="12"/>
  <c r="C260" i="10"/>
  <c r="C36" i="12"/>
  <c r="D56" i="1"/>
  <c r="C186" i="12"/>
  <c r="C136" i="10"/>
  <c r="D63" i="1"/>
  <c r="D22" i="1"/>
  <c r="C320" i="10"/>
  <c r="C324" i="12"/>
  <c r="D21" i="1"/>
  <c r="C316" i="12"/>
  <c r="C17" i="10"/>
  <c r="C11" i="15"/>
  <c r="C283" i="12"/>
  <c r="D81" i="1"/>
  <c r="C252" i="10"/>
  <c r="C294" i="10"/>
  <c r="D36" i="1"/>
  <c r="C324" i="10"/>
  <c r="C138" i="10"/>
  <c r="D80" i="1"/>
  <c r="C258" i="12"/>
  <c r="D77" i="1"/>
  <c r="C244" i="12"/>
  <c r="C149" i="10"/>
  <c r="D93" i="1"/>
  <c r="C235" i="12"/>
  <c r="C292" i="12"/>
  <c r="C260" i="12"/>
  <c r="C6" i="10"/>
  <c r="C172" i="10"/>
  <c r="D64" i="1"/>
  <c r="D55" i="1"/>
  <c r="C29" i="10"/>
  <c r="D37" i="1"/>
  <c r="C300" i="12"/>
  <c r="C125" i="12"/>
  <c r="C132" i="12"/>
  <c r="C101" i="12"/>
  <c r="C88" i="12"/>
  <c r="D60" i="1"/>
  <c r="C96" i="12"/>
  <c r="C216" i="12"/>
  <c r="D28" i="1"/>
  <c r="C108" i="12"/>
  <c r="C112" i="10"/>
  <c r="C65" i="12"/>
  <c r="C152" i="12"/>
  <c r="C306" i="12"/>
  <c r="C317" i="10"/>
  <c r="C222" i="10"/>
  <c r="D94" i="1"/>
  <c r="C264" i="12"/>
  <c r="D68" i="1"/>
  <c r="D34" i="1"/>
  <c r="C261" i="10"/>
  <c r="C12" i="12"/>
  <c r="C281" i="10"/>
  <c r="D33" i="1"/>
  <c r="D61" i="1"/>
  <c r="C139" i="12"/>
  <c r="C199" i="12"/>
  <c r="C307" i="12"/>
  <c r="C317" i="12"/>
  <c r="C282" i="12"/>
  <c r="D89" i="1"/>
  <c r="C270" i="10"/>
  <c r="D39" i="1"/>
  <c r="C232" i="12"/>
  <c r="C168" i="12"/>
  <c r="C115" i="12"/>
  <c r="D50" i="1"/>
  <c r="C244" i="10"/>
  <c r="C114" i="10"/>
  <c r="C172" i="12"/>
  <c r="C276" i="10"/>
  <c r="C173" i="12"/>
  <c r="D38" i="1"/>
  <c r="D52" i="1"/>
  <c r="C222" i="12"/>
  <c r="C262" i="12"/>
  <c r="C245" i="10"/>
  <c r="C312" i="12"/>
  <c r="D26" i="1"/>
  <c r="C318" i="10"/>
  <c r="C125" i="10"/>
  <c r="C16" i="10"/>
  <c r="C151" i="12"/>
  <c r="C162" i="10"/>
  <c r="D31" i="1"/>
  <c r="D53" i="1"/>
  <c r="C168" i="10"/>
  <c r="C100" i="12"/>
  <c r="C48" i="10"/>
  <c r="C174" i="10"/>
  <c r="D20" i="1"/>
  <c r="C112" i="12"/>
  <c r="D74" i="1"/>
  <c r="C316" i="10"/>
  <c r="C144" i="10"/>
  <c r="C67" i="12"/>
  <c r="C126" i="12"/>
  <c r="C304" i="12"/>
  <c r="C72" i="12"/>
  <c r="C204" i="12"/>
  <c r="C60" i="12"/>
  <c r="C150" i="10"/>
  <c r="C161" i="10"/>
  <c r="C320" i="12"/>
  <c r="C247" i="10"/>
  <c r="C28" i="10"/>
  <c r="C127" i="12"/>
  <c r="D54" i="1"/>
  <c r="D91" i="1"/>
  <c r="D46" i="1"/>
  <c r="C101" i="10"/>
  <c r="C280" i="10"/>
  <c r="D88" i="1"/>
  <c r="C187" i="12"/>
  <c r="C221" i="10"/>
  <c r="C148" i="10"/>
  <c r="C160" i="12"/>
  <c r="C162" i="12"/>
  <c r="D71" i="1"/>
  <c r="C271" i="12"/>
  <c r="C210" i="12"/>
  <c r="C144" i="12"/>
  <c r="C180" i="12"/>
  <c r="C259" i="10"/>
  <c r="C293" i="12"/>
  <c r="C259" i="12"/>
  <c r="C256" i="12"/>
  <c r="C272" i="12"/>
  <c r="C114" i="12"/>
  <c r="D44" i="1"/>
  <c r="C156" i="10"/>
  <c r="D76" i="1"/>
  <c r="C221" i="12"/>
  <c r="D84" i="1"/>
  <c r="C153" i="12"/>
  <c r="C100" i="10"/>
  <c r="C268" i="12"/>
  <c r="C305" i="12"/>
  <c r="C104" i="12"/>
  <c r="C257" i="12"/>
  <c r="C288" i="10"/>
  <c r="C76" i="12"/>
  <c r="C11" i="16"/>
  <c r="C102" i="10"/>
  <c r="D17" i="1"/>
  <c r="C180" i="10"/>
  <c r="C48" i="12"/>
  <c r="C88" i="10"/>
  <c r="C53" i="10"/>
  <c r="C161" i="12"/>
  <c r="C137" i="12"/>
  <c r="C136" i="12"/>
  <c r="D72" i="1"/>
  <c r="C64" i="10"/>
  <c r="C72" i="10"/>
  <c r="C234" i="10"/>
  <c r="C232" i="10"/>
  <c r="D19" i="1"/>
  <c r="C174" i="12"/>
  <c r="C252" i="12"/>
  <c r="D41" i="1"/>
  <c r="C319" i="12"/>
  <c r="D75" i="1"/>
  <c r="C256" i="10"/>
  <c r="C312" i="10"/>
  <c r="C318" i="12"/>
  <c r="C89" i="10"/>
  <c r="D59" i="1"/>
  <c r="C120" i="12"/>
  <c r="C237" i="12"/>
  <c r="C24" i="12"/>
  <c r="C300" i="10"/>
  <c r="D45" i="1"/>
  <c r="C220" i="12"/>
  <c r="C284" i="12"/>
  <c r="C257" i="10"/>
  <c r="D67" i="1"/>
  <c r="C12" i="10"/>
  <c r="D70" i="1"/>
  <c r="C90" i="12"/>
  <c r="C66" i="12"/>
  <c r="D58" i="1"/>
  <c r="D85" i="1"/>
  <c r="D65" i="1"/>
  <c r="C52" i="10"/>
  <c r="C246" i="10"/>
  <c r="C248" i="10"/>
  <c r="C220" i="10"/>
  <c r="D78" i="1"/>
  <c r="C77" i="12"/>
  <c r="D25" i="1"/>
  <c r="D87" i="1"/>
  <c r="C204" i="10"/>
  <c r="C196" i="12"/>
  <c r="D48" i="1"/>
  <c r="C185" i="12"/>
  <c r="D23" i="1"/>
  <c r="C292" i="10"/>
  <c r="C258" i="10"/>
  <c r="C103" i="12"/>
  <c r="C208" i="10"/>
  <c r="C261" i="12"/>
  <c r="C269" i="10"/>
  <c r="C41" i="10"/>
  <c r="D29" i="1"/>
  <c r="C65" i="10"/>
  <c r="C151" i="10"/>
  <c r="C138" i="12"/>
  <c r="C297" i="12"/>
  <c r="C184" i="10"/>
  <c r="C76" i="10"/>
  <c r="C264" i="10"/>
  <c r="C234" i="12"/>
  <c r="C247" i="12"/>
  <c r="C163" i="10"/>
  <c r="C293" i="10"/>
  <c r="C124" i="12"/>
  <c r="D69" i="1"/>
  <c r="C228" i="10"/>
  <c r="D79" i="1"/>
  <c r="C209" i="10"/>
  <c r="C77" i="10"/>
  <c r="C192" i="12"/>
  <c r="C150" i="12"/>
  <c r="C197" i="12"/>
  <c r="C184" i="12"/>
  <c r="C223" i="10"/>
  <c r="C282" i="10"/>
  <c r="C108" i="10"/>
  <c r="C296" i="12"/>
  <c r="C270" i="12"/>
  <c r="C269" i="12"/>
  <c r="C84" i="12"/>
  <c r="C156" i="12"/>
  <c r="C304" i="10"/>
  <c r="C64" i="12"/>
  <c r="C288" i="12"/>
  <c r="C175" i="10"/>
  <c r="D30" i="1"/>
  <c r="D86" i="1"/>
  <c r="C84" i="10"/>
  <c r="C295" i="12"/>
  <c r="C212" i="12"/>
  <c r="C60" i="10"/>
  <c r="C120" i="10"/>
  <c r="C211" i="12"/>
  <c r="D15" i="1"/>
  <c r="D35" i="1"/>
  <c r="C36" i="10"/>
  <c r="D32" i="1"/>
  <c r="C210" i="10"/>
  <c r="C124" i="10"/>
  <c r="D83" i="1"/>
  <c r="C132" i="10"/>
  <c r="C281" i="12"/>
  <c r="C305" i="10"/>
  <c r="C186" i="10"/>
  <c r="D43" i="1"/>
  <c r="C149" i="12"/>
  <c r="C208" i="12"/>
  <c r="C240" i="10"/>
  <c r="D57"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<sst xmlns="http://schemas.openxmlformats.org/spreadsheetml/2006/main" count="1300" uniqueCount="220">
  <si>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</si>
  <si>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</si>
  <si>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</si>
  <si>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</si>
  <si>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</si>
  <si>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</si>
  <si>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</si>
  <si>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</si>
  <si>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</si>
  <si>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</si>
  <si>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</si>
  <si>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</si>
  <si>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</si>
  <si>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</si>
  <si>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</si>
  <si>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</si>
  <si>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</si>
  <si>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</si>
  <si>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</si>
  <si>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</si>
  <si>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</si>
  <si>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</si>
  <si>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</si>
  <si>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</si>
  <si>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</si>
  <si>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</si>
  <si>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</si>
  <si>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</si>
  <si>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</si>
  <si>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</si>
  <si>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</si>
  <si>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</si>
  <si>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</si>
  <si>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</si>
  <si>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</si>
  <si>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</si>
  <si>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</si>
  <si>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</si>
  <si>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</si>
  <si>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</si>
  <si>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</si>
  <si>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</si>
  <si>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</si>
  <si>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</si>
  <si>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</si>
  <si>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</si>
  <si>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</si>
  <si>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</si>
  <si>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</si>
  <si>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</si>
  <si>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</si>
  <si>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</si>
  <si>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</si>
  <si>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</si>
  <si>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</si>
  <si>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</si>
  <si>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</si>
  <si>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</si>
  <si>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</si>
  <si>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</si>
  <si>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</si>
  <si>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</si>
  <si>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</si>
  <si>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</si>
  <si>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</si>
  <si>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</si>
  <si>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</si>
  <si>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</si>
  <si>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</si>
  <si>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</si>
  <si>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</si>
  <si>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</si>
  <si>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</si>
  <si>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</si>
  <si>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</si>
  <si>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</si>
  <si>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</si>
  <si>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</si>
  <si>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</si>
  <si>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</si>
  <si>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</si>
  <si>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</si>
  <si>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</si>
  <si>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</si>
  <si>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</si>
  <si>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</si>
  <si>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</si>
  <si>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</si>
  <si>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</si>
  <si>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</si>
  <si>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</si>
  <si>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</si>
  <si>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</si>
  <si>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</si>
  <si>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</si>
  <si>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</si>
  <si>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</si>
  <si>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</si>
  <si>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</si>
  <si>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</si>
  <si>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</si>
  <si>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</si>
  <si>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</si>
  <si>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</si>
  <si>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</si>
  <si>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</si>
  <si>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</si>
  <si>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</si>
  <si>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</si>
  <si>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</si>
  <si>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</si>
  <si>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</si>
  <si>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</si>
  <si>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</si>
  <si>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</si>
  <si>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</si>
  <si>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</si>
  <si>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</si>
  <si>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</si>
  <si>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</si>
  <si>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</si>
  <si>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</si>
  <si>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</si>
  <si>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</si>
  <si>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</si>
  <si>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</si>
  <si>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</si>
  <si>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</si>
  <si>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</si>
  <si>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</si>
  <si>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</si>
  <si>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</si>
  <si>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</si>
  <si>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</si>
  <si>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</si>
  <si>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</si>
  <si>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</si>
  <si>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</si>
  <si>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</si>
  <si>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</si>
  <si>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</si>
  <si>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</si>
  <si>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</si>
  <si>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</si>
  <si>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</si>
  <si>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</si>
  <si>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</si>
  <si>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</si>
  <si>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</si>
  <si>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</si>
  <si>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</si>
  <si>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</si>
  <si>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</si>
  <si>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</si>
  <si>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</si>
  <si>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</si>
  <si>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</si>
  <si>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</si>
  <si>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</si>
  <si>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</si>
  <si>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</si>
  <si>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</si>
  <si>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</si>
  <si>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</si>
  <si>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</si>
  <si>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</si>
  <si>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</si>
  <si>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</si>
  <si>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</si>
  <si>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</si>
  <si>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</si>
  <si>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</si>
  <si>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</si>
  <si>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</si>
  <si>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</si>
  <si>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</si>
  <si>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</si>
  <si>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</si>
  <si>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</si>
  <si>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</si>
  <si>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</si>
  <si>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</si>
  <si>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</si>
  <si>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</si>
  <si>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</si>
  <si>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</si>
  <si>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</si>
  <si>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</si>
  <si>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</si>
  <si>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</si>
  <si>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</si>
  <si>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</si>
  <si>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</si>
  <si>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</si>
  <si>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</si>
  <si>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</si>
  <si>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</si>
  <si>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</si>
  <si>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</si>
  <si>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</si>
  <si>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</si>
  <si>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</si>
  <si>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</si>
  <si>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</si>
  <si>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</si>
  <si>
    <t xml:space="preserve">Impression du rapport pour Monsieur Chenaux </t>
  </si>
  <si>
    <t xml:space="preserve">Refonte de l'application entière afin d'optimiser, d'homogénéiser le code. </t>
  </si>
  <si>
    <t xml:space="preserve">Aide à un camarade </t>
  </si>
  <si>
    <t>Aide à un camarade</t>
  </si>
  <si>
    <t>Suite de la refonte de l'application :
Transmission de l'ID de l'utilisateur connecté d'une vue à une autre</t>
  </si>
  <si>
    <t>Changement du MVC : 
La vue "AddTaskView" n'avait pas accès au Contrôleur "MyTaskController", j'ai donc changé les dépendances de mes composants et revu ma manière MVC : Les contrôleurs ont besoin et ont accès uniquement au modèle, les vues ont besoin et ont accès uniquement au contrôleur.</t>
  </si>
  <si>
    <t>Implémentation du Drag &amp; Drop et du stockage de l'image dans une tâche.</t>
  </si>
  <si>
    <t>https://www.base-de-donnees.com/mld/
https://www.techno-science.net/definition/739.html
https://ineumann.developpez.com/tutoriels/merise/initiation-merise/
https://fr.wikipedia.org/wiki/Merise_(informatique)</t>
  </si>
  <si>
    <t xml:space="preserve">Rédaction du rapport
</t>
  </si>
  <si>
    <t>Implémentation de l'affichage des tâches dans l'interface principale : fonctionnel mais doit maintenant fonctionner avec les colonnes (affichage dans les colonnes)</t>
  </si>
  <si>
    <t xml:space="preserve">Implémentation de l'affichage des tâches dans l'interface principale : (en cours!) </t>
  </si>
  <si>
    <t>Refonte du code : Implémentation des colonnes dans l'interface principale et affichage des tâches dans les colonnes</t>
  </si>
  <si>
    <t>Implémentation des colonnes, correction de bugs (d'affichage)</t>
  </si>
  <si>
    <t>Correction de bugs, notamment lors de l'ajout et de la suppression de colonnes (mauvais positionnement, compteur de colonnes)</t>
  </si>
  <si>
    <t>Amélioration de la gestion des erreurs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</si>
</sst>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Border="1" applyAlignment="1" applyProtection="1">
      <alignment horizontal="center" vertical="top" wrapText="1"/>
      <protection locked="0"/>
    </xf>
    <xf numFmtId="0" fontId="0" fillId="0" borderId="0" xfId="0"/>
    <xf numFmtId="0" fontId="0" fillId="0" borderId="32" xfId="0"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applyAlignment="1">
      <alignment horizontal="center" wrapText="1"/>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7h30min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75"/>
    </row>
    <row r="11" spans="1:1926" ht="20.100000000000001" customHeight="1" x14ac:dyDescent="0.25">
      <c r="B11" s="53"/>
      <c r="C11" s="192"/>
      <c r="D11" s="192"/>
      <c r="E11" s="192"/>
      <c r="F11" s="195" t="s">
        <v>69</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69</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107</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107</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105</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102</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102</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99</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99</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96</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96</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94</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91</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91</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88</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88</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85</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85</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82</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82</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80</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77</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77</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74</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74</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71</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71</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75"/>
    </row>
    <row r="12" spans="1:192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75"/>
    </row>
    <row r="13" spans="1:192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106</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104</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103</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101</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100</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98</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97</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95</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93</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92</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90</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89</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87</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86</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84</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83</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81</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79</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78</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76</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75</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73</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72</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70</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75"/>
    </row>
    <row r="14" spans="1:192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5"/>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6"/>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6"/>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6"/>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5"/>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98" t="s">
        <v>10</v>
      </c>
      <c r="D97" s="19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0"/>
      <c r="D98" s="20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8" activePane="bottomLeft" state="frozen"/>
      <selection activeCell="BC13" sqref="BC13"/>
      <selection pane="bottomLeft" activeCell="D83" sqref="D83"/>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16</v>
      </c>
      <c r="C4" s="135" t="str">
        <f xml:space="preserve"> IF(B4="","",setValueToTime(B4))</f>
        <v>1h20min</v>
      </c>
      <c r="D4" s="43" t="s">
        <v>55</v>
      </c>
      <c r="E4" s="208"/>
      <c r="F4" s="209"/>
      <c r="G4" s="3"/>
    </row>
    <row r="5" spans="1:7" s="44" customFormat="1" x14ac:dyDescent="0.3">
      <c r="A5" s="45" t="s">
        <v>17</v>
      </c>
      <c r="B5" s="46">
        <v>6</v>
      </c>
      <c r="C5" s="136" t="str">
        <f t="shared" ref="C5:C11" si="0" xml:space="preserve"> IF(B5="","",setValueToTime(B5))</f>
        <v>0h30min</v>
      </c>
      <c r="D5" s="47" t="s">
        <v>53</v>
      </c>
      <c r="E5" s="210"/>
      <c r="F5" s="211"/>
      <c r="G5" s="3"/>
    </row>
    <row r="6" spans="1:7" s="44" customFormat="1" x14ac:dyDescent="0.3">
      <c r="A6" s="45" t="s">
        <v>111</v>
      </c>
      <c r="B6" s="46">
        <v>6</v>
      </c>
      <c r="C6" s="136" t="str">
        <f t="shared" si="0"/>
        <v>0h30min</v>
      </c>
      <c r="D6" s="47" t="s">
        <v>142</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55</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55</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55</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55</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x14ac:dyDescent="0.3">
      <c r="A64" s="41" t="s">
        <v>16</v>
      </c>
      <c r="B64" s="42">
        <v>47</v>
      </c>
      <c r="C64" s="135" t="str">
        <f xml:space="preserve"> IF(B64="","",setValueToTime(B64))</f>
        <v>3h55min</v>
      </c>
      <c r="D64" s="43" t="s">
        <v>55</v>
      </c>
      <c r="E64" s="208"/>
      <c r="F64" s="209"/>
      <c r="G64" s="3"/>
    </row>
    <row r="65" spans="1:7" s="44" customFormat="1" x14ac:dyDescent="0.3">
      <c r="A65" s="45" t="s">
        <v>17</v>
      </c>
      <c r="B65" s="46">
        <v>1</v>
      </c>
      <c r="C65" s="136" t="str">
        <f t="shared" ref="C65:C71" si="5" xml:space="preserve"> IF(B65="","",setValueToTime(B65))</f>
        <v>0h5min</v>
      </c>
      <c r="D65" s="47" t="s">
        <v>53</v>
      </c>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t="s">
        <v>16</v>
      </c>
      <c r="B76" s="42">
        <v>27</v>
      </c>
      <c r="C76" s="135" t="str">
        <f xml:space="preserve"> IF(B76="","",setValueToTime(B76))</f>
        <v>2h15min</v>
      </c>
      <c r="D76" s="43" t="s">
        <v>55</v>
      </c>
      <c r="E76" s="208"/>
      <c r="F76" s="209"/>
      <c r="G76" s="3"/>
    </row>
    <row r="77" spans="1:7" s="44" customFormat="1" x14ac:dyDescent="0.3">
      <c r="A77" s="45" t="s">
        <v>17</v>
      </c>
      <c r="B77" s="46">
        <v>1</v>
      </c>
      <c r="C77" s="136" t="str">
        <f t="shared" ref="C77:C83" si="6" xml:space="preserve"> IF(B77="","",setValueToTime(B77))</f>
        <v>0h5min</v>
      </c>
      <c r="D77" s="47"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t="s">
        <v>65</v>
      </c>
      <c r="B88" s="42">
        <v>27</v>
      </c>
      <c r="C88" s="135" t="str">
        <f xml:space="preserve"> IF(B88="","",setValueToTime(B88))</f>
        <v>2h15min</v>
      </c>
      <c r="D88" s="43" t="s">
        <v>139</v>
      </c>
      <c r="E88" s="208"/>
      <c r="F88" s="209"/>
      <c r="G88" s="3"/>
    </row>
    <row r="89" spans="1:7" s="44" customFormat="1" x14ac:dyDescent="0.3">
      <c r="A89" s="45" t="s">
        <v>17</v>
      </c>
      <c r="B89" s="46">
        <v>1</v>
      </c>
      <c r="C89" s="136" t="str">
        <f t="shared" ref="C89:C95" si="7" xml:space="preserve"> IF(B89="","",setValueToTime(B89))</f>
        <v>0h5min</v>
      </c>
      <c r="D89" s="47" t="s">
        <v>53</v>
      </c>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ht="15" thickBot="1" x14ac:dyDescent="0.35">
      <c r="A100" s="41" t="s">
        <v>67</v>
      </c>
      <c r="B100" s="42">
        <v>21</v>
      </c>
      <c r="C100" s="135" t="str">
        <f xml:space="preserve"> IF(B100="","",setValueToTime(B100))</f>
        <v>1h45min</v>
      </c>
      <c r="D100" s="43" t="s">
        <v>141</v>
      </c>
      <c r="E100" s="208"/>
      <c r="F100" s="209"/>
      <c r="G100" s="3"/>
    </row>
    <row r="101" spans="1:7" s="44" customFormat="1" x14ac:dyDescent="0.3">
      <c r="A101" s="45" t="s">
        <v>65</v>
      </c>
      <c r="B101" s="42">
        <v>26</v>
      </c>
      <c r="C101" s="136" t="str">
        <f t="shared" ref="C101:C107" si="8" xml:space="preserve"> IF(B101="","",setValueToTime(B101))</f>
        <v>2h10min</v>
      </c>
      <c r="D101" s="43" t="s">
        <v>138</v>
      </c>
      <c r="E101" s="210"/>
      <c r="F101" s="211"/>
      <c r="G101" s="3"/>
    </row>
    <row r="102" spans="1:7" s="44" customFormat="1" x14ac:dyDescent="0.3">
      <c r="A102" s="45" t="s">
        <v>17</v>
      </c>
      <c r="B102" s="46">
        <v>1</v>
      </c>
      <c r="C102" s="136" t="str">
        <f t="shared" si="8"/>
        <v>0h5min</v>
      </c>
      <c r="D102" s="47" t="s">
        <v>53</v>
      </c>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t="s">
        <v>65</v>
      </c>
      <c r="B112" s="42">
        <v>12</v>
      </c>
      <c r="C112" s="135" t="str">
        <f xml:space="preserve"> IF(B112="","",setValueToTime(B112))</f>
        <v>1h</v>
      </c>
      <c r="D112" s="43" t="s">
        <v>137</v>
      </c>
      <c r="E112" s="208"/>
      <c r="F112" s="209"/>
      <c r="G112" s="3"/>
    </row>
    <row r="113" spans="1:7" s="44" customFormat="1" x14ac:dyDescent="0.3">
      <c r="A113" s="45" t="s">
        <v>67</v>
      </c>
      <c r="B113" s="46">
        <v>15</v>
      </c>
      <c r="C113" s="136" t="str">
        <f t="shared" ref="C113:C119" si="9" xml:space="preserve"> IF(B113="","",setValueToTime(B113))</f>
        <v>1h15min</v>
      </c>
      <c r="D113" s="47" t="s">
        <v>140</v>
      </c>
      <c r="E113" s="210"/>
      <c r="F113" s="211"/>
      <c r="G113" s="3"/>
    </row>
    <row r="114" spans="1:7" s="44" customFormat="1" x14ac:dyDescent="0.3">
      <c r="A114" s="45" t="s">
        <v>17</v>
      </c>
      <c r="B114" s="46">
        <v>1</v>
      </c>
      <c r="C114" s="136" t="str">
        <f t="shared" si="9"/>
        <v>0h5min</v>
      </c>
      <c r="D114" s="47"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t="s">
        <v>64</v>
      </c>
      <c r="B124" s="42">
        <v>47</v>
      </c>
      <c r="C124" s="135" t="str">
        <f xml:space="preserve"> IF(B124="","",setValueToTime(B124))</f>
        <v>3h55min</v>
      </c>
      <c r="D124" s="43" t="s">
        <v>136</v>
      </c>
      <c r="E124" s="208"/>
      <c r="F124" s="209"/>
      <c r="G124" s="3"/>
    </row>
    <row r="125" spans="1:7" s="44" customFormat="1" x14ac:dyDescent="0.3">
      <c r="A125" s="45" t="s">
        <v>17</v>
      </c>
      <c r="B125" s="46">
        <v>1</v>
      </c>
      <c r="C125" s="136" t="str">
        <f t="shared" ref="C125:C131" si="10" xml:space="preserve"> IF(B125="","",setValueToTime(B125))</f>
        <v>0h5min</v>
      </c>
      <c r="D125" s="47" t="s">
        <v>53</v>
      </c>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t="s">
        <v>67</v>
      </c>
      <c r="B136" s="42">
        <v>18</v>
      </c>
      <c r="C136" s="135" t="str">
        <f xml:space="preserve"> IF(B136="","",setValueToTime(B136))</f>
        <v>1h30min</v>
      </c>
      <c r="D136" s="47" t="s">
        <v>60</v>
      </c>
      <c r="E136" s="208"/>
      <c r="F136" s="209"/>
      <c r="G136" s="3"/>
    </row>
    <row r="137" spans="1:7" s="44" customFormat="1" x14ac:dyDescent="0.3">
      <c r="A137" s="45" t="s">
        <v>16</v>
      </c>
      <c r="B137" s="46">
        <v>19</v>
      </c>
      <c r="C137" s="136" t="str">
        <f t="shared" ref="C137:C143" si="11" xml:space="preserve"> IF(B137="","",setValueToTime(B137))</f>
        <v>1h35min</v>
      </c>
      <c r="D137" s="47" t="s">
        <v>56</v>
      </c>
      <c r="E137" s="210"/>
      <c r="F137" s="211"/>
      <c r="G137" s="3"/>
    </row>
    <row r="138" spans="1:7" s="44" customFormat="1" x14ac:dyDescent="0.3">
      <c r="A138" s="45" t="s">
        <v>17</v>
      </c>
      <c r="B138" s="46">
        <v>1</v>
      </c>
      <c r="C138" s="136" t="str">
        <f t="shared" si="11"/>
        <v>0h5min</v>
      </c>
      <c r="D138" s="47"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ht="27" x14ac:dyDescent="0.3">
      <c r="A148" s="41" t="s">
        <v>64</v>
      </c>
      <c r="B148" s="42">
        <v>4</v>
      </c>
      <c r="C148" s="135" t="str">
        <f xml:space="preserve"> IF(B148="","",setValueToTime(B148))</f>
        <v>0h20min</v>
      </c>
      <c r="D148" s="47" t="s">
        <v>135</v>
      </c>
      <c r="E148" s="208"/>
      <c r="F148" s="209"/>
      <c r="G148" s="3"/>
    </row>
    <row r="149" spans="1:7" s="44" customFormat="1" x14ac:dyDescent="0.3">
      <c r="A149" s="45" t="s">
        <v>65</v>
      </c>
      <c r="B149" s="46">
        <v>8</v>
      </c>
      <c r="C149" s="136" t="str">
        <f t="shared" ref="C149:C155" si="12" xml:space="preserve"> IF(B149="","",setValueToTime(B149))</f>
        <v>0h40min</v>
      </c>
      <c r="D149" s="47" t="s">
        <v>127</v>
      </c>
      <c r="E149" s="210"/>
      <c r="F149" s="211"/>
      <c r="G149" s="3"/>
    </row>
    <row r="150" spans="1:7" s="44" customFormat="1" x14ac:dyDescent="0.3">
      <c r="A150" s="45" t="s">
        <v>16</v>
      </c>
      <c r="B150" s="46">
        <v>35</v>
      </c>
      <c r="C150" s="136" t="str">
        <f t="shared" si="12"/>
        <v>2h55min</v>
      </c>
      <c r="D150" s="47" t="s">
        <v>56</v>
      </c>
      <c r="E150" s="210"/>
      <c r="F150" s="211"/>
      <c r="G150" s="3"/>
    </row>
    <row r="151" spans="1:7" s="44" customFormat="1" x14ac:dyDescent="0.3">
      <c r="A151" s="45" t="s">
        <v>17</v>
      </c>
      <c r="B151" s="46">
        <v>1</v>
      </c>
      <c r="C151" s="136" t="str">
        <f t="shared" si="12"/>
        <v>0h5min</v>
      </c>
      <c r="D151" s="47"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ht="27" x14ac:dyDescent="0.3">
      <c r="A160" s="41" t="s">
        <v>64</v>
      </c>
      <c r="B160" s="42">
        <v>3</v>
      </c>
      <c r="C160" s="135" t="str">
        <f xml:space="preserve"> IF(B160="","",setValueToTime(B160))</f>
        <v>0h15min</v>
      </c>
      <c r="D160" s="47" t="s">
        <v>133</v>
      </c>
      <c r="E160" s="208"/>
      <c r="F160" s="209"/>
      <c r="G160" s="3"/>
    </row>
    <row r="161" spans="1:7" s="44" customFormat="1" x14ac:dyDescent="0.3">
      <c r="A161" s="45" t="s">
        <v>65</v>
      </c>
      <c r="B161" s="46">
        <v>8</v>
      </c>
      <c r="C161" s="136" t="str">
        <f t="shared" ref="C161:C167" si="13" xml:space="preserve"> IF(B161="","",setValueToTime(B161))</f>
        <v>0h40min</v>
      </c>
      <c r="D161" s="47" t="s">
        <v>127</v>
      </c>
      <c r="E161" s="210"/>
      <c r="F161" s="211"/>
      <c r="G161" s="3"/>
    </row>
    <row r="162" spans="1:7" s="44" customFormat="1" ht="27" x14ac:dyDescent="0.3">
      <c r="A162" s="45" t="s">
        <v>64</v>
      </c>
      <c r="B162" s="46">
        <v>26</v>
      </c>
      <c r="C162" s="136" t="str">
        <f t="shared" si="13"/>
        <v>2h10min</v>
      </c>
      <c r="D162" s="47" t="s">
        <v>134</v>
      </c>
      <c r="E162" s="210"/>
      <c r="F162" s="211"/>
      <c r="G162" s="3"/>
    </row>
    <row r="163" spans="1:7" s="44" customFormat="1" x14ac:dyDescent="0.3">
      <c r="A163" s="45" t="s">
        <v>17</v>
      </c>
      <c r="B163" s="46">
        <v>1</v>
      </c>
      <c r="C163" s="136" t="str">
        <f t="shared" si="13"/>
        <v>0h5min</v>
      </c>
      <c r="D163" s="47"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ht="27" x14ac:dyDescent="0.3">
      <c r="A172" s="41" t="s">
        <v>64</v>
      </c>
      <c r="B172" s="42">
        <v>18</v>
      </c>
      <c r="C172" s="135" t="str">
        <f xml:space="preserve"> IF(B172="","",setValueToTime(B172))</f>
        <v>1h30min</v>
      </c>
      <c r="D172" s="43" t="s">
        <v>130</v>
      </c>
      <c r="E172" s="208"/>
      <c r="F172" s="209"/>
      <c r="G172" s="3"/>
    </row>
    <row r="173" spans="1:7" s="44" customFormat="1" x14ac:dyDescent="0.3">
      <c r="A173" s="45" t="s">
        <v>63</v>
      </c>
      <c r="B173" s="46">
        <v>18</v>
      </c>
      <c r="C173" s="136" t="str">
        <f t="shared" ref="C173:C179" si="14" xml:space="preserve"> IF(B173="","",setValueToTime(B173))</f>
        <v>1h30min</v>
      </c>
      <c r="D173" s="47" t="s">
        <v>131</v>
      </c>
      <c r="E173" s="210"/>
      <c r="F173" s="211"/>
      <c r="G173" s="3"/>
    </row>
    <row r="174" spans="1:7" s="44" customFormat="1" ht="27" x14ac:dyDescent="0.3">
      <c r="A174" s="45" t="s">
        <v>64</v>
      </c>
      <c r="B174" s="46">
        <v>11</v>
      </c>
      <c r="C174" s="136" t="str">
        <f t="shared" si="14"/>
        <v>0h55min</v>
      </c>
      <c r="D174" s="47" t="s">
        <v>132</v>
      </c>
      <c r="E174" s="210"/>
      <c r="F174" s="211"/>
      <c r="G174" s="3"/>
    </row>
    <row r="175" spans="1:7" s="44" customFormat="1" x14ac:dyDescent="0.3">
      <c r="A175" s="45" t="s">
        <v>17</v>
      </c>
      <c r="B175" s="46">
        <v>1</v>
      </c>
      <c r="C175" s="136" t="str">
        <f t="shared" si="14"/>
        <v>0h5min</v>
      </c>
      <c r="D175" s="47" t="s">
        <v>53</v>
      </c>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ht="15" thickBot="1" x14ac:dyDescent="0.35">
      <c r="A184" s="41" t="s">
        <v>65</v>
      </c>
      <c r="B184" s="42">
        <v>8</v>
      </c>
      <c r="C184" s="135" t="str">
        <f xml:space="preserve"> IF(B184="","",setValueToTime(B184))</f>
        <v>0h40min</v>
      </c>
      <c r="D184" s="43" t="s">
        <v>129</v>
      </c>
      <c r="E184" s="208"/>
      <c r="F184" s="209"/>
      <c r="G184" s="3"/>
    </row>
    <row r="185" spans="1:7" s="44" customFormat="1" x14ac:dyDescent="0.3">
      <c r="A185" s="45" t="s">
        <v>16</v>
      </c>
      <c r="B185" s="42">
        <v>19</v>
      </c>
      <c r="C185" s="136" t="str">
        <f t="shared" ref="C185:C191" si="15" xml:space="preserve"> IF(B185="","",setValueToTime(B185))</f>
        <v>1h35min</v>
      </c>
      <c r="D185" s="43" t="s">
        <v>55</v>
      </c>
      <c r="E185" s="210"/>
      <c r="F185" s="211"/>
      <c r="G185" s="3"/>
    </row>
    <row r="186" spans="1:7" s="44" customFormat="1" x14ac:dyDescent="0.3">
      <c r="A186" s="45" t="s">
        <v>17</v>
      </c>
      <c r="B186" s="46">
        <v>1</v>
      </c>
      <c r="C186" s="136" t="str">
        <f t="shared" si="15"/>
        <v>0h5min</v>
      </c>
      <c r="D186" s="47"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64</v>
      </c>
      <c r="B196" s="42">
        <v>27</v>
      </c>
      <c r="C196" s="135" t="str">
        <f xml:space="preserve"> IF(B196="","",setValueToTime(B196))</f>
        <v>2h15min</v>
      </c>
      <c r="D196" s="47" t="s">
        <v>126</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64</v>
      </c>
      <c r="B208" s="42">
        <v>39</v>
      </c>
      <c r="C208" s="135" t="str">
        <f xml:space="preserve"> IF(B208="","",setValueToTime(B208))</f>
        <v>3h15min</v>
      </c>
      <c r="D208" s="47" t="s">
        <v>128</v>
      </c>
      <c r="E208" s="208"/>
      <c r="F208" s="209"/>
      <c r="G208" s="3"/>
    </row>
    <row r="209" spans="1:7" s="44" customFormat="1" x14ac:dyDescent="0.3">
      <c r="A209" s="45" t="s">
        <v>65</v>
      </c>
      <c r="B209" s="46">
        <v>8</v>
      </c>
      <c r="C209" s="136" t="str">
        <f t="shared" ref="C209:C215" si="17" xml:space="preserve"> IF(B209="","",setValueToTime(B209))</f>
        <v>0h40min</v>
      </c>
      <c r="D209" s="47" t="s">
        <v>61</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67</v>
      </c>
      <c r="B220" s="42">
        <v>18</v>
      </c>
      <c r="C220" s="135" t="str">
        <f xml:space="preserve"> IF(B220="","",setValueToTime(B220))</f>
        <v>1h30min</v>
      </c>
      <c r="D220" s="47" t="s">
        <v>62</v>
      </c>
      <c r="E220" s="208"/>
      <c r="F220" s="209"/>
      <c r="G220" s="3"/>
    </row>
    <row r="221" spans="1:7" s="44" customFormat="1" ht="27" x14ac:dyDescent="0.3">
      <c r="A221" s="45" t="s">
        <v>64</v>
      </c>
      <c r="B221" s="46">
        <v>12</v>
      </c>
      <c r="C221" s="136" t="str">
        <f t="shared" ref="C221:C227" si="18" xml:space="preserve"> IF(B221="","",setValueToTime(B221))</f>
        <v>1h</v>
      </c>
      <c r="D221" s="47" t="s">
        <v>124</v>
      </c>
      <c r="E221" s="210"/>
      <c r="F221" s="211"/>
      <c r="G221" s="3"/>
    </row>
    <row r="222" spans="1:7" s="44" customFormat="1" x14ac:dyDescent="0.3">
      <c r="A222" s="45" t="s">
        <v>65</v>
      </c>
      <c r="B222" s="46">
        <v>7</v>
      </c>
      <c r="C222" s="136" t="str">
        <f t="shared" si="18"/>
        <v>0h35min</v>
      </c>
      <c r="D222" s="47" t="s">
        <v>125</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63</v>
      </c>
      <c r="B232" s="46">
        <v>24</v>
      </c>
      <c r="C232" s="135" t="str">
        <f xml:space="preserve"> IF(B232="","",setValueToTime(B232))</f>
        <v>2h</v>
      </c>
      <c r="D232" s="47" t="s">
        <v>123</v>
      </c>
      <c r="E232" s="208"/>
      <c r="F232" s="209"/>
      <c r="G232" s="3"/>
    </row>
    <row r="233" spans="1:7" s="44" customFormat="1" x14ac:dyDescent="0.3">
      <c r="A233" s="45" t="s">
        <v>16</v>
      </c>
      <c r="B233" s="46">
        <v>23</v>
      </c>
      <c r="C233" s="136" t="str">
        <f t="shared" ref="C233:C239" si="19" xml:space="preserve"> IF(B233="","",setValueToTime(B233))</f>
        <v>1h55min</v>
      </c>
      <c r="D233" s="47" t="s">
        <v>56</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63</v>
      </c>
      <c r="B245" s="46">
        <v>9</v>
      </c>
      <c r="C245" s="136" t="str">
        <f t="shared" ref="C245:C251" si="20" xml:space="preserve"> IF(B245="","",setValueToTime(B245))</f>
        <v>0h45min</v>
      </c>
      <c r="D245" s="47" t="s">
        <v>58</v>
      </c>
      <c r="E245" s="210"/>
      <c r="F245" s="211"/>
      <c r="G245" s="3"/>
    </row>
    <row r="246" spans="1:7" s="44" customFormat="1" x14ac:dyDescent="0.3">
      <c r="A246" s="45" t="s">
        <v>65</v>
      </c>
      <c r="B246" s="46">
        <v>8</v>
      </c>
      <c r="C246" s="136" t="str">
        <f t="shared" si="20"/>
        <v>0h40min</v>
      </c>
      <c r="D246" s="47" t="s">
        <v>118</v>
      </c>
      <c r="E246" s="210"/>
      <c r="F246" s="211"/>
      <c r="G246" s="3"/>
    </row>
    <row r="247" spans="1:7" s="44" customFormat="1" x14ac:dyDescent="0.3">
      <c r="A247" s="45" t="s">
        <v>63</v>
      </c>
      <c r="B247" s="46">
        <v>8</v>
      </c>
      <c r="C247" s="136" t="str">
        <f t="shared" si="20"/>
        <v>0h40min</v>
      </c>
      <c r="D247" s="47" t="s">
        <v>119</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64</v>
      </c>
      <c r="B256" s="42">
        <v>12</v>
      </c>
      <c r="C256" s="135" t="str">
        <f xml:space="preserve"> IF(B256="","",setValueToTime(B256))</f>
        <v>1h</v>
      </c>
      <c r="D256" s="47" t="s">
        <v>116</v>
      </c>
      <c r="E256" s="208"/>
      <c r="F256" s="209"/>
      <c r="G256" s="3"/>
    </row>
    <row r="257" spans="1:7" s="44" customFormat="1" ht="27" x14ac:dyDescent="0.3">
      <c r="A257" s="45" t="s">
        <v>64</v>
      </c>
      <c r="B257" s="46">
        <v>12</v>
      </c>
      <c r="C257" s="136" t="str">
        <f t="shared" ref="C257:C263" si="21" xml:space="preserve"> IF(B257="","",setValueToTime(B257))</f>
        <v>1h</v>
      </c>
      <c r="D257" s="47" t="s">
        <v>59</v>
      </c>
      <c r="E257" s="210"/>
      <c r="F257" s="211"/>
      <c r="G257" s="3"/>
    </row>
    <row r="258" spans="1:7" s="44" customFormat="1" x14ac:dyDescent="0.3">
      <c r="A258" s="45" t="s">
        <v>65</v>
      </c>
      <c r="B258" s="46">
        <v>8</v>
      </c>
      <c r="C258" s="136" t="str">
        <f t="shared" si="21"/>
        <v>0h40min</v>
      </c>
      <c r="D258" s="47" t="s">
        <v>117</v>
      </c>
      <c r="E258" s="210"/>
      <c r="F258" s="211"/>
      <c r="G258" s="3"/>
    </row>
    <row r="259" spans="1:7" s="44" customFormat="1" x14ac:dyDescent="0.3">
      <c r="A259" s="45" t="s">
        <v>63</v>
      </c>
      <c r="B259" s="46">
        <v>12</v>
      </c>
      <c r="C259" s="136" t="str">
        <f t="shared" si="21"/>
        <v>1h</v>
      </c>
      <c r="D259" s="47" t="s">
        <v>57</v>
      </c>
      <c r="E259" s="210"/>
      <c r="F259" s="211"/>
      <c r="G259" s="3"/>
    </row>
    <row r="260" spans="1:7" s="44" customFormat="1" ht="27" x14ac:dyDescent="0.3">
      <c r="A260" s="46" t="s">
        <v>64</v>
      </c>
      <c r="B260" s="46">
        <v>3</v>
      </c>
      <c r="C260" s="137" t="str">
        <f t="shared" si="21"/>
        <v>0h15min</v>
      </c>
      <c r="D260" s="47" t="s">
        <v>58</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55</v>
      </c>
      <c r="E268" s="208"/>
      <c r="F268" s="209"/>
      <c r="G268" s="3"/>
    </row>
    <row r="269" spans="1:7" s="44" customFormat="1" x14ac:dyDescent="0.3">
      <c r="A269" s="45" t="s">
        <v>63</v>
      </c>
      <c r="B269" s="46">
        <v>12</v>
      </c>
      <c r="C269" s="136" t="str">
        <f t="shared" ref="C269:C275" si="22" xml:space="preserve"> IF(B269="","",setValueToTime(B269))</f>
        <v>1h</v>
      </c>
      <c r="D269" s="47" t="s">
        <v>115</v>
      </c>
      <c r="E269" s="210"/>
      <c r="F269" s="211"/>
      <c r="G269" s="3"/>
    </row>
    <row r="270" spans="1:7" s="44" customFormat="1" x14ac:dyDescent="0.3">
      <c r="A270" s="45" t="s">
        <v>17</v>
      </c>
      <c r="B270" s="46">
        <v>1</v>
      </c>
      <c r="C270" s="136" t="str">
        <f t="shared" si="22"/>
        <v>0h5min</v>
      </c>
      <c r="D270" s="47" t="s">
        <v>122</v>
      </c>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114</v>
      </c>
      <c r="B281" s="46">
        <v>15</v>
      </c>
      <c r="C281" s="136" t="str">
        <f t="shared" ref="C281:C287" si="23" xml:space="preserve"> IF(B281="","",setValueToTime(B281))</f>
        <v>1h15min</v>
      </c>
      <c r="D281" s="47" t="s">
        <v>113</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68</v>
      </c>
      <c r="B292" s="42">
        <v>24</v>
      </c>
      <c r="C292" s="135" t="str">
        <f xml:space="preserve"> IF(B292="","",setValueToTime(B292))</f>
        <v>2h</v>
      </c>
      <c r="D292" s="47" t="s">
        <v>120</v>
      </c>
      <c r="E292" s="208"/>
      <c r="F292" s="209"/>
      <c r="G292" s="3"/>
    </row>
    <row r="293" spans="1:7" s="44" customFormat="1" x14ac:dyDescent="0.3">
      <c r="A293" s="45" t="s">
        <v>16</v>
      </c>
      <c r="B293" s="46">
        <v>23</v>
      </c>
      <c r="C293" s="136" t="str">
        <f t="shared" ref="C293:C299" si="24" xml:space="preserve"> IF(B293="","",setValueToTime(B293))</f>
        <v>1h55min</v>
      </c>
      <c r="D293" s="47" t="s">
        <v>121</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66</v>
      </c>
      <c r="B316" s="42">
        <v>3</v>
      </c>
      <c r="C316" s="135" t="str">
        <f xml:space="preserve"> IF(B316="","",setValueToTime(B316))</f>
        <v>0h15min</v>
      </c>
      <c r="D316" s="43" t="s">
        <v>50</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8</v>
      </c>
      <c r="C318" s="136" t="str">
        <f xml:space="preserve"> IF(B318="","",setValueToTime(B318))</f>
        <v>0h40min</v>
      </c>
      <c r="D318" s="47" t="s">
        <v>54</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46" activePane="bottomLeft" state="frozen"/>
      <selection pane="bottomLeft" activeCell="D59" sqref="D59"/>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c r="B28" s="42"/>
      <c r="C28" s="135" t="str">
        <f xml:space="preserve"> IF(B28="","",setValueToTime(B28))</f>
        <v/>
      </c>
      <c r="D28" s="43"/>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6" t="s">
        <v>14</v>
      </c>
      <c r="F39" s="217"/>
      <c r="G39" s="39"/>
    </row>
    <row r="40" spans="1:7" s="44" customFormat="1" x14ac:dyDescent="0.3">
      <c r="A40" s="41"/>
      <c r="B40" s="42"/>
      <c r="C40" s="135" t="str">
        <f xml:space="preserve"> IF(B40="","",setValueToTime(B40))</f>
        <v/>
      </c>
      <c r="D40" s="43"/>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6" t="s">
        <v>14</v>
      </c>
      <c r="F51" s="217"/>
      <c r="G51" s="39"/>
    </row>
    <row r="52" spans="1:7" s="44" customFormat="1" ht="27" x14ac:dyDescent="0.3">
      <c r="A52" s="41"/>
      <c r="B52" s="42">
        <v>14</v>
      </c>
      <c r="C52" s="135" t="str">
        <f xml:space="preserve"> IF(B52="","",setValueToTime(B52))</f>
        <v>1h10min</v>
      </c>
      <c r="D52" s="229" t="s">
        <v>218</v>
      </c>
      <c r="E52" s="208"/>
      <c r="F52" s="209"/>
      <c r="G52" s="3"/>
    </row>
    <row r="53" spans="1:7" s="44" customFormat="1" x14ac:dyDescent="0.3">
      <c r="A53" s="45"/>
      <c r="B53" s="46">
        <v>22</v>
      </c>
      <c r="C53" s="136" t="str">
        <f t="shared" ref="C53:C59" si="4" xml:space="preserve"> IF(B53="","",setValueToTime(B53))</f>
        <v>1h50min</v>
      </c>
      <c r="D53" s="228" t="s">
        <v>56</v>
      </c>
      <c r="E53" s="210"/>
      <c r="F53" s="211"/>
      <c r="G53" s="3"/>
    </row>
    <row r="54" spans="1:7" s="44" customFormat="1" x14ac:dyDescent="0.3">
      <c r="A54" s="45"/>
      <c r="B54" s="46">
        <v>2</v>
      </c>
      <c r="C54" s="136" t="str">
        <f t="shared" si="4"/>
        <v>0h10min</v>
      </c>
      <c r="D54" s="228" t="s">
        <v>53</v>
      </c>
      <c r="E54" s="210"/>
      <c r="F54" s="211"/>
      <c r="G54" s="3"/>
    </row>
    <row r="55" spans="1:7" s="44" customFormat="1" x14ac:dyDescent="0.3">
      <c r="A55" s="45"/>
      <c r="B55" s="46">
        <v>12</v>
      </c>
      <c r="C55" s="136" t="str">
        <f t="shared" si="4"/>
        <v>1h</v>
      </c>
      <c r="D55" s="228" t="s">
        <v>219</v>
      </c>
      <c r="E55" s="210"/>
      <c r="F55" s="211"/>
      <c r="G55" s="3"/>
    </row>
    <row r="56" spans="1:7" s="44" customFormat="1" x14ac:dyDescent="0.3">
      <c r="A56" s="46"/>
      <c r="B56" s="46">
        <v>6</v>
      </c>
      <c r="C56" s="137" t="str">
        <f t="shared" si="4"/>
        <v>0h30min</v>
      </c>
      <c r="D56" s="228" t="s">
        <v>56</v>
      </c>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56</v>
      </c>
      <c r="C60" s="145" t="str">
        <f xml:space="preserve"> setValueToTime(B60)</f>
        <v>4h40min</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v>28</v>
      </c>
      <c r="C64" s="135" t="str">
        <f xml:space="preserve"> IF(B64="","",setValueToTime(B64))</f>
        <v>2h20min</v>
      </c>
      <c r="D64" s="170" t="s">
        <v>217</v>
      </c>
      <c r="E64" s="208"/>
      <c r="F64" s="209"/>
      <c r="G64" s="3"/>
    </row>
    <row r="65" spans="1:7" s="44" customFormat="1" x14ac:dyDescent="0.3">
      <c r="A65" s="45"/>
      <c r="B65" s="46">
        <v>4</v>
      </c>
      <c r="C65" s="136" t="str">
        <f t="shared" ref="C65:C71" si="5" xml:space="preserve"> IF(B65="","",setValueToTime(B65))</f>
        <v>0h20min</v>
      </c>
      <c r="D65" s="171" t="s">
        <v>207</v>
      </c>
      <c r="E65" s="210"/>
      <c r="F65" s="211"/>
      <c r="G65" s="3"/>
    </row>
    <row r="66" spans="1:7" s="44" customFormat="1" x14ac:dyDescent="0.3">
      <c r="A66" s="45"/>
      <c r="B66" s="46">
        <v>14</v>
      </c>
      <c r="C66" s="136" t="str">
        <f t="shared" si="5"/>
        <v>1h10min</v>
      </c>
      <c r="D66" s="171" t="s">
        <v>56</v>
      </c>
      <c r="E66" s="210"/>
      <c r="F66" s="211"/>
      <c r="G66" s="3"/>
    </row>
    <row r="67" spans="1:7" s="44" customFormat="1" x14ac:dyDescent="0.3">
      <c r="A67" s="45"/>
      <c r="B67" s="46">
        <v>2</v>
      </c>
      <c r="C67" s="136" t="str">
        <f t="shared" si="5"/>
        <v>0h10min</v>
      </c>
      <c r="D67" s="171" t="s">
        <v>53</v>
      </c>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145" t="s">
        <v>29</v>
      </c>
      <c r="B72" s="68">
        <f>SUM(B64:B71)</f>
        <v>48</v>
      </c>
      <c r="C72" s="145" t="str">
        <f xml:space="preserve"> setValueToTime(B72)</f>
        <v>4h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6" t="s">
        <v>14</v>
      </c>
      <c r="F75" s="217"/>
      <c r="G75" s="39"/>
    </row>
    <row r="76" spans="1:7" s="44" customFormat="1" ht="27" x14ac:dyDescent="0.3">
      <c r="A76" s="41"/>
      <c r="B76" s="42">
        <v>26</v>
      </c>
      <c r="C76" s="135" t="str">
        <f xml:space="preserve"> IF(B76="","",setValueToTime(B76))</f>
        <v>2h10min</v>
      </c>
      <c r="D76" s="170" t="s">
        <v>216</v>
      </c>
      <c r="E76" s="208"/>
      <c r="F76" s="209"/>
      <c r="G76" s="3"/>
    </row>
    <row r="77" spans="1:7" s="44" customFormat="1" ht="27" x14ac:dyDescent="0.3">
      <c r="A77" s="45" t="s">
        <v>17</v>
      </c>
      <c r="B77" s="46">
        <v>2</v>
      </c>
      <c r="C77" s="136" t="str">
        <f t="shared" ref="C77:C83" si="6" xml:space="preserve"> IF(B77="","",setValueToTime(B77))</f>
        <v>0h10min</v>
      </c>
      <c r="D77" s="171"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28</v>
      </c>
      <c r="C84" s="145" t="str">
        <f xml:space="preserve"> setValueToTime(B84)</f>
        <v>2h20min</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6" t="s">
        <v>14</v>
      </c>
      <c r="F87" s="217"/>
      <c r="G87" s="39"/>
    </row>
    <row r="88" spans="1:7" s="44" customFormat="1" ht="27" x14ac:dyDescent="0.3">
      <c r="A88" s="41"/>
      <c r="B88" s="42">
        <v>12</v>
      </c>
      <c r="C88" s="135" t="str">
        <f xml:space="preserve"> IF(B88="","",setValueToTime(B88))</f>
        <v>1h</v>
      </c>
      <c r="D88" s="170" t="s">
        <v>214</v>
      </c>
      <c r="E88" s="208"/>
      <c r="F88" s="209"/>
      <c r="G88" s="3"/>
    </row>
    <row r="89" spans="1:7" s="44" customFormat="1" x14ac:dyDescent="0.3">
      <c r="A89" s="45"/>
      <c r="B89" s="46">
        <v>14</v>
      </c>
      <c r="C89" s="136" t="str">
        <f t="shared" ref="C89:C95" si="7" xml:space="preserve"> IF(B89="","",setValueToTime(B89))</f>
        <v>1h10min</v>
      </c>
      <c r="D89" s="171" t="s">
        <v>56</v>
      </c>
      <c r="E89" s="210"/>
      <c r="F89" s="211"/>
      <c r="G89" s="3"/>
    </row>
    <row r="90" spans="1:7" s="44" customFormat="1" x14ac:dyDescent="0.3">
      <c r="A90" s="45"/>
      <c r="B90" s="46">
        <v>2</v>
      </c>
      <c r="C90" s="136" t="str">
        <f t="shared" si="7"/>
        <v>0h10min</v>
      </c>
      <c r="D90" s="171" t="s">
        <v>53</v>
      </c>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28</v>
      </c>
      <c r="C96" s="145" t="str">
        <f xml:space="preserve"> setValueToTime(B96)</f>
        <v>2h20min</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ht="54" x14ac:dyDescent="0.3">
      <c r="A100" s="41"/>
      <c r="B100" s="42">
        <v>10</v>
      </c>
      <c r="C100" s="135" t="str">
        <f xml:space="preserve"> IF(B100="","",setValueToTime(B100))</f>
        <v>0h50min</v>
      </c>
      <c r="D100" s="170" t="s">
        <v>210</v>
      </c>
      <c r="E100" s="208"/>
      <c r="F100" s="209"/>
      <c r="G100" s="3"/>
    </row>
    <row r="101" spans="1:7" s="44" customFormat="1" x14ac:dyDescent="0.3">
      <c r="A101" s="45"/>
      <c r="B101" s="46">
        <v>12</v>
      </c>
      <c r="C101" s="136" t="str">
        <f t="shared" ref="C101:C107" si="8" xml:space="preserve"> IF(B101="","",setValueToTime(B101))</f>
        <v>1h</v>
      </c>
      <c r="D101" s="171" t="s">
        <v>211</v>
      </c>
      <c r="E101" s="210"/>
      <c r="F101" s="211"/>
      <c r="G101" s="3"/>
    </row>
    <row r="102" spans="1:7" s="44" customFormat="1" x14ac:dyDescent="0.3">
      <c r="A102" s="45"/>
      <c r="B102" s="46">
        <v>12</v>
      </c>
      <c r="C102" s="136" t="str">
        <f t="shared" si="8"/>
        <v>1h</v>
      </c>
      <c r="D102" s="171" t="s">
        <v>215</v>
      </c>
      <c r="E102" s="210"/>
      <c r="F102" s="211"/>
      <c r="G102" s="3"/>
    </row>
    <row r="103" spans="1:7" s="44" customFormat="1" ht="54" x14ac:dyDescent="0.3">
      <c r="A103" s="45"/>
      <c r="B103" s="46">
        <v>12</v>
      </c>
      <c r="C103" s="136" t="str">
        <f t="shared" si="8"/>
        <v>1h</v>
      </c>
      <c r="D103" s="171" t="s">
        <v>213</v>
      </c>
      <c r="E103" s="220" t="s">
        <v>212</v>
      </c>
      <c r="F103" s="211"/>
      <c r="G103" s="3"/>
    </row>
    <row r="104" spans="1:7" s="44" customFormat="1" x14ac:dyDescent="0.3">
      <c r="A104" s="46"/>
      <c r="B104" s="46">
        <v>2</v>
      </c>
      <c r="C104" s="137" t="str">
        <f t="shared" si="8"/>
        <v>0h10min</v>
      </c>
      <c r="D104" s="171" t="s">
        <v>53</v>
      </c>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48</v>
      </c>
      <c r="C108" s="145" t="str">
        <f xml:space="preserve"> setValueToTime(B108)</f>
        <v>4h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x14ac:dyDescent="0.3">
      <c r="A112" s="41"/>
      <c r="B112" s="42">
        <v>4</v>
      </c>
      <c r="C112" s="135" t="str">
        <f xml:space="preserve"> IF(B112="","",setValueToTime(B112))</f>
        <v>0h20min</v>
      </c>
      <c r="D112" s="170" t="s">
        <v>205</v>
      </c>
      <c r="E112" s="208"/>
      <c r="F112" s="209"/>
      <c r="G112" s="3"/>
    </row>
    <row r="113" spans="1:7" s="44" customFormat="1" x14ac:dyDescent="0.3">
      <c r="A113" s="45"/>
      <c r="B113" s="46">
        <v>1</v>
      </c>
      <c r="C113" s="136" t="str">
        <f t="shared" ref="C113:C119" si="9" xml:space="preserve"> IF(B113="","",setValueToTime(B113))</f>
        <v>0h5min</v>
      </c>
      <c r="D113" s="171" t="s">
        <v>208</v>
      </c>
      <c r="E113" s="210"/>
      <c r="F113" s="211"/>
      <c r="G113" s="3"/>
    </row>
    <row r="114" spans="1:7" s="44" customFormat="1" ht="27" x14ac:dyDescent="0.3">
      <c r="A114" s="45"/>
      <c r="B114" s="46">
        <v>21</v>
      </c>
      <c r="C114" s="136" t="str">
        <f t="shared" si="9"/>
        <v>1h45min</v>
      </c>
      <c r="D114" s="171" t="s">
        <v>209</v>
      </c>
      <c r="E114" s="210"/>
      <c r="F114" s="211"/>
      <c r="G114" s="3"/>
    </row>
    <row r="115" spans="1:7" s="44" customFormat="1" ht="27" x14ac:dyDescent="0.3">
      <c r="A115" s="45" t="s">
        <v>17</v>
      </c>
      <c r="B115" s="46">
        <v>2</v>
      </c>
      <c r="C115" s="136" t="str">
        <f t="shared" si="9"/>
        <v>0h10min</v>
      </c>
      <c r="D115" s="171" t="s">
        <v>53</v>
      </c>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28</v>
      </c>
      <c r="C120" s="145" t="str">
        <f xml:space="preserve"> setValueToTime(B120)</f>
        <v>2h20min</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x14ac:dyDescent="0.3">
      <c r="A124" s="41" t="s">
        <v>4</v>
      </c>
      <c r="B124" s="42">
        <v>3</v>
      </c>
      <c r="C124" s="135" t="str">
        <f xml:space="preserve"> IF(B124="","",setValueToTime(B124))</f>
        <v>0h15min</v>
      </c>
      <c r="D124" s="170" t="s">
        <v>204</v>
      </c>
      <c r="E124" s="208"/>
      <c r="F124" s="209"/>
      <c r="G124" s="3"/>
    </row>
    <row r="125" spans="1:7" s="44" customFormat="1" x14ac:dyDescent="0.3">
      <c r="A125" s="45"/>
      <c r="B125" s="46">
        <v>41</v>
      </c>
      <c r="C125" s="136" t="str">
        <f t="shared" ref="C125:C131" si="10" xml:space="preserve"> IF(B125="","",setValueToTime(B125))</f>
        <v>3h25min</v>
      </c>
      <c r="D125" s="171" t="s">
        <v>206</v>
      </c>
      <c r="E125" s="210"/>
      <c r="F125" s="211"/>
      <c r="G125" s="3"/>
    </row>
    <row r="126" spans="1:7" s="44" customFormat="1" x14ac:dyDescent="0.3">
      <c r="A126" s="45"/>
      <c r="B126" s="46">
        <v>2</v>
      </c>
      <c r="C126" s="136" t="str">
        <f t="shared" si="10"/>
        <v>0h10min</v>
      </c>
      <c r="D126" s="171" t="s">
        <v>207</v>
      </c>
      <c r="E126" s="210"/>
      <c r="F126" s="211"/>
      <c r="G126" s="3"/>
    </row>
    <row r="127" spans="1:7" s="44" customFormat="1" ht="27" x14ac:dyDescent="0.3">
      <c r="A127" s="45" t="s">
        <v>17</v>
      </c>
      <c r="B127" s="46">
        <v>2</v>
      </c>
      <c r="C127" s="136" t="str">
        <f t="shared" si="10"/>
        <v>0h10min</v>
      </c>
      <c r="D127" s="171" t="s">
        <v>53</v>
      </c>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48</v>
      </c>
      <c r="C132" s="145" t="str">
        <f xml:space="preserve"> setValueToTime(B132)</f>
        <v>4h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ht="27" x14ac:dyDescent="0.3">
      <c r="A136" s="41"/>
      <c r="B136" s="42">
        <v>12</v>
      </c>
      <c r="C136" s="135" t="str">
        <f xml:space="preserve"> IF(B136="","",setValueToTime(B136))</f>
        <v>1h</v>
      </c>
      <c r="D136" s="170" t="s">
        <v>202</v>
      </c>
      <c r="E136" s="208"/>
      <c r="F136" s="209"/>
      <c r="G136" s="3"/>
    </row>
    <row r="137" spans="1:7" s="44" customFormat="1" x14ac:dyDescent="0.3">
      <c r="A137" s="45"/>
      <c r="B137" s="46">
        <v>12</v>
      </c>
      <c r="C137" s="136" t="str">
        <f t="shared" ref="C137:C143" si="11" xml:space="preserve"> IF(B137="","",setValueToTime(B137))</f>
        <v>1h</v>
      </c>
      <c r="D137" s="171" t="s">
        <v>203</v>
      </c>
      <c r="E137" s="210"/>
      <c r="F137" s="211"/>
      <c r="G137" s="3"/>
    </row>
    <row r="138" spans="1:7" s="44" customFormat="1" x14ac:dyDescent="0.3">
      <c r="A138" s="45" t="s">
        <v>16</v>
      </c>
      <c r="B138" s="46">
        <v>12</v>
      </c>
      <c r="C138" s="136" t="str">
        <f t="shared" si="11"/>
        <v>1h</v>
      </c>
      <c r="D138" s="171" t="s">
        <v>56</v>
      </c>
      <c r="E138" s="210"/>
      <c r="F138" s="211"/>
      <c r="G138" s="3"/>
    </row>
    <row r="139" spans="1:7" s="44" customFormat="1" ht="27" x14ac:dyDescent="0.3">
      <c r="A139" s="45" t="s">
        <v>17</v>
      </c>
      <c r="B139" s="46">
        <v>2</v>
      </c>
      <c r="C139" s="136" t="str">
        <f t="shared" si="11"/>
        <v>0h10min</v>
      </c>
      <c r="D139" s="171" t="s">
        <v>53</v>
      </c>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38</v>
      </c>
      <c r="C144" s="145" t="str">
        <f xml:space="preserve"> setValueToTime(B144)</f>
        <v>3h10min</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ht="27" x14ac:dyDescent="0.3">
      <c r="A148" s="41" t="s">
        <v>63</v>
      </c>
      <c r="B148" s="42">
        <v>19</v>
      </c>
      <c r="C148" s="135" t="str">
        <f xml:space="preserve"> IF(B148="","",setValueToTime(B148))</f>
        <v>1h35min</v>
      </c>
      <c r="D148" s="170" t="s">
        <v>198</v>
      </c>
      <c r="E148" s="208"/>
      <c r="F148" s="209"/>
      <c r="G148" s="3"/>
    </row>
    <row r="149" spans="1:7" s="44" customFormat="1" x14ac:dyDescent="0.3">
      <c r="A149" s="45"/>
      <c r="B149" s="46">
        <v>2</v>
      </c>
      <c r="C149" s="136" t="str">
        <f t="shared" ref="C149:C155" si="12" xml:space="preserve"> IF(B149="","",setValueToTime(B149))</f>
        <v>0h10min</v>
      </c>
      <c r="D149" s="171" t="s">
        <v>196</v>
      </c>
      <c r="E149" s="221" t="s">
        <v>197</v>
      </c>
      <c r="F149" s="221"/>
      <c r="G149" s="3"/>
    </row>
    <row r="150" spans="1:7" s="44" customFormat="1" ht="40.5" x14ac:dyDescent="0.3">
      <c r="A150" s="45"/>
      <c r="B150" s="46">
        <v>12</v>
      </c>
      <c r="C150" s="136" t="str">
        <f t="shared" si="12"/>
        <v>1h</v>
      </c>
      <c r="D150" s="171" t="s">
        <v>199</v>
      </c>
      <c r="E150" s="210"/>
      <c r="F150" s="211"/>
      <c r="G150" s="3"/>
    </row>
    <row r="151" spans="1:7" s="44" customFormat="1" x14ac:dyDescent="0.3">
      <c r="A151" s="45"/>
      <c r="B151" s="46">
        <v>4</v>
      </c>
      <c r="C151" s="136" t="str">
        <f t="shared" si="12"/>
        <v>0h20min</v>
      </c>
      <c r="D151" s="171" t="s">
        <v>200</v>
      </c>
      <c r="E151" s="210"/>
      <c r="F151" s="211"/>
      <c r="G151" s="3"/>
    </row>
    <row r="152" spans="1:7" s="44" customFormat="1" x14ac:dyDescent="0.3">
      <c r="A152" s="46"/>
      <c r="B152" s="46">
        <v>9</v>
      </c>
      <c r="C152" s="137" t="str">
        <f t="shared" si="12"/>
        <v>0h45min</v>
      </c>
      <c r="D152" s="171" t="s">
        <v>201</v>
      </c>
      <c r="E152" s="210"/>
      <c r="F152" s="211"/>
      <c r="G152" s="3"/>
    </row>
    <row r="153" spans="1:7" s="44" customFormat="1" ht="27" x14ac:dyDescent="0.3">
      <c r="A153" s="46" t="s">
        <v>17</v>
      </c>
      <c r="B153" s="46">
        <v>2</v>
      </c>
      <c r="C153" s="137" t="str">
        <f t="shared" si="12"/>
        <v>0h10min</v>
      </c>
      <c r="D153" s="171" t="s">
        <v>53</v>
      </c>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48</v>
      </c>
      <c r="C156" s="145" t="str">
        <f xml:space="preserve"> setValueToTime(B156)</f>
        <v>4h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ht="54" x14ac:dyDescent="0.3">
      <c r="A160" s="41"/>
      <c r="B160" s="42">
        <v>33</v>
      </c>
      <c r="C160" s="135" t="str">
        <f xml:space="preserve"> IF(B160="","",setValueToTime(B160))</f>
        <v>2h45min</v>
      </c>
      <c r="D160" s="171" t="s">
        <v>193</v>
      </c>
      <c r="E160" s="208"/>
      <c r="F160" s="209"/>
      <c r="G160" s="3"/>
    </row>
    <row r="161" spans="1:7" s="44" customFormat="1" x14ac:dyDescent="0.3">
      <c r="A161" s="45"/>
      <c r="B161" s="46">
        <v>3</v>
      </c>
      <c r="C161" s="136" t="str">
        <f t="shared" ref="C161:C167" si="13" xml:space="preserve"> IF(B161="","",setValueToTime(B161))</f>
        <v>0h15min</v>
      </c>
      <c r="D161" s="171" t="s">
        <v>195</v>
      </c>
      <c r="E161" s="210"/>
      <c r="F161" s="211"/>
      <c r="G161" s="3"/>
    </row>
    <row r="162" spans="1:7" s="44" customFormat="1" ht="27" x14ac:dyDescent="0.3">
      <c r="A162" s="45" t="s">
        <v>17</v>
      </c>
      <c r="B162" s="46">
        <v>2</v>
      </c>
      <c r="C162" s="136" t="str">
        <f t="shared" si="13"/>
        <v>0h10min</v>
      </c>
      <c r="D162" s="171" t="s">
        <v>53</v>
      </c>
      <c r="E162" s="210"/>
      <c r="F162" s="211"/>
      <c r="G162" s="3"/>
    </row>
    <row r="163" spans="1:7" s="44" customFormat="1" x14ac:dyDescent="0.3">
      <c r="A163" s="45"/>
      <c r="B163" s="46"/>
      <c r="C163" s="136" t="str">
        <f t="shared" si="13"/>
        <v/>
      </c>
      <c r="D163" s="47"/>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38</v>
      </c>
      <c r="C168" s="145" t="str">
        <f xml:space="preserve"> setValueToTime(B168)</f>
        <v>3h10min</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ht="27" x14ac:dyDescent="0.3">
      <c r="A172" s="41"/>
      <c r="B172" s="42">
        <v>43</v>
      </c>
      <c r="C172" s="135" t="str">
        <f xml:space="preserve"> IF(B172="","",setValueToTime(B172))</f>
        <v>3h35min</v>
      </c>
      <c r="D172" s="170" t="s">
        <v>189</v>
      </c>
      <c r="E172" s="222" t="s">
        <v>190</v>
      </c>
      <c r="F172" s="209"/>
      <c r="G172" s="3"/>
    </row>
    <row r="173" spans="1:7" s="44" customFormat="1" x14ac:dyDescent="0.3">
      <c r="A173" s="45"/>
      <c r="B173" s="46">
        <v>3</v>
      </c>
      <c r="C173" s="136" t="str">
        <f t="shared" ref="C173:C179" si="14" xml:space="preserve"> IF(B173="","",setValueToTime(B173))</f>
        <v>0h15min</v>
      </c>
      <c r="D173" s="171" t="s">
        <v>194</v>
      </c>
      <c r="E173" s="210"/>
      <c r="F173" s="211"/>
      <c r="G173" s="3"/>
    </row>
    <row r="174" spans="1:7" s="44" customFormat="1" ht="27" x14ac:dyDescent="0.3">
      <c r="A174" s="45" t="s">
        <v>17</v>
      </c>
      <c r="B174" s="46">
        <v>2</v>
      </c>
      <c r="C174" s="136" t="str">
        <f t="shared" si="14"/>
        <v>0h10min</v>
      </c>
      <c r="D174" s="171" t="s">
        <v>53</v>
      </c>
      <c r="E174" s="210"/>
      <c r="F174" s="211"/>
      <c r="G174" s="3"/>
    </row>
    <row r="175" spans="1:7" s="44" customFormat="1" x14ac:dyDescent="0.3">
      <c r="A175" s="45"/>
      <c r="B175" s="46"/>
      <c r="C175" s="136" t="str">
        <f t="shared" si="14"/>
        <v/>
      </c>
      <c r="D175" s="47"/>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48</v>
      </c>
      <c r="C180" s="145" t="str">
        <f xml:space="preserve"> setValueToTime(B180)</f>
        <v>4h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6" t="s">
        <v>14</v>
      </c>
      <c r="F183" s="217"/>
      <c r="G183" s="39"/>
    </row>
    <row r="184" spans="1:7" s="44" customFormat="1" ht="40.5" x14ac:dyDescent="0.3">
      <c r="A184" s="41" t="s">
        <v>16</v>
      </c>
      <c r="B184" s="42">
        <v>12</v>
      </c>
      <c r="C184" s="135" t="str">
        <f xml:space="preserve"> IF(B184="","",setValueToTime(B184))</f>
        <v>1h</v>
      </c>
      <c r="D184" s="170" t="s">
        <v>185</v>
      </c>
      <c r="E184" s="222" t="s">
        <v>184</v>
      </c>
      <c r="F184" s="209"/>
      <c r="G184" s="3"/>
    </row>
    <row r="185" spans="1:7" s="44" customFormat="1" ht="40.5" x14ac:dyDescent="0.3">
      <c r="A185" s="45" t="s">
        <v>64</v>
      </c>
      <c r="B185" s="46">
        <v>13</v>
      </c>
      <c r="C185" s="136" t="str">
        <f t="shared" ref="C185:C191" si="15" xml:space="preserve"> IF(B185="","",setValueToTime(B185))</f>
        <v>1h5min</v>
      </c>
      <c r="D185" s="171" t="s">
        <v>188</v>
      </c>
      <c r="E185" s="210"/>
      <c r="F185" s="211"/>
      <c r="G185" s="3"/>
    </row>
    <row r="186" spans="1:7" s="44" customFormat="1" x14ac:dyDescent="0.3">
      <c r="A186" s="45" t="s">
        <v>66</v>
      </c>
      <c r="B186" s="46">
        <v>2</v>
      </c>
      <c r="C186" s="136" t="str">
        <f t="shared" si="15"/>
        <v>0h10min</v>
      </c>
      <c r="D186" s="171" t="s">
        <v>186</v>
      </c>
      <c r="E186" s="210"/>
      <c r="F186" s="211"/>
      <c r="G186" s="3"/>
    </row>
    <row r="187" spans="1:7" s="44" customFormat="1" ht="27" x14ac:dyDescent="0.3">
      <c r="A187" s="45" t="s">
        <v>17</v>
      </c>
      <c r="B187" s="46">
        <v>1</v>
      </c>
      <c r="C187" s="136" t="str">
        <f t="shared" si="15"/>
        <v>0h5min</v>
      </c>
      <c r="D187" s="171" t="s">
        <v>187</v>
      </c>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28</v>
      </c>
      <c r="C192" s="145" t="str">
        <f xml:space="preserve"> setValueToTime(B192)</f>
        <v>2h20min</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6" t="s">
        <v>14</v>
      </c>
      <c r="F195" s="217"/>
      <c r="G195" s="39"/>
    </row>
    <row r="196" spans="1:7" s="44" customFormat="1" x14ac:dyDescent="0.3">
      <c r="A196" s="41" t="s">
        <v>66</v>
      </c>
      <c r="B196" s="42">
        <v>5</v>
      </c>
      <c r="C196" s="135" t="str">
        <f xml:space="preserve"> IF(B196="","",setValueToTime(B196))</f>
        <v>0h25min</v>
      </c>
      <c r="D196" s="170" t="s">
        <v>180</v>
      </c>
      <c r="E196" s="208"/>
      <c r="F196" s="209"/>
      <c r="G196" s="3"/>
    </row>
    <row r="197" spans="1:7" s="44" customFormat="1" x14ac:dyDescent="0.3">
      <c r="A197" s="45"/>
      <c r="B197" s="46">
        <v>17</v>
      </c>
      <c r="C197" s="136" t="str">
        <f t="shared" ref="C197:C203" si="16" xml:space="preserve"> IF(B197="","",setValueToTime(B197))</f>
        <v>1h25min</v>
      </c>
      <c r="D197" s="171" t="s">
        <v>181</v>
      </c>
      <c r="E197" s="220" t="s">
        <v>183</v>
      </c>
      <c r="F197" s="211"/>
      <c r="G197" s="3"/>
    </row>
    <row r="198" spans="1:7" s="44" customFormat="1" ht="27" x14ac:dyDescent="0.3">
      <c r="A198" s="45"/>
      <c r="B198" s="46">
        <v>4</v>
      </c>
      <c r="C198" s="136" t="str">
        <f t="shared" si="16"/>
        <v>0h20min</v>
      </c>
      <c r="D198" s="171" t="s">
        <v>182</v>
      </c>
      <c r="E198" s="223" t="s">
        <v>191</v>
      </c>
      <c r="F198" s="224"/>
      <c r="G198" s="3"/>
    </row>
    <row r="199" spans="1:7" s="44" customFormat="1" x14ac:dyDescent="0.3">
      <c r="A199" s="45"/>
      <c r="B199" s="46">
        <v>2</v>
      </c>
      <c r="C199" s="136" t="str">
        <f t="shared" si="16"/>
        <v>0h10min</v>
      </c>
      <c r="D199" s="171" t="s">
        <v>53</v>
      </c>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28</v>
      </c>
      <c r="C204" s="145" t="str">
        <f xml:space="preserve"> setValueToTime(B204)</f>
        <v>2h20min</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x14ac:dyDescent="0.3">
      <c r="A208" s="41"/>
      <c r="B208" s="42">
        <v>12</v>
      </c>
      <c r="C208" s="135" t="str">
        <f xml:space="preserve"> IF(B208="","",setValueToTime(B208))</f>
        <v>1h</v>
      </c>
      <c r="D208" s="170" t="s">
        <v>176</v>
      </c>
      <c r="E208" s="208"/>
      <c r="F208" s="209"/>
      <c r="G208" s="3"/>
    </row>
    <row r="209" spans="1:7" s="44" customFormat="1" x14ac:dyDescent="0.3">
      <c r="A209" s="45"/>
      <c r="B209" s="46">
        <v>5</v>
      </c>
      <c r="C209" s="136" t="str">
        <f t="shared" ref="C209:C215" si="17" xml:space="preserve"> IF(B209="","",setValueToTime(B209))</f>
        <v>0h25min</v>
      </c>
      <c r="D209" s="171" t="s">
        <v>177</v>
      </c>
      <c r="E209" s="210"/>
      <c r="F209" s="211"/>
      <c r="G209" s="3"/>
    </row>
    <row r="210" spans="1:7" s="44" customFormat="1" ht="81" x14ac:dyDescent="0.3">
      <c r="A210" s="45" t="s">
        <v>64</v>
      </c>
      <c r="B210" s="46">
        <v>18</v>
      </c>
      <c r="C210" s="136" t="str">
        <f t="shared" si="17"/>
        <v>1h30min</v>
      </c>
      <c r="D210" s="171" t="s">
        <v>178</v>
      </c>
      <c r="E210" s="210"/>
      <c r="F210" s="211"/>
      <c r="G210" s="3"/>
    </row>
    <row r="211" spans="1:7" s="44" customFormat="1" ht="27.75" x14ac:dyDescent="0.3">
      <c r="A211" s="45" t="s">
        <v>63</v>
      </c>
      <c r="B211" s="46">
        <v>11</v>
      </c>
      <c r="C211" s="136" t="str">
        <f t="shared" si="17"/>
        <v>0h55min</v>
      </c>
      <c r="D211" s="171" t="s">
        <v>179</v>
      </c>
      <c r="E211" s="225" t="s">
        <v>192</v>
      </c>
      <c r="F211" s="197"/>
      <c r="G211" s="3"/>
    </row>
    <row r="212" spans="1:7" s="44" customFormat="1" ht="27" x14ac:dyDescent="0.3">
      <c r="A212" s="46" t="s">
        <v>17</v>
      </c>
      <c r="B212" s="46">
        <v>2</v>
      </c>
      <c r="C212" s="137" t="str">
        <f t="shared" si="17"/>
        <v>0h10min</v>
      </c>
      <c r="D212" s="171" t="s">
        <v>53</v>
      </c>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t="s">
        <v>16</v>
      </c>
      <c r="B220" s="42">
        <v>32</v>
      </c>
      <c r="C220" s="135" t="str">
        <f xml:space="preserve"> IF(B220="","",setValueToTime(B220))</f>
        <v>2h40min</v>
      </c>
      <c r="D220" s="170" t="s">
        <v>56</v>
      </c>
      <c r="E220" s="208"/>
      <c r="F220" s="209"/>
      <c r="G220" s="3"/>
    </row>
    <row r="221" spans="1:7" s="44" customFormat="1" ht="27" x14ac:dyDescent="0.3">
      <c r="A221" s="45" t="s">
        <v>68</v>
      </c>
      <c r="B221" s="46">
        <v>4</v>
      </c>
      <c r="C221" s="136" t="str">
        <f t="shared" ref="C221:C227" si="18" xml:space="preserve"> IF(B221="","",setValueToTime(B221))</f>
        <v>0h20min</v>
      </c>
      <c r="D221" s="171" t="s">
        <v>174</v>
      </c>
      <c r="E221" s="210"/>
      <c r="F221" s="211"/>
      <c r="G221" s="3"/>
    </row>
    <row r="222" spans="1:7" s="44" customFormat="1" x14ac:dyDescent="0.3">
      <c r="A222" s="45" t="s">
        <v>111</v>
      </c>
      <c r="B222" s="46">
        <v>2</v>
      </c>
      <c r="C222" s="136" t="str">
        <f t="shared" si="18"/>
        <v>0h10min</v>
      </c>
      <c r="D222" s="171" t="s">
        <v>175</v>
      </c>
      <c r="E222" s="210"/>
      <c r="F222" s="211"/>
      <c r="G222" s="3"/>
    </row>
    <row r="223" spans="1:7" s="44" customFormat="1" x14ac:dyDescent="0.3">
      <c r="A223" s="45"/>
      <c r="B223" s="46"/>
      <c r="C223" s="136" t="str">
        <f t="shared" si="18"/>
        <v/>
      </c>
      <c r="D223" s="171"/>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ht="27" x14ac:dyDescent="0.3">
      <c r="A232" s="41" t="s">
        <v>63</v>
      </c>
      <c r="B232" s="42">
        <v>3</v>
      </c>
      <c r="C232" s="135" t="str">
        <f xml:space="preserve"> IF(B232="","",setValueToTime(B232))</f>
        <v>0h15min</v>
      </c>
      <c r="D232" s="170" t="s">
        <v>172</v>
      </c>
      <c r="E232" s="208"/>
      <c r="F232" s="209"/>
      <c r="G232" s="3"/>
    </row>
    <row r="233" spans="1:7" s="44" customFormat="1" ht="27" x14ac:dyDescent="0.3">
      <c r="A233" s="45" t="s">
        <v>64</v>
      </c>
      <c r="B233" s="46">
        <v>18</v>
      </c>
      <c r="C233" s="136" t="str">
        <f t="shared" ref="C233:C239" si="19" xml:space="preserve"> IF(B233="","",setValueToTime(B233))</f>
        <v>1h30min</v>
      </c>
      <c r="D233" s="171" t="s">
        <v>173</v>
      </c>
      <c r="E233" s="210"/>
      <c r="F233" s="211"/>
      <c r="G233" s="3"/>
    </row>
    <row r="234" spans="1:7" s="44" customFormat="1" ht="27" x14ac:dyDescent="0.3">
      <c r="A234" s="45" t="s">
        <v>68</v>
      </c>
      <c r="B234" s="46">
        <v>8</v>
      </c>
      <c r="C234" s="136" t="str">
        <f t="shared" si="19"/>
        <v>0h40min</v>
      </c>
      <c r="D234" s="171" t="s">
        <v>171</v>
      </c>
      <c r="E234" s="210"/>
      <c r="F234" s="211"/>
      <c r="G234" s="3"/>
    </row>
    <row r="235" spans="1:7" s="44" customFormat="1" x14ac:dyDescent="0.3">
      <c r="A235" s="45" t="s">
        <v>16</v>
      </c>
      <c r="B235" s="46">
        <v>15</v>
      </c>
      <c r="C235" s="136" t="str">
        <f t="shared" si="19"/>
        <v>1h15min</v>
      </c>
      <c r="D235" s="171" t="s">
        <v>55</v>
      </c>
      <c r="E235" s="210"/>
      <c r="F235" s="211"/>
      <c r="G235" s="3"/>
    </row>
    <row r="236" spans="1:7" s="44" customFormat="1" x14ac:dyDescent="0.3">
      <c r="A236" s="46" t="s">
        <v>111</v>
      </c>
      <c r="B236" s="46">
        <v>2</v>
      </c>
      <c r="C236" s="137" t="str">
        <f t="shared" si="19"/>
        <v>0h10min</v>
      </c>
      <c r="D236" s="171" t="s">
        <v>170</v>
      </c>
      <c r="E236" s="210"/>
      <c r="F236" s="211"/>
      <c r="G236" s="3"/>
    </row>
    <row r="237" spans="1:7" s="44" customFormat="1" ht="27" x14ac:dyDescent="0.3">
      <c r="A237" s="46" t="s">
        <v>17</v>
      </c>
      <c r="B237" s="46">
        <v>2</v>
      </c>
      <c r="C237" s="137" t="str">
        <f t="shared" si="19"/>
        <v>0h10min</v>
      </c>
      <c r="D237" s="171" t="s">
        <v>53</v>
      </c>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13</v>
      </c>
      <c r="C244" s="135" t="str">
        <f xml:space="preserve"> IF(B244="","",setValueToTime(B244))</f>
        <v>1h5min</v>
      </c>
      <c r="D244" s="170" t="s">
        <v>49</v>
      </c>
      <c r="E244" s="208"/>
      <c r="F244" s="209"/>
      <c r="G244" s="3"/>
    </row>
    <row r="245" spans="1:7" s="44" customFormat="1" ht="67.5" x14ac:dyDescent="0.3">
      <c r="A245" s="45"/>
      <c r="B245" s="46">
        <v>22</v>
      </c>
      <c r="C245" s="136" t="str">
        <f t="shared" ref="C245:C251" si="20" xml:space="preserve"> IF(B245="","",setValueToTime(B245))</f>
        <v>1h50min</v>
      </c>
      <c r="D245" s="171" t="s">
        <v>167</v>
      </c>
      <c r="E245" s="220" t="s">
        <v>168</v>
      </c>
      <c r="F245" s="211"/>
      <c r="G245" s="3"/>
    </row>
    <row r="246" spans="1:7" s="44" customFormat="1" x14ac:dyDescent="0.3">
      <c r="A246" s="45"/>
      <c r="B246" s="46"/>
      <c r="C246" s="136" t="str">
        <f t="shared" si="20"/>
        <v/>
      </c>
      <c r="D246" s="171"/>
      <c r="E246" s="210"/>
      <c r="F246" s="211"/>
      <c r="G246" s="3"/>
    </row>
    <row r="247" spans="1:7" s="44" customFormat="1" x14ac:dyDescent="0.3">
      <c r="A247" s="45"/>
      <c r="B247" s="46">
        <v>3</v>
      </c>
      <c r="C247" s="136" t="str">
        <f t="shared" si="20"/>
        <v>0h15min</v>
      </c>
      <c r="D247" s="171" t="s">
        <v>53</v>
      </c>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2</v>
      </c>
      <c r="C256" s="135" t="str">
        <f xml:space="preserve"> IF(B256="","",setValueToTime(B256))</f>
        <v>0h10min</v>
      </c>
      <c r="D256" s="170" t="s">
        <v>162</v>
      </c>
      <c r="E256" s="208"/>
      <c r="F256" s="209"/>
      <c r="G256" s="3"/>
    </row>
    <row r="257" spans="1:7" s="44" customFormat="1" ht="27" x14ac:dyDescent="0.3">
      <c r="A257" s="45"/>
      <c r="B257" s="46">
        <v>8</v>
      </c>
      <c r="C257" s="136" t="str">
        <f t="shared" ref="C257:C263" si="21" xml:space="preserve"> IF(B257="","",setValueToTime(B257))</f>
        <v>0h40min</v>
      </c>
      <c r="D257" s="171" t="s">
        <v>169</v>
      </c>
      <c r="E257" s="210"/>
      <c r="F257" s="211"/>
      <c r="G257" s="3"/>
    </row>
    <row r="258" spans="1:7" s="44" customFormat="1" x14ac:dyDescent="0.3">
      <c r="A258" s="45"/>
      <c r="B258" s="46">
        <v>15</v>
      </c>
      <c r="C258" s="136" t="str">
        <f t="shared" si="21"/>
        <v>1h15min</v>
      </c>
      <c r="D258" s="171" t="s">
        <v>163</v>
      </c>
      <c r="E258" s="210"/>
      <c r="F258" s="211"/>
      <c r="G258" s="3"/>
    </row>
    <row r="259" spans="1:7" s="44" customFormat="1" x14ac:dyDescent="0.3">
      <c r="A259" s="45"/>
      <c r="B259" s="46">
        <v>9</v>
      </c>
      <c r="C259" s="136" t="str">
        <f t="shared" si="21"/>
        <v>0h45min</v>
      </c>
      <c r="D259" s="47" t="s">
        <v>115</v>
      </c>
      <c r="E259" s="210"/>
      <c r="F259" s="211"/>
      <c r="G259" s="3"/>
    </row>
    <row r="260" spans="1:7" s="44" customFormat="1" x14ac:dyDescent="0.3">
      <c r="A260" s="46"/>
      <c r="B260" s="46">
        <v>5</v>
      </c>
      <c r="C260" s="137" t="str">
        <f t="shared" si="21"/>
        <v>0h25min</v>
      </c>
      <c r="D260" s="171" t="s">
        <v>164</v>
      </c>
      <c r="E260" s="210"/>
      <c r="F260" s="211"/>
      <c r="G260" s="3"/>
    </row>
    <row r="261" spans="1:7" s="44" customFormat="1" ht="27" x14ac:dyDescent="0.3">
      <c r="A261" s="46"/>
      <c r="B261" s="46">
        <v>5</v>
      </c>
      <c r="C261" s="137" t="str">
        <f t="shared" si="21"/>
        <v>0h25min</v>
      </c>
      <c r="D261" s="171" t="s">
        <v>165</v>
      </c>
      <c r="E261" s="210"/>
      <c r="F261" s="211"/>
      <c r="G261" s="3"/>
    </row>
    <row r="262" spans="1:7" s="44" customFormat="1" x14ac:dyDescent="0.3">
      <c r="A262" s="46"/>
      <c r="B262" s="46">
        <v>4</v>
      </c>
      <c r="C262" s="137" t="str">
        <f t="shared" si="21"/>
        <v>0h20min</v>
      </c>
      <c r="D262" s="171" t="s">
        <v>166</v>
      </c>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16</v>
      </c>
      <c r="B268" s="42">
        <v>10</v>
      </c>
      <c r="C268" s="135" t="str">
        <f xml:space="preserve"> IF(B268="","",setValueToTime(B268))</f>
        <v>0h50min</v>
      </c>
      <c r="D268" s="170" t="s">
        <v>158</v>
      </c>
      <c r="E268" s="208"/>
      <c r="F268" s="209"/>
      <c r="G268" s="3"/>
    </row>
    <row r="269" spans="1:7" s="44" customFormat="1" ht="27" x14ac:dyDescent="0.3">
      <c r="A269" s="45" t="s">
        <v>114</v>
      </c>
      <c r="B269" s="46">
        <v>11</v>
      </c>
      <c r="C269" s="136" t="str">
        <f t="shared" ref="C269:C275" si="22" xml:space="preserve"> IF(B269="","",setValueToTime(B269))</f>
        <v>0h55min</v>
      </c>
      <c r="D269" s="171" t="s">
        <v>159</v>
      </c>
      <c r="E269" s="210"/>
      <c r="F269" s="211"/>
      <c r="G269" s="3"/>
    </row>
    <row r="270" spans="1:7" s="44" customFormat="1" x14ac:dyDescent="0.3">
      <c r="A270" s="45" t="s">
        <v>16</v>
      </c>
      <c r="B270" s="46">
        <v>4</v>
      </c>
      <c r="C270" s="136" t="str">
        <f t="shared" si="22"/>
        <v>0h20min</v>
      </c>
      <c r="D270" s="171" t="s">
        <v>56</v>
      </c>
      <c r="E270" s="210"/>
      <c r="F270" s="211"/>
      <c r="G270" s="3"/>
    </row>
    <row r="271" spans="1:7" s="44" customFormat="1" ht="27" x14ac:dyDescent="0.3">
      <c r="A271" s="45" t="s">
        <v>17</v>
      </c>
      <c r="B271" s="46">
        <v>2</v>
      </c>
      <c r="C271" s="136" t="str">
        <f t="shared" si="22"/>
        <v>0h10min</v>
      </c>
      <c r="D271" s="171" t="s">
        <v>160</v>
      </c>
      <c r="E271" s="210"/>
      <c r="F271" s="211"/>
      <c r="G271" s="3"/>
    </row>
    <row r="272" spans="1:7" s="44" customFormat="1" x14ac:dyDescent="0.3">
      <c r="A272" s="46" t="s">
        <v>111</v>
      </c>
      <c r="B272" s="46">
        <v>1</v>
      </c>
      <c r="C272" s="137" t="str">
        <f t="shared" si="22"/>
        <v>0h5min</v>
      </c>
      <c r="D272" s="171" t="s">
        <v>161</v>
      </c>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6" t="s">
        <v>14</v>
      </c>
      <c r="F279" s="217"/>
      <c r="G279" s="39"/>
    </row>
    <row r="280" spans="1:7" s="44" customFormat="1" x14ac:dyDescent="0.3">
      <c r="A280" s="41" t="s">
        <v>4</v>
      </c>
      <c r="B280" s="46">
        <v>12</v>
      </c>
      <c r="C280" s="135" t="str">
        <f xml:space="preserve"> IF(B280="","",setValueToTime(B280))</f>
        <v>1h</v>
      </c>
      <c r="D280" s="170" t="s">
        <v>156</v>
      </c>
      <c r="E280" s="208"/>
      <c r="F280" s="209"/>
      <c r="G280" s="3"/>
    </row>
    <row r="281" spans="1:7" s="44" customFormat="1" x14ac:dyDescent="0.3">
      <c r="A281" s="45" t="s">
        <v>4</v>
      </c>
      <c r="B281" s="46">
        <v>3</v>
      </c>
      <c r="C281" s="136" t="str">
        <f t="shared" ref="C281:C287" si="23" xml:space="preserve"> IF(B281="","",setValueToTime(B281))</f>
        <v>0h15min</v>
      </c>
      <c r="D281" s="47" t="s">
        <v>150</v>
      </c>
      <c r="E281" s="210"/>
      <c r="F281" s="211"/>
      <c r="G281" s="3"/>
    </row>
    <row r="282" spans="1:7" s="44" customFormat="1" ht="27" x14ac:dyDescent="0.3">
      <c r="A282" s="45" t="s">
        <v>68</v>
      </c>
      <c r="B282" s="46">
        <v>6</v>
      </c>
      <c r="C282" s="136" t="str">
        <f t="shared" si="23"/>
        <v>0h30min</v>
      </c>
      <c r="D282" s="171" t="s">
        <v>151</v>
      </c>
      <c r="E282" s="210"/>
      <c r="F282" s="211"/>
      <c r="G282" s="3"/>
    </row>
    <row r="283" spans="1:7" s="44" customFormat="1" x14ac:dyDescent="0.3">
      <c r="A283" s="45" t="s">
        <v>16</v>
      </c>
      <c r="B283" s="46">
        <v>5</v>
      </c>
      <c r="C283" s="136" t="str">
        <f t="shared" si="23"/>
        <v>0h25min</v>
      </c>
      <c r="D283" s="171" t="s">
        <v>152</v>
      </c>
      <c r="E283" s="226" t="s">
        <v>153</v>
      </c>
      <c r="F283" s="227"/>
      <c r="G283" s="3"/>
    </row>
    <row r="284" spans="1:7" s="44" customFormat="1" ht="27" x14ac:dyDescent="0.3">
      <c r="A284" s="46" t="s">
        <v>17</v>
      </c>
      <c r="B284" s="46">
        <v>2</v>
      </c>
      <c r="C284" s="137" t="str">
        <f t="shared" si="23"/>
        <v>0h10min</v>
      </c>
      <c r="D284" s="171" t="s">
        <v>53</v>
      </c>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ht="40.5" x14ac:dyDescent="0.3">
      <c r="A292" s="41" t="s">
        <v>32</v>
      </c>
      <c r="B292" s="42">
        <v>18</v>
      </c>
      <c r="C292" s="135" t="str">
        <f xml:space="preserve"> IF(B292="","",setValueToTime(B292))</f>
        <v>1h30min</v>
      </c>
      <c r="D292" s="170" t="s">
        <v>154</v>
      </c>
      <c r="E292" s="208"/>
      <c r="F292" s="209"/>
      <c r="G292" s="3"/>
    </row>
    <row r="293" spans="1:7" s="44" customFormat="1" ht="40.5" x14ac:dyDescent="0.3">
      <c r="A293" s="45" t="s">
        <v>68</v>
      </c>
      <c r="B293" s="46">
        <v>13</v>
      </c>
      <c r="C293" s="136" t="str">
        <f t="shared" ref="C293:C299" si="24" xml:space="preserve"> IF(B293="","",setValueToTime(B293))</f>
        <v>1h5min</v>
      </c>
      <c r="D293" s="171" t="s">
        <v>157</v>
      </c>
      <c r="E293" s="210"/>
      <c r="F293" s="211"/>
      <c r="G293" s="3"/>
    </row>
    <row r="294" spans="1:7" s="44" customFormat="1" ht="27" x14ac:dyDescent="0.3">
      <c r="A294" s="45" t="s">
        <v>16</v>
      </c>
      <c r="B294" s="46">
        <v>12</v>
      </c>
      <c r="C294" s="136" t="str">
        <f t="shared" si="24"/>
        <v>1h</v>
      </c>
      <c r="D294" s="171" t="s">
        <v>149</v>
      </c>
      <c r="E294" s="210"/>
      <c r="F294" s="211"/>
      <c r="G294" s="3"/>
    </row>
    <row r="295" spans="1:7" s="44" customFormat="1" x14ac:dyDescent="0.3">
      <c r="A295" s="45" t="s">
        <v>66</v>
      </c>
      <c r="B295" s="46">
        <v>1</v>
      </c>
      <c r="C295" s="136" t="str">
        <f t="shared" si="24"/>
        <v>0h5min</v>
      </c>
      <c r="D295" s="171" t="s">
        <v>147</v>
      </c>
      <c r="E295" s="210"/>
      <c r="F295" s="211"/>
      <c r="G295" s="3"/>
    </row>
    <row r="296" spans="1:7" s="44" customFormat="1" x14ac:dyDescent="0.3">
      <c r="A296" s="46" t="s">
        <v>111</v>
      </c>
      <c r="B296" s="46">
        <v>2</v>
      </c>
      <c r="C296" s="137" t="str">
        <f t="shared" si="24"/>
        <v>0h10min</v>
      </c>
      <c r="D296" s="171" t="s">
        <v>148</v>
      </c>
      <c r="E296" s="210"/>
      <c r="F296" s="211"/>
      <c r="G296" s="3"/>
    </row>
    <row r="297" spans="1:7" s="44" customFormat="1" ht="27" x14ac:dyDescent="0.3">
      <c r="A297" s="46" t="s">
        <v>17</v>
      </c>
      <c r="B297" s="46">
        <v>2</v>
      </c>
      <c r="C297" s="137" t="str">
        <f t="shared" si="24"/>
        <v>0h10min</v>
      </c>
      <c r="D297" s="171" t="s">
        <v>53</v>
      </c>
      <c r="E297" s="210"/>
      <c r="F297" s="211"/>
      <c r="G297" s="3"/>
    </row>
    <row r="298" spans="1:7" s="44" customFormat="1" x14ac:dyDescent="0.3">
      <c r="A298" s="46"/>
      <c r="B298" s="46"/>
      <c r="C298" s="137" t="str">
        <f t="shared" si="24"/>
        <v/>
      </c>
      <c r="D298" s="171"/>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16</v>
      </c>
      <c r="B304" s="42">
        <v>2</v>
      </c>
      <c r="C304" s="135" t="str">
        <f xml:space="preserve"> IF(B304="","",setValueToTime(B304))</f>
        <v>0h10min</v>
      </c>
      <c r="D304" s="170" t="s">
        <v>146</v>
      </c>
      <c r="E304" s="208"/>
      <c r="F304" s="209"/>
      <c r="G304" s="3"/>
    </row>
    <row r="305" spans="1:7" s="44" customFormat="1" ht="27" x14ac:dyDescent="0.3">
      <c r="A305" s="45" t="s">
        <v>32</v>
      </c>
      <c r="B305" s="46">
        <v>24</v>
      </c>
      <c r="C305" s="136" t="str">
        <f t="shared" ref="C305:C311" si="25" xml:space="preserve"> IF(B305="","",setValueToTime(B305))</f>
        <v>2h</v>
      </c>
      <c r="D305" s="47" t="s">
        <v>52</v>
      </c>
      <c r="E305" s="210"/>
      <c r="F305" s="211"/>
      <c r="G305" s="3"/>
    </row>
    <row r="306" spans="1:7" s="44" customFormat="1" ht="27" x14ac:dyDescent="0.3">
      <c r="A306" s="45" t="s">
        <v>17</v>
      </c>
      <c r="B306" s="46">
        <v>2</v>
      </c>
      <c r="C306" s="136" t="str">
        <f t="shared" si="25"/>
        <v>0h10min</v>
      </c>
      <c r="D306" s="47" t="s">
        <v>53</v>
      </c>
      <c r="E306" s="210"/>
      <c r="F306" s="211"/>
      <c r="G306" s="3"/>
    </row>
    <row r="307" spans="1:7" s="44" customFormat="1" ht="27" x14ac:dyDescent="0.3">
      <c r="A307" s="45" t="s">
        <v>32</v>
      </c>
      <c r="B307" s="46">
        <v>14</v>
      </c>
      <c r="C307" s="136" t="str">
        <f t="shared" si="25"/>
        <v>1h10min</v>
      </c>
      <c r="D307" s="171" t="s">
        <v>155</v>
      </c>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x14ac:dyDescent="0.3">
      <c r="A316" s="41" t="s">
        <v>66</v>
      </c>
      <c r="B316" s="42">
        <v>3</v>
      </c>
      <c r="C316" s="135" t="str">
        <f xml:space="preserve"> IF(B316="","",setValueToTime(B316))</f>
        <v>0h15min</v>
      </c>
      <c r="D316" s="43" t="s">
        <v>108</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6</v>
      </c>
      <c r="C318" s="136" t="str">
        <f t="shared" si="26"/>
        <v>0h30min</v>
      </c>
      <c r="D318" s="47" t="s">
        <v>109</v>
      </c>
      <c r="E318" s="210"/>
      <c r="F318" s="211"/>
      <c r="G318" s="3"/>
    </row>
    <row r="319" spans="1:7" s="44" customFormat="1" x14ac:dyDescent="0.3">
      <c r="A319" s="46" t="s">
        <v>111</v>
      </c>
      <c r="B319" s="46">
        <v>1</v>
      </c>
      <c r="C319" s="136" t="str">
        <f t="shared" si="26"/>
        <v>0h5min</v>
      </c>
      <c r="D319" s="47" t="s">
        <v>110</v>
      </c>
      <c r="E319" s="210"/>
      <c r="F319" s="211"/>
      <c r="G319" s="3"/>
    </row>
    <row r="320" spans="1:7" s="44" customFormat="1" ht="27" x14ac:dyDescent="0.3">
      <c r="A320" s="46" t="s">
        <v>32</v>
      </c>
      <c r="B320" s="46">
        <v>31</v>
      </c>
      <c r="C320" s="137" t="str">
        <f t="shared" si="26"/>
        <v>2h35min</v>
      </c>
      <c r="D320" s="47" t="s">
        <v>112</v>
      </c>
      <c r="E320" s="210"/>
      <c r="F320" s="211"/>
      <c r="G320" s="3"/>
    </row>
    <row r="321" spans="1:7" s="44" customFormat="1" ht="27" x14ac:dyDescent="0.3">
      <c r="A321" s="46" t="s">
        <v>17</v>
      </c>
      <c r="B321" s="46">
        <v>2</v>
      </c>
      <c r="C321" s="137" t="str">
        <f t="shared" si="26"/>
        <v>0h10min</v>
      </c>
      <c r="D321" s="47" t="s">
        <v>53</v>
      </c>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232:B239 B112:B119 B100:B107 B88:B95 B76:B83 B64:B71 B52:B59 B40:B47 B28:B35 B16:B23 B124:B13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2024-05-29T09:26:07Z</cp:lastPrinted>
  <dcterms:created xsi:type="dcterms:W3CDTF">1996-10-21T11:03:58Z</dcterms:created>
  <dcterms:modified xsi:type="dcterms:W3CDTF">2024-05-30T21:42:18Z</dcterms:modified>
</cp:coreProperties>
</file>