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C6DEE0B9-E892-4312-9BB3-CE6FF1AC2FCD}"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88"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88" i="12"/>
  <c r="C204" i="12"/>
  <c r="C173" i="10"/>
  <c r="C36" i="12"/>
  <c r="C12" i="12"/>
  <c r="D91" i="1"/>
  <c r="C11" i="16"/>
  <c r="C208" i="10"/>
  <c r="C175" i="10"/>
  <c r="D66" i="1"/>
  <c r="D16" i="1"/>
  <c r="D56" i="1"/>
  <c r="C281" i="10"/>
  <c r="D46" i="1"/>
  <c r="C102" i="10"/>
  <c r="C261" i="12"/>
  <c r="D30" i="1"/>
  <c r="C156" i="12"/>
  <c r="D42" i="1"/>
  <c r="C186" i="12"/>
  <c r="D33" i="1"/>
  <c r="C101" i="10"/>
  <c r="D17" i="1"/>
  <c r="C269" i="10"/>
  <c r="D86" i="1"/>
  <c r="C222" i="10"/>
  <c r="D24" i="1"/>
  <c r="C136" i="10"/>
  <c r="D61" i="1"/>
  <c r="C280" i="10"/>
  <c r="C180" i="10"/>
  <c r="C41" i="10"/>
  <c r="C84" i="10"/>
  <c r="C208" i="12"/>
  <c r="D49" i="1"/>
  <c r="D63" i="1"/>
  <c r="C139" i="12"/>
  <c r="D88" i="1"/>
  <c r="C48" i="12"/>
  <c r="D29" i="1"/>
  <c r="C295" i="12"/>
  <c r="C196" i="12"/>
  <c r="C245" i="12"/>
  <c r="D22" i="1"/>
  <c r="C199" i="12"/>
  <c r="C187" i="12"/>
  <c r="C88" i="10"/>
  <c r="C65" i="10"/>
  <c r="C212" i="12"/>
  <c r="C60" i="12"/>
  <c r="C321" i="12"/>
  <c r="C320" i="10"/>
  <c r="C307" i="12"/>
  <c r="C221" i="10"/>
  <c r="C53" i="10"/>
  <c r="C151" i="10"/>
  <c r="C60" i="10"/>
  <c r="C257" i="12"/>
  <c r="C185" i="10"/>
  <c r="C324" i="12"/>
  <c r="C317" i="12"/>
  <c r="C148" i="10"/>
  <c r="C161" i="12"/>
  <c r="C138" i="12"/>
  <c r="C120" i="10"/>
  <c r="C150" i="10"/>
  <c r="C319" i="10"/>
  <c r="D21" i="1"/>
  <c r="C282" i="12"/>
  <c r="C160" i="12"/>
  <c r="C137" i="12"/>
  <c r="C72" i="12"/>
  <c r="C297" i="12"/>
  <c r="C211" i="12"/>
  <c r="C161" i="10"/>
  <c r="D47" i="1"/>
  <c r="C316" i="12"/>
  <c r="D89" i="1"/>
  <c r="C162" i="12"/>
  <c r="C136" i="12"/>
  <c r="C184" i="10"/>
  <c r="D15" i="1"/>
  <c r="C320" i="12"/>
  <c r="C233" i="12"/>
  <c r="C17" i="10"/>
  <c r="C270" i="10"/>
  <c r="D71" i="1"/>
  <c r="D72" i="1"/>
  <c r="C76" i="10"/>
  <c r="D35" i="1"/>
  <c r="D48" i="1"/>
  <c r="C236" i="12"/>
  <c r="C11" i="15"/>
  <c r="D39" i="1"/>
  <c r="C271" i="12"/>
  <c r="C64" i="10"/>
  <c r="C264" i="10"/>
  <c r="C36" i="10"/>
  <c r="D92" i="1"/>
  <c r="D51" i="1"/>
  <c r="C283" i="12"/>
  <c r="C232" i="12"/>
  <c r="C210" i="12"/>
  <c r="C72" i="10"/>
  <c r="C234" i="12"/>
  <c r="D32" i="1"/>
  <c r="C304" i="10"/>
  <c r="C280" i="12"/>
  <c r="D81" i="1"/>
  <c r="C168" i="12"/>
  <c r="C144" i="12"/>
  <c r="C234" i="10"/>
  <c r="C247" i="12"/>
  <c r="C210" i="10"/>
  <c r="C240" i="10"/>
  <c r="D27" i="1"/>
  <c r="C252" i="10"/>
  <c r="C115" i="12"/>
  <c r="C180" i="12"/>
  <c r="C232" i="10"/>
  <c r="C163" i="10"/>
  <c r="C124" i="10"/>
  <c r="D90" i="1"/>
  <c r="D62" i="1"/>
  <c r="C294" i="10"/>
  <c r="D50" i="1"/>
  <c r="C84" i="12"/>
  <c r="C259" i="10"/>
  <c r="D19" i="1"/>
  <c r="C293" i="10"/>
  <c r="D83" i="1"/>
  <c r="C247" i="10"/>
  <c r="C228" i="12"/>
  <c r="D36" i="1"/>
  <c r="C244" i="10"/>
  <c r="C293" i="12"/>
  <c r="C174" i="12"/>
  <c r="C124" i="12"/>
  <c r="C132" i="10"/>
  <c r="C185" i="12"/>
  <c r="C160" i="10"/>
  <c r="C324" i="10"/>
  <c r="C114" i="10"/>
  <c r="C259" i="12"/>
  <c r="C252" i="12"/>
  <c r="D69" i="1"/>
  <c r="C281" i="12"/>
  <c r="D94" i="1"/>
  <c r="C113" i="10"/>
  <c r="C138" i="10"/>
  <c r="C172" i="12"/>
  <c r="C256" i="12"/>
  <c r="D41" i="1"/>
  <c r="C228" i="10"/>
  <c r="C305" i="10"/>
  <c r="D73" i="1"/>
  <c r="C5" i="10"/>
  <c r="D80" i="1"/>
  <c r="C276" i="10"/>
  <c r="C272" i="12"/>
  <c r="C319" i="12"/>
  <c r="D79" i="1"/>
  <c r="C186" i="10"/>
  <c r="C137" i="10"/>
  <c r="D40" i="1"/>
  <c r="C258" i="12"/>
  <c r="C173" i="12"/>
  <c r="C114" i="12"/>
  <c r="D75" i="1"/>
  <c r="C209" i="10"/>
  <c r="D43" i="1"/>
  <c r="C28" i="10"/>
  <c r="C24" i="10"/>
  <c r="D77" i="1"/>
  <c r="D38" i="1"/>
  <c r="D44" i="1"/>
  <c r="C256" i="10"/>
  <c r="D58" i="1"/>
  <c r="C282" i="10"/>
  <c r="C294" i="12"/>
  <c r="C96" i="10"/>
  <c r="C244" i="12"/>
  <c r="D52" i="1"/>
  <c r="C156" i="10"/>
  <c r="C312" i="10"/>
  <c r="C77" i="10"/>
  <c r="C108" i="10"/>
  <c r="D23" i="1"/>
  <c r="C216" i="10"/>
  <c r="C149" i="10"/>
  <c r="C222" i="12"/>
  <c r="D76" i="1"/>
  <c r="C318" i="12"/>
  <c r="C192" i="12"/>
  <c r="C152" i="12"/>
  <c r="C127" i="12"/>
  <c r="C233" i="10"/>
  <c r="D93" i="1"/>
  <c r="C262" i="12"/>
  <c r="C221" i="12"/>
  <c r="C89" i="10"/>
  <c r="D85" i="1"/>
  <c r="C296" i="12"/>
  <c r="C264" i="12"/>
  <c r="C240" i="12"/>
  <c r="C235" i="12"/>
  <c r="C245" i="10"/>
  <c r="D84" i="1"/>
  <c r="D59" i="1"/>
  <c r="D65" i="1"/>
  <c r="D25" i="1"/>
  <c r="C288" i="10"/>
  <c r="C196" i="10"/>
  <c r="C292" i="12"/>
  <c r="C312" i="12"/>
  <c r="C153" i="12"/>
  <c r="C120" i="12"/>
  <c r="C52" i="10"/>
  <c r="C306" i="12"/>
  <c r="C192" i="10"/>
  <c r="C40" i="10"/>
  <c r="C260" i="12"/>
  <c r="D26" i="1"/>
  <c r="C100" i="10"/>
  <c r="C237" i="12"/>
  <c r="C150" i="12"/>
  <c r="C126" i="12"/>
  <c r="C292" i="10"/>
  <c r="C209" i="12"/>
  <c r="C6" i="10"/>
  <c r="C318" i="10"/>
  <c r="C48" i="10"/>
  <c r="C24" i="12"/>
  <c r="C246" i="10"/>
  <c r="C149" i="12"/>
  <c r="D68" i="1"/>
  <c r="C113" i="12"/>
  <c r="C172" i="10"/>
  <c r="C125" i="10"/>
  <c r="C174" i="10"/>
  <c r="C300" i="10"/>
  <c r="C248" i="10"/>
  <c r="C305" i="12"/>
  <c r="C276" i="12"/>
  <c r="D18" i="1"/>
  <c r="D64" i="1"/>
  <c r="C16" i="10"/>
  <c r="D20" i="1"/>
  <c r="D45" i="1"/>
  <c r="C197" i="12"/>
  <c r="C270" i="12"/>
  <c r="D57" i="1"/>
  <c r="D82" i="1"/>
  <c r="D55" i="1"/>
  <c r="C151" i="12"/>
  <c r="C112" i="12"/>
  <c r="C220" i="12"/>
  <c r="C112" i="10"/>
  <c r="D87" i="1"/>
  <c r="D34" i="1"/>
  <c r="C197" i="10"/>
  <c r="C29" i="10"/>
  <c r="C162" i="10"/>
  <c r="D74" i="1"/>
  <c r="C284" i="12"/>
  <c r="C268" i="12"/>
  <c r="C317" i="10"/>
  <c r="C261" i="10"/>
  <c r="C268" i="10"/>
  <c r="D37" i="1"/>
  <c r="D31" i="1"/>
  <c r="C316" i="10"/>
  <c r="C257" i="10"/>
  <c r="C220" i="10"/>
  <c r="C304" i="12"/>
  <c r="C258" i="10"/>
  <c r="C198" i="12"/>
  <c r="C300" i="12"/>
  <c r="D53" i="1"/>
  <c r="C216" i="12"/>
  <c r="D67" i="1"/>
  <c r="C184" i="12"/>
  <c r="C204" i="10"/>
  <c r="C260" i="10"/>
  <c r="C148" i="12"/>
  <c r="C125" i="12"/>
  <c r="C168" i="10"/>
  <c r="D28" i="1"/>
  <c r="C12" i="10"/>
  <c r="D78" i="1"/>
  <c r="C269" i="12"/>
  <c r="D54" i="1"/>
  <c r="C4" i="10"/>
  <c r="C132" i="12"/>
  <c r="D60" i="1"/>
  <c r="C144" i="10"/>
  <c r="D70" i="1"/>
  <c r="C223" i="10"/>
  <c r="C104" i="12"/>
  <c r="C103" i="12"/>
  <c r="C102" i="12"/>
  <c r="C101" i="12"/>
  <c r="C100" i="12"/>
  <c r="C108" i="12"/>
  <c r="C90" i="12"/>
  <c r="C89" i="12"/>
  <c r="C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<sst xmlns="http://schemas.openxmlformats.org/spreadsheetml/2006/main" count="1288" uniqueCount="216">
  <si>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</si>
  <si>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</si>
  <si>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</si>
  <si>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</si>
  <si>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</si>
  <si>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</si>
  <si>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</si>
  <si>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</si>
  <si>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</si>
  <si>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</si>
  <si>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</si>
  <si>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</si>
  <si>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</si>
  <si>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</si>
  <si>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</si>
  <si>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</si>
  <si>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</si>
  <si>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</si>
  <si>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</si>
  <si>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</si>
  <si>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</si>
  <si>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</si>
  <si>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</si>
  <si>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</si>
  <si>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</si>
  <si>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</si>
  <si>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</si>
  <si>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</si>
  <si>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</si>
  <si>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</si>
  <si>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</si>
  <si>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</si>
  <si>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</si>
  <si>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</si>
  <si>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</si>
  <si>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</si>
  <si>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</si>
  <si>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</si>
  <si>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</si>
  <si>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</si>
  <si>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</si>
  <si>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</si>
  <si>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</si>
  <si>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</si>
  <si>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</si>
  <si>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</si>
  <si>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</si>
  <si>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</si>
  <si>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</si>
  <si>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</si>
  <si>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</si>
  <si>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</si>
  <si>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</si>
  <si>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</si>
  <si>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</si>
  <si>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</si>
  <si>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</si>
  <si>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</si>
  <si>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</si>
  <si>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</si>
  <si>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</si>
  <si>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</si>
  <si>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</si>
  <si>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</si>
  <si>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</si>
  <si>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</si>
  <si>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</si>
  <si>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</si>
  <si>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</si>
  <si>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</si>
  <si>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</si>
  <si>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</si>
  <si>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</si>
  <si>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</si>
  <si>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</si>
  <si>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</si>
  <si>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</si>
  <si>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</si>
  <si>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</si>
  <si>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</si>
  <si>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</si>
  <si>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</si>
  <si>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</si>
  <si>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</si>
  <si>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</si>
  <si>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</si>
  <si>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</si>
  <si>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</si>
  <si>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</si>
  <si>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</si>
  <si>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</si>
  <si>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</si>
  <si>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</si>
  <si>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</si>
  <si>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</si>
  <si>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</si>
  <si>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</si>
  <si>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</si>
  <si>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</si>
  <si>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</si>
  <si>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</si>
  <si>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</si>
  <si>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</si>
  <si>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</si>
  <si>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</si>
  <si>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</si>
  <si>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</si>
  <si>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</si>
  <si>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</si>
  <si>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</si>
  <si>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</si>
  <si>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</si>
  <si>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</si>
  <si>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</si>
  <si>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</si>
  <si>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</si>
  <si>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</si>
  <si>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</si>
  <si>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</si>
  <si>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</si>
  <si>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</si>
  <si>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</si>
  <si>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</si>
  <si>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</si>
  <si>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</si>
  <si>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</si>
  <si>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</si>
  <si>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</si>
  <si>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</si>
  <si>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</si>
  <si>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</si>
  <si>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</si>
  <si>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</si>
  <si>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</si>
  <si>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</si>
  <si>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</si>
  <si>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</si>
  <si>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</si>
  <si>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</si>
  <si>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</si>
  <si>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</si>
  <si>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</si>
  <si>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</si>
  <si>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</si>
  <si>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</si>
  <si>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</si>
  <si>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</si>
  <si>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</si>
  <si>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</si>
  <si>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</si>
  <si>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</si>
  <si>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</si>
  <si>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</si>
  <si>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</si>
  <si>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</si>
  <si>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</si>
  <si>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</si>
  <si>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</si>
  <si>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</si>
  <si>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</si>
  <si>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</si>
  <si>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</si>
  <si>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</si>
  <si>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</si>
  <si>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</si>
  <si>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</si>
  <si>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</si>
  <si>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</si>
  <si>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</si>
  <si>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</si>
  <si>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</si>
  <si>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</si>
  <si>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</si>
  <si>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</si>
  <si>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</si>
  <si>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</si>
  <si>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</si>
  <si>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</si>
  <si>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</si>
  <si>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</si>
  <si>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</si>
  <si>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</si>
  <si>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</si>
  <si>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</si>
  <si>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</si>
  <si>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</si>
  <si>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</si>
  <si>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</si>
  <si>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</si>
  <si>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</si>
  <si>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</si>
  <si>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</si>
  <si>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</si>
  <si>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</si>
  <si>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</si>
  <si>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</si>
  <si>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</si>
  <si>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</si>
  <si>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</si>
  <si>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</si>
  <si>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</si>
  <si>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</si>
  <si>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</si>
  <si>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</si>
  <si>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</si>
  <si>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</si>
  <si>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</si>
  <si>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</si>
  <si>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</si>
  <si>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</si>
  <si>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</si>
  <si>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</si>
  <si>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Implémentation de l'affichage des tâches dans l'interface principale (en cours!)</t>
  </si>
  <si>
    <t>Code</t>
  </si>
  <si>
    <t>https://www.base-de-donnees.com/mld/
https://www.techno-science.net/definition/739.html
https://ineumann.developpez.com/tutoriels/merise/initiation-merise/
https://fr.wikipedia.org/wiki/Merise_(informatique)</t>
  </si>
  <si>
    <t xml:space="preserve">Rédaction du rapport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</si>
</sst>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86" activePane="bottomLeft" state="frozen"/>
      <selection pane="bottomLeft" activeCell="D104" sqref="D10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170" t="s">
        <v>213</v>
      </c>
      <c r="E88" s="214"/>
      <c r="F88" s="215"/>
      <c r="G88" s="3"/>
    </row>
    <row r="89" spans="1:7" s="44" customFormat="1" x14ac:dyDescent="0.3">
      <c r="A89" s="45"/>
      <c r="B89" s="46">
        <v>12</v>
      </c>
      <c r="C89" s="136" t="str">
        <f t="shared" ref="C89:C95" si="7" xml:space="preserve"> IF(B89="","",setValueToTime(B89))</f>
        <v>1h</v>
      </c>
      <c r="D89" s="171" t="s">
        <v>56</v>
      </c>
      <c r="E89" s="206"/>
      <c r="F89" s="207"/>
      <c r="G89" s="3"/>
    </row>
    <row r="90" spans="1:7" s="44" customFormat="1" x14ac:dyDescent="0.3">
      <c r="A90" s="45"/>
      <c r="B90" s="46">
        <v>2</v>
      </c>
      <c r="C90" s="136" t="str">
        <f t="shared" si="7"/>
        <v>0h10min</v>
      </c>
      <c r="D90" s="171" t="s">
        <v>53</v>
      </c>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14</v>
      </c>
      <c r="C96" s="145" t="str">
        <f xml:space="preserve"> setValueToTime(B96)</f>
        <v>1h10min</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ht="54" x14ac:dyDescent="0.3">
      <c r="A100" s="41"/>
      <c r="B100" s="42">
        <v>10</v>
      </c>
      <c r="C100" s="135" t="str">
        <f xml:space="preserve"> IF(B100="","",setValueToTime(B100))</f>
        <v>0h50min</v>
      </c>
      <c r="D100" s="170" t="s">
        <v>210</v>
      </c>
      <c r="E100" s="214"/>
      <c r="F100" s="215"/>
      <c r="G100" s="3"/>
    </row>
    <row r="101" spans="1:7" s="44" customFormat="1" x14ac:dyDescent="0.3">
      <c r="A101" s="45"/>
      <c r="B101" s="46">
        <v>12</v>
      </c>
      <c r="C101" s="136" t="str">
        <f t="shared" ref="C101:C107" si="8" xml:space="preserve"> IF(B101="","",setValueToTime(B101))</f>
        <v>1h</v>
      </c>
      <c r="D101" s="171" t="s">
        <v>211</v>
      </c>
      <c r="E101" s="206"/>
      <c r="F101" s="207"/>
      <c r="G101" s="3"/>
    </row>
    <row r="102" spans="1:7" s="44" customFormat="1" x14ac:dyDescent="0.3">
      <c r="A102" s="45"/>
      <c r="B102" s="46">
        <v>12</v>
      </c>
      <c r="C102" s="136" t="str">
        <f t="shared" si="8"/>
        <v>1h</v>
      </c>
      <c r="D102" s="171" t="s">
        <v>212</v>
      </c>
      <c r="E102" s="206"/>
      <c r="F102" s="207"/>
      <c r="G102" s="3"/>
    </row>
    <row r="103" spans="1:7" s="44" customFormat="1" ht="54" x14ac:dyDescent="0.3">
      <c r="A103" s="45"/>
      <c r="B103" s="46">
        <v>12</v>
      </c>
      <c r="C103" s="136" t="str">
        <f t="shared" si="8"/>
        <v>1h</v>
      </c>
      <c r="D103" s="171" t="s">
        <v>215</v>
      </c>
      <c r="E103" s="222" t="s">
        <v>214</v>
      </c>
      <c r="F103" s="207"/>
      <c r="G103" s="3"/>
    </row>
    <row r="104" spans="1:7" s="44" customFormat="1" x14ac:dyDescent="0.3">
      <c r="A104" s="46"/>
      <c r="B104" s="46">
        <v>2</v>
      </c>
      <c r="C104" s="137" t="str">
        <f t="shared" si="8"/>
        <v>0h10min</v>
      </c>
      <c r="D104" s="171" t="s">
        <v>53</v>
      </c>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48</v>
      </c>
      <c r="C108" s="145" t="str">
        <f xml:space="preserve"> setValueToTime(B108)</f>
        <v>4h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v>4</v>
      </c>
      <c r="C112" s="135" t="str">
        <f xml:space="preserve"> IF(B112="","",setValueToTime(B112))</f>
        <v>0h20min</v>
      </c>
      <c r="D112" s="170" t="s">
        <v>205</v>
      </c>
      <c r="E112" s="214"/>
      <c r="F112" s="215"/>
      <c r="G112" s="3"/>
    </row>
    <row r="113" spans="1:7" s="44" customFormat="1" x14ac:dyDescent="0.3">
      <c r="A113" s="45"/>
      <c r="B113" s="46">
        <v>1</v>
      </c>
      <c r="C113" s="136" t="str">
        <f t="shared" ref="C113:C119" si="9" xml:space="preserve"> IF(B113="","",setValueToTime(B113))</f>
        <v>0h5min</v>
      </c>
      <c r="D113" s="171" t="s">
        <v>208</v>
      </c>
      <c r="E113" s="206"/>
      <c r="F113" s="207"/>
      <c r="G113" s="3"/>
    </row>
    <row r="114" spans="1:7" s="44" customFormat="1" ht="27" x14ac:dyDescent="0.3">
      <c r="A114" s="45"/>
      <c r="B114" s="46">
        <v>21</v>
      </c>
      <c r="C114" s="136" t="str">
        <f t="shared" si="9"/>
        <v>1h45min</v>
      </c>
      <c r="D114" s="171" t="s">
        <v>209</v>
      </c>
      <c r="E114" s="206"/>
      <c r="F114" s="207"/>
      <c r="G114" s="3"/>
    </row>
    <row r="115" spans="1:7" s="44" customFormat="1" ht="27" x14ac:dyDescent="0.3">
      <c r="A115" s="45" t="s">
        <v>17</v>
      </c>
      <c r="B115" s="46">
        <v>2</v>
      </c>
      <c r="C115" s="136" t="str">
        <f t="shared" si="9"/>
        <v>0h10min</v>
      </c>
      <c r="D115" s="171" t="s">
        <v>53</v>
      </c>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28</v>
      </c>
      <c r="C120" s="145" t="str">
        <f xml:space="preserve"> setValueToTime(B120)</f>
        <v>2h20min</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t="s">
        <v>4</v>
      </c>
      <c r="B124" s="42">
        <v>3</v>
      </c>
      <c r="C124" s="135" t="str">
        <f xml:space="preserve"> IF(B124="","",setValueToTime(B124))</f>
        <v>0h15min</v>
      </c>
      <c r="D124" s="170" t="s">
        <v>204</v>
      </c>
      <c r="E124" s="214"/>
      <c r="F124" s="215"/>
      <c r="G124" s="3"/>
    </row>
    <row r="125" spans="1:7" s="44" customFormat="1" x14ac:dyDescent="0.3">
      <c r="A125" s="45"/>
      <c r="B125" s="46">
        <v>41</v>
      </c>
      <c r="C125" s="136" t="str">
        <f t="shared" ref="C125:C131" si="10" xml:space="preserve"> IF(B125="","",setValueToTime(B125))</f>
        <v>3h25min</v>
      </c>
      <c r="D125" s="171" t="s">
        <v>206</v>
      </c>
      <c r="E125" s="206"/>
      <c r="F125" s="207"/>
      <c r="G125" s="3"/>
    </row>
    <row r="126" spans="1:7" s="44" customFormat="1" x14ac:dyDescent="0.3">
      <c r="A126" s="45"/>
      <c r="B126" s="46">
        <v>2</v>
      </c>
      <c r="C126" s="136" t="str">
        <f t="shared" si="10"/>
        <v>0h10min</v>
      </c>
      <c r="D126" s="171" t="s">
        <v>207</v>
      </c>
      <c r="E126" s="206"/>
      <c r="F126" s="207"/>
      <c r="G126" s="3"/>
    </row>
    <row r="127" spans="1:7" s="44" customFormat="1" ht="27" x14ac:dyDescent="0.3">
      <c r="A127" s="45" t="s">
        <v>17</v>
      </c>
      <c r="B127" s="46">
        <v>2</v>
      </c>
      <c r="C127" s="136" t="str">
        <f t="shared" si="10"/>
        <v>0h10min</v>
      </c>
      <c r="D127" s="171" t="s">
        <v>53</v>
      </c>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48</v>
      </c>
      <c r="C132" s="145" t="str">
        <f xml:space="preserve"> setValueToTime(B132)</f>
        <v>4h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ht="27" x14ac:dyDescent="0.3">
      <c r="A136" s="41"/>
      <c r="B136" s="42">
        <v>12</v>
      </c>
      <c r="C136" s="135" t="str">
        <f xml:space="preserve"> IF(B136="","",setValueToTime(B136))</f>
        <v>1h</v>
      </c>
      <c r="D136" s="170" t="s">
        <v>202</v>
      </c>
      <c r="E136" s="214"/>
      <c r="F136" s="215"/>
      <c r="G136" s="3"/>
    </row>
    <row r="137" spans="1:7" s="44" customFormat="1" x14ac:dyDescent="0.3">
      <c r="A137" s="45"/>
      <c r="B137" s="46">
        <v>12</v>
      </c>
      <c r="C137" s="136" t="str">
        <f t="shared" ref="C137:C143" si="11" xml:space="preserve"> IF(B137="","",setValueToTime(B137))</f>
        <v>1h</v>
      </c>
      <c r="D137" s="171" t="s">
        <v>203</v>
      </c>
      <c r="E137" s="206"/>
      <c r="F137" s="207"/>
      <c r="G137" s="3"/>
    </row>
    <row r="138" spans="1:7" s="44" customFormat="1" x14ac:dyDescent="0.3">
      <c r="A138" s="45" t="s">
        <v>16</v>
      </c>
      <c r="B138" s="46">
        <v>12</v>
      </c>
      <c r="C138" s="136" t="str">
        <f t="shared" si="11"/>
        <v>1h</v>
      </c>
      <c r="D138" s="171" t="s">
        <v>56</v>
      </c>
      <c r="E138" s="206"/>
      <c r="F138" s="207"/>
      <c r="G138" s="3"/>
    </row>
    <row r="139" spans="1:7" s="44" customFormat="1" ht="27" x14ac:dyDescent="0.3">
      <c r="A139" s="45" t="s">
        <v>17</v>
      </c>
      <c r="B139" s="46">
        <v>2</v>
      </c>
      <c r="C139" s="136" t="str">
        <f t="shared" si="11"/>
        <v>0h10min</v>
      </c>
      <c r="D139" s="171" t="s">
        <v>53</v>
      </c>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38</v>
      </c>
      <c r="C144" s="145" t="str">
        <f xml:space="preserve"> setValueToTime(B144)</f>
        <v>3h10min</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ht="27" x14ac:dyDescent="0.3">
      <c r="A148" s="41" t="s">
        <v>63</v>
      </c>
      <c r="B148" s="42">
        <v>19</v>
      </c>
      <c r="C148" s="135" t="str">
        <f xml:space="preserve"> IF(B148="","",setValueToTime(B148))</f>
        <v>1h35min</v>
      </c>
      <c r="D148" s="170" t="s">
        <v>198</v>
      </c>
      <c r="E148" s="214"/>
      <c r="F148" s="215"/>
      <c r="G148" s="3"/>
    </row>
    <row r="149" spans="1:7" s="44" customFormat="1" x14ac:dyDescent="0.3">
      <c r="A149" s="45"/>
      <c r="B149" s="46">
        <v>2</v>
      </c>
      <c r="C149" s="136" t="str">
        <f t="shared" ref="C149:C155" si="12" xml:space="preserve"> IF(B149="","",setValueToTime(B149))</f>
        <v>0h10min</v>
      </c>
      <c r="D149" s="171" t="s">
        <v>196</v>
      </c>
      <c r="E149" s="228" t="s">
        <v>197</v>
      </c>
      <c r="F149" s="228"/>
      <c r="G149" s="3"/>
    </row>
    <row r="150" spans="1:7" s="44" customFormat="1" ht="40.5" x14ac:dyDescent="0.3">
      <c r="A150" s="45"/>
      <c r="B150" s="46">
        <v>12</v>
      </c>
      <c r="C150" s="136" t="str">
        <f t="shared" si="12"/>
        <v>1h</v>
      </c>
      <c r="D150" s="171" t="s">
        <v>199</v>
      </c>
      <c r="E150" s="206"/>
      <c r="F150" s="207"/>
      <c r="G150" s="3"/>
    </row>
    <row r="151" spans="1:7" s="44" customFormat="1" x14ac:dyDescent="0.3">
      <c r="A151" s="45"/>
      <c r="B151" s="46">
        <v>4</v>
      </c>
      <c r="C151" s="136" t="str">
        <f t="shared" si="12"/>
        <v>0h20min</v>
      </c>
      <c r="D151" s="171" t="s">
        <v>200</v>
      </c>
      <c r="E151" s="206"/>
      <c r="F151" s="207"/>
      <c r="G151" s="3"/>
    </row>
    <row r="152" spans="1:7" s="44" customFormat="1" x14ac:dyDescent="0.3">
      <c r="A152" s="46"/>
      <c r="B152" s="46">
        <v>9</v>
      </c>
      <c r="C152" s="137" t="str">
        <f t="shared" si="12"/>
        <v>0h45min</v>
      </c>
      <c r="D152" s="171" t="s">
        <v>201</v>
      </c>
      <c r="E152" s="206"/>
      <c r="F152" s="207"/>
      <c r="G152" s="3"/>
    </row>
    <row r="153" spans="1:7" s="44" customFormat="1" ht="27" x14ac:dyDescent="0.3">
      <c r="A153" s="46" t="s">
        <v>17</v>
      </c>
      <c r="B153" s="46">
        <v>2</v>
      </c>
      <c r="C153" s="137" t="str">
        <f t="shared" si="12"/>
        <v>0h10min</v>
      </c>
      <c r="D153" s="171" t="s">
        <v>53</v>
      </c>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48</v>
      </c>
      <c r="C156" s="145" t="str">
        <f xml:space="preserve"> setValueToTime(B156)</f>
        <v>4h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ht="27" x14ac:dyDescent="0.3">
      <c r="A162" s="45" t="s">
        <v>17</v>
      </c>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5"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ht="27" x14ac:dyDescent="0.3">
      <c r="A174" s="45" t="s">
        <v>17</v>
      </c>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5"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224"/>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2024-05-27T13:43:24Z</cp:lastPrinted>
  <dcterms:created xsi:type="dcterms:W3CDTF">1996-10-21T11:03:58Z</dcterms:created>
  <dcterms:modified xsi:type="dcterms:W3CDTF">2024-05-28T13:44:07Z</dcterms:modified>
</cp:coreProperties>
</file>