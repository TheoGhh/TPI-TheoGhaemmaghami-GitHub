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7343C927-4C66-4EF6-B529-E126CF80FF7F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C306" i="12"/>
  <c r="C305" i="12"/>
  <c r="C304" i="12"/>
  <c r="B324" i="12"/>
  <c r="C323" i="12"/>
  <c r="C322" i="12"/>
  <c r="C321" i="12"/>
  <c r="C320" i="12"/>
  <c r="C319" i="12"/>
  <c r="C318" i="12"/>
  <c r="C317" i="12"/>
  <c r="C316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9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C55" i="10"/>
  <c r="C54" i="10"/>
  <c r="C53" i="10"/>
  <c r="C52" i="10"/>
  <c r="B72" i="10"/>
  <c r="C71" i="10"/>
  <c r="C70" i="10"/>
  <c r="C69" i="10"/>
  <c r="C68" i="10"/>
  <c r="C67" i="10"/>
  <c r="C66" i="10"/>
  <c r="C65" i="10"/>
  <c r="C64" i="10"/>
  <c r="B84" i="10"/>
  <c r="C83" i="10"/>
  <c r="C82" i="10"/>
  <c r="C81" i="10"/>
  <c r="C80" i="10"/>
  <c r="C79" i="10"/>
  <c r="C78" i="10"/>
  <c r="C77" i="10"/>
  <c r="C76" i="10"/>
  <c r="B96" i="10"/>
  <c r="C95" i="10"/>
  <c r="C94" i="10"/>
  <c r="C93" i="10"/>
  <c r="C92" i="10"/>
  <c r="C91" i="10"/>
  <c r="C90" i="10"/>
  <c r="C89" i="10"/>
  <c r="C88" i="10"/>
  <c r="B108" i="10"/>
  <c r="C107" i="10"/>
  <c r="C106" i="10"/>
  <c r="C105" i="10"/>
  <c r="C104" i="10"/>
  <c r="C103" i="10"/>
  <c r="C102" i="10"/>
  <c r="C101" i="10"/>
  <c r="C100" i="10"/>
  <c r="B120" i="10"/>
  <c r="C119" i="10"/>
  <c r="C118" i="10"/>
  <c r="C117" i="10"/>
  <c r="C116" i="10"/>
  <c r="C115" i="10"/>
  <c r="C114" i="10"/>
  <c r="C113" i="10"/>
  <c r="C112" i="10"/>
  <c r="B132" i="10"/>
  <c r="C131" i="10"/>
  <c r="C130" i="10"/>
  <c r="C129" i="10"/>
  <c r="C128" i="10"/>
  <c r="C127" i="10"/>
  <c r="C126" i="10"/>
  <c r="C125" i="10"/>
  <c r="C124" i="10"/>
  <c r="B144" i="10"/>
  <c r="C143" i="10"/>
  <c r="C142" i="10"/>
  <c r="C141" i="10"/>
  <c r="C140" i="10"/>
  <c r="C139" i="10"/>
  <c r="C138" i="10"/>
  <c r="C137" i="10"/>
  <c r="C136" i="10"/>
  <c r="B156" i="10"/>
  <c r="C155" i="10"/>
  <c r="C154" i="10"/>
  <c r="C153" i="10"/>
  <c r="C152" i="10"/>
  <c r="C151" i="10"/>
  <c r="C150" i="10"/>
  <c r="C149" i="10"/>
  <c r="B168" i="10"/>
  <c r="C167" i="10"/>
  <c r="C166" i="10"/>
  <c r="C165" i="10"/>
  <c r="C164" i="10"/>
  <c r="C163" i="10"/>
  <c r="C162" i="10"/>
  <c r="C161" i="10"/>
  <c r="C160" i="10"/>
  <c r="B180" i="10"/>
  <c r="C179" i="10"/>
  <c r="C178" i="10"/>
  <c r="C177" i="10"/>
  <c r="C176" i="10"/>
  <c r="C175" i="10"/>
  <c r="C174" i="10"/>
  <c r="C173" i="10"/>
  <c r="C172" i="10"/>
  <c r="B192" i="10"/>
  <c r="C191" i="10"/>
  <c r="C190" i="10"/>
  <c r="C189" i="10"/>
  <c r="C188" i="10"/>
  <c r="C187" i="10"/>
  <c r="B204" i="10"/>
  <c r="C203" i="10"/>
  <c r="C202" i="10"/>
  <c r="C201" i="10"/>
  <c r="B216" i="10"/>
  <c r="C215" i="10"/>
  <c r="C214" i="10"/>
  <c r="C213" i="10"/>
  <c r="C212" i="10"/>
  <c r="B228" i="10"/>
  <c r="C227" i="10"/>
  <c r="C226" i="10"/>
  <c r="C225" i="10"/>
  <c r="B240" i="10"/>
  <c r="B252" i="10"/>
  <c r="C251" i="10"/>
  <c r="C250" i="10"/>
  <c r="C249" i="10"/>
  <c r="B264" i="10"/>
  <c r="C263" i="10"/>
  <c r="C262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4" i="10"/>
  <c r="C12" i="12"/>
  <c r="C24" i="12"/>
  <c r="C36" i="12"/>
  <c r="C48" i="12"/>
  <c r="C60" i="12"/>
  <c r="C72" i="12"/>
  <c r="C84" i="12"/>
  <c r="C96" i="12"/>
  <c r="C108" i="12"/>
  <c r="C120" i="12"/>
  <c r="C132" i="12"/>
  <c r="C144" i="12"/>
  <c r="C156" i="12"/>
  <c r="C168" i="12"/>
  <c r="C180" i="12"/>
  <c r="C192" i="12"/>
  <c r="C204" i="12"/>
  <c r="C216" i="12"/>
  <c r="C228" i="12"/>
  <c r="C240" i="12"/>
  <c r="C252" i="12"/>
  <c r="C264" i="12"/>
  <c r="C276" i="12"/>
  <c r="C288" i="12"/>
  <c r="C300" i="12"/>
  <c r="C186" i="10"/>
  <c r="C185" i="10"/>
  <c r="C184" i="10"/>
  <c r="C312" i="12"/>
  <c r="C324" i="12"/>
  <c r="C200" i="10"/>
  <c r="C199" i="10"/>
  <c r="C198" i="10"/>
  <c r="C197" i="10"/>
  <c r="C196" i="10"/>
  <c r="C224" i="10"/>
  <c r="C211" i="10"/>
  <c r="C210" i="10"/>
  <c r="C209" i="10"/>
  <c r="C208" i="10"/>
  <c r="C223" i="10"/>
  <c r="C148" i="10"/>
  <c r="C248" i="10"/>
  <c r="C247" i="10"/>
  <c r="C246" i="10"/>
  <c r="C245" i="10"/>
  <c r="C261" i="10"/>
  <c r="C260" i="10"/>
  <c r="C272" i="10"/>
  <c r="C273" i="10"/>
  <c r="C222" i="10"/>
  <c r="C221" i="10"/>
  <c r="C220" i="10"/>
  <c r="C239" i="10"/>
  <c r="C287" i="10"/>
  <c r="C286" i="10"/>
  <c r="C285" i="10"/>
  <c r="C235" i="10"/>
  <c r="C232" i="10"/>
  <c r="C236" i="10"/>
  <c r="C234" i="10"/>
  <c r="C238" i="10"/>
  <c r="C233" i="10"/>
  <c r="C237" i="10"/>
  <c r="C258" i="10"/>
  <c r="C259" i="10"/>
  <c r="C256" i="10"/>
  <c r="C257" i="10"/>
  <c r="C271" i="10"/>
  <c r="C270" i="10"/>
  <c r="C269" i="10"/>
  <c r="C268" i="10"/>
  <c r="C284" i="10"/>
  <c r="C283" i="10"/>
  <c r="C282" i="10"/>
  <c r="C298" i="10"/>
  <c r="C299" i="10"/>
  <c r="C281" i="10"/>
  <c r="C297" i="10"/>
  <c r="C296" i="10"/>
  <c r="C295" i="10"/>
  <c r="C294" i="10"/>
  <c r="C293" i="10"/>
  <c r="C292" i="10"/>
  <c r="C307" i="10"/>
  <c r="C306" i="10"/>
  <c r="C305" i="10"/>
  <c r="C304" i="10"/>
  <c r="C320" i="10"/>
  <c r="C319" i="10"/>
  <c r="C318" i="10"/>
  <c r="C317" i="10"/>
  <c r="C316" i="10"/>
  <c r="C244" i="10"/>
  <c r="C280" i="10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312" i="10"/>
  <c r="C32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90" i="1"/>
  <c r="D60" i="1"/>
  <c r="D46" i="1"/>
  <c r="D49" i="1"/>
  <c r="D82" i="1"/>
  <c r="D57" i="1"/>
  <c r="D72" i="1"/>
  <c r="D81" i="1"/>
  <c r="D52" i="1"/>
  <c r="D51" i="1"/>
  <c r="D89" i="1"/>
  <c r="D63" i="1"/>
  <c r="D71" i="1"/>
  <c r="D50" i="1"/>
  <c r="D19" i="1"/>
  <c r="D80" i="1"/>
  <c r="D36" i="1"/>
  <c r="D16" i="1"/>
  <c r="D48" i="1"/>
  <c r="D47" i="1"/>
  <c r="D88" i="1"/>
  <c r="D37" i="1"/>
  <c r="D68" i="1"/>
  <c r="D15" i="1"/>
  <c r="D45" i="1"/>
  <c r="D43" i="1"/>
  <c r="D92" i="1"/>
  <c r="D79" i="1"/>
  <c r="D44" i="1"/>
  <c r="D53" i="1"/>
  <c r="D20" i="1"/>
  <c r="D41" i="1"/>
  <c r="D70" i="1"/>
  <c r="D93" i="1"/>
  <c r="D87" i="1"/>
  <c r="D76" i="1"/>
  <c r="D83" i="1"/>
  <c r="D67" i="1"/>
  <c r="D33" i="1"/>
  <c r="D21" i="1"/>
  <c r="D58" i="1"/>
  <c r="D61" i="1"/>
  <c r="D69" i="1"/>
  <c r="D74" i="1"/>
  <c r="C11" i="16"/>
  <c r="D40" i="1"/>
  <c r="D38" i="1"/>
  <c r="D77" i="1"/>
  <c r="D86" i="1"/>
  <c r="D32" i="1"/>
  <c r="D25" i="1"/>
  <c r="D17" i="1"/>
  <c r="D31" i="1"/>
  <c r="D54" i="1"/>
  <c r="D84" i="1"/>
  <c r="D56" i="1"/>
  <c r="D78" i="1"/>
  <c r="D22" i="1"/>
  <c r="D18" i="1"/>
  <c r="C11" i="15"/>
  <c r="D35" i="1"/>
  <c r="D85" i="1"/>
  <c r="D91" i="1"/>
  <c r="D27" i="1"/>
  <c r="D24" i="1"/>
  <c r="D59" i="1"/>
  <c r="D34" i="1"/>
  <c r="D62" i="1"/>
  <c r="D42" i="1"/>
  <c r="D26" i="1"/>
  <c r="D29" i="1"/>
  <c r="D39" i="1"/>
  <c r="D66" i="1"/>
  <c r="D23" i="1"/>
  <c r="D28" i="1"/>
  <c r="D55" i="1"/>
  <c r="D65" i="1"/>
  <c r="D73" i="1"/>
  <c r="D94" i="1"/>
  <c r="D30" i="1"/>
  <c r="D64" i="1"/>
  <c r="D7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<sst xmlns="http://schemas.openxmlformats.org/spreadsheetml/2006/main" count="1091" uniqueCount="138">
  <si>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</si>
  <si>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</si>
  <si>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</si>
  <si>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</si>
  <si>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</si>
  <si>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</si>
  <si>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</si>
  <si>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</si>
  <si>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</si>
  <si>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</si>
  <si>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</si>
  <si>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</si>
  <si>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</si>
  <si>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</si>
  <si>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</si>
  <si>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</si>
  <si>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</si>
  <si>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</si>
  <si>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</si>
  <si>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</si>
  <si>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</si>
  <si>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</si>
  <si>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</si>
  <si>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</si>
  <si>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</si>
  <si>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</si>
  <si>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</si>
  <si>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</si>
  <si>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</si>
  <si>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</si>
  <si>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</si>
  <si>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</si>
  <si>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</si>
  <si>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</si>
  <si>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</si>
  <si>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</si>
  <si>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</si>
  <si>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</si>
  <si>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</si>
  <si>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</si>
  <si>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</si>
  <si>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</si>
  <si>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</si>
  <si>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</si>
  <si>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</si>
  <si>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</si>
  <si>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</si>
  <si>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</si>
  <si>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</si>
  <si>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</si>
  <si>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</si>
  <si>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</si>
  <si>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</si>
  <si>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</si>
  <si>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</si>
  <si>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</si>
  <si>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 xml:space="preserve">Création de la base de données (MySQL) </t>
  </si>
  <si>
    <t>"Mise en place" du projet : création du GitHub, mise en page des fichiers (JdT, rapport, planif, …)</t>
  </si>
  <si>
    <t>Etablir une stratégie de test</t>
  </si>
  <si>
    <t>Modélisation (MCD, MLD) de la base de données (sur Looping)</t>
  </si>
  <si>
    <t>Création et mise en place de l'interface principale de l'application (to do list) + responsive</t>
  </si>
  <si>
    <t>Implémentation des "tâches" : Création de l'objet "Tâche"</t>
  </si>
  <si>
    <t>Recherche de documentation sur l'incorporation d'image et les hyperliens en C#</t>
  </si>
  <si>
    <t>Tests des  "tâches"</t>
  </si>
  <si>
    <t xml:space="preserve">Choix de la méthode de gestion de projet </t>
  </si>
  <si>
    <t>Rédaction du choix et de l'explication de la méthode de gestion de projet et de la stratégie de test dans le rapport</t>
  </si>
  <si>
    <t xml:space="preserve">Rédaction du rapport </t>
  </si>
  <si>
    <t>Rédaction du rapport</t>
  </si>
  <si>
    <t>Création de l'interface du formulaire de login (connexion à un compte)</t>
  </si>
  <si>
    <t>Tests de la fonctionnalité de création d'un compte (sécurité, insertion, …)</t>
  </si>
  <si>
    <t>Implémentation du login (hashage, sécurité, …)</t>
  </si>
  <si>
    <t>Tests de la fonctionnalité de login (sécurité, insertion, …)</t>
  </si>
  <si>
    <t xml:space="preserve">Création de l'interface du formulaire de création d'un compte </t>
  </si>
  <si>
    <t xml:space="preserve">Implémentation d'une méthode de hashage </t>
  </si>
  <si>
    <t>Implémentation de la fonctionnalité de création d'un compte</t>
  </si>
  <si>
    <t>Création du formulaire d'ajout d'une tâche (!image)</t>
  </si>
  <si>
    <t>Implémentation de la fonctionnalité d'ajout d'une tâche (!image)</t>
  </si>
  <si>
    <t xml:space="preserve">Tests de la fonctionnalité d'un ajout d'une tâche </t>
  </si>
  <si>
    <t>Tests du "Drag &amp; Drop"</t>
  </si>
  <si>
    <t>Révision globale du code (ajustements nécessaires, code incohérent, …)</t>
  </si>
  <si>
    <t>Implémentation de la fonctionnalité permettant de modifier le titre des colonnes</t>
  </si>
  <si>
    <t>Tests de la fonctionnalité</t>
  </si>
  <si>
    <t>Révision globale du code (ajustements nécessaires, code incohérent, imprévues …)</t>
  </si>
  <si>
    <t xml:space="preserve">Implémentation de la fonctionnalité permettant d'ajouter une colonne </t>
  </si>
  <si>
    <t>Implémentation - Interfaces</t>
  </si>
  <si>
    <t>Implémentation - Fonctionnalités</t>
  </si>
  <si>
    <t xml:space="preserve">Tests </t>
  </si>
  <si>
    <t xml:space="preserve">Réunion </t>
  </si>
  <si>
    <t>Base de données</t>
  </si>
  <si>
    <t xml:space="preserve">Base de données </t>
  </si>
  <si>
    <t>Implémentation - Révisions</t>
  </si>
  <si>
    <t>Analyse - Documentation</t>
  </si>
  <si>
    <t>Implémentation de la fonctionnalité permettant de supprimer une colonne</t>
  </si>
  <si>
    <t>Implémentation de la fonctionnalité de Drag&amp;Drop "interne"</t>
  </si>
  <si>
    <t>Implémentation du "Drag &amp; Drop" d'une image dans une tâche</t>
  </si>
  <si>
    <t>Tests de la fonctionnalité Drag &amp; Drop d'une image</t>
  </si>
  <si>
    <t>lundi, 13 mai 2024</t>
  </si>
  <si>
    <t>Tests de la fonctionnalité Drag &amp; Drop d'une image (suite)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</si>
  <si>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</si>
  <si>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</si>
  <si>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</si>
  <si>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</si>
  <si>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</si>
  <si>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</si>
  <si>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</si>
  <si>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</si>
  <si>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</si>
  <si>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</si>
  <si>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</si>
  <si>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</si>
  <si>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</si>
  <si>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</si>
  <si>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</si>
  <si>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</si>
  <si>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</si>
  <si>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</si>
  <si>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</si>
  <si>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</si>
  <si>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</si>
  <si>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</si>
  <si>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</si>
  <si>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</si>
  <si>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</si>
  <si>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</si>
  <si>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</si>
  <si>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</si>
  <si>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</si>
  <si>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</si>
  <si>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</si>
  <si>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</si>
  <si>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</si>
  <si>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</si>
  <si>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</si>
  <si>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</si>
  <si>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</si>
  <si>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</si>
  <si>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52h15min</t>
  </si>
  <si>
    <t>- 52h15min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</si>
</sst>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26" xfId="0" applyFont="1" applyFill="1" applyBorder="1"/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Base de données </c:v>
              </c:pt>
              <c:pt idx="9">
                <c:v>Implémentation - Révisions</c:v>
              </c:pt>
              <c:pt idx="10">
                <c:v>Analyse - Documentation</c:v>
              </c:pt>
            </c:strLit>
          </c:cat>
          <c:val>
            <c:numLit>
              <c:formatCode>General</c:formatCode>
              <c:ptCount val="12"/>
              <c:pt idx="0">
                <c:v>2</c:v>
              </c:pt>
              <c:pt idx="1">
                <c:v>4.5</c:v>
              </c:pt>
              <c:pt idx="2">
                <c:v>2</c:v>
              </c:pt>
              <c:pt idx="3">
                <c:v>25.75</c:v>
              </c:pt>
              <c:pt idx="4">
                <c:v>1.25</c:v>
              </c:pt>
              <c:pt idx="5">
                <c:v>8.5799999237060547</c:v>
              </c:pt>
              <c:pt idx="6">
                <c:v>4.1700000762939453</c:v>
              </c:pt>
              <c:pt idx="7">
                <c:v>0.67000001668930054</c:v>
              </c:pt>
              <c:pt idx="8">
                <c:v>0.82999998331069946</c:v>
              </c:pt>
              <c:pt idx="9">
                <c:v>1</c:v>
              </c:pt>
              <c:pt idx="10">
                <c:v>1.5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34</v>
      </c>
      <c r="C35" s="165"/>
      <c r="D35" s="165"/>
      <c r="E35" s="107" t="s">
        <v>136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35</v>
      </c>
      <c r="C37" s="166"/>
      <c r="D37" s="166"/>
      <c r="E37" s="109" t="s">
        <v>43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230" t="s">
        <v>137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VB99"/>
  <sheetViews>
    <sheetView showGridLines="0" topLeftCell="A62" zoomScale="70" zoomScaleNormal="70" zoomScaleSheetLayoutView="43" workbookViewId="0">
      <selection activeCell="F93" sqref="F93:BVA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925" width="1.140625" style="3" customWidth="1"/>
    <col min="1926" max="1926" width="2.7109375" style="3" customWidth="1"/>
    <col min="1927" max="16384" width="11.42578125" style="3"/>
  </cols>
  <sheetData>
    <row r="1" spans="1:1926" ht="35.1" customHeight="1" x14ac:dyDescent="0.25">
      <c r="B1" s="95"/>
      <c r="C1" s="197" t="s">
        <v>31</v>
      </c>
      <c r="D1" s="197"/>
      <c r="E1" s="19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87"/>
      <c r="BOE1" s="87"/>
      <c r="BOF1" s="87"/>
      <c r="BOG1" s="87"/>
      <c r="BOH1" s="87"/>
      <c r="BOI1" s="87"/>
      <c r="BOJ1" s="87"/>
      <c r="BOK1" s="87"/>
      <c r="BOL1" s="87"/>
      <c r="BOM1" s="87"/>
      <c r="BON1" s="87"/>
      <c r="BOO1" s="87"/>
      <c r="BOP1" s="87"/>
      <c r="BOQ1" s="87"/>
      <c r="BOR1" s="87"/>
      <c r="BOS1" s="87"/>
      <c r="BOT1" s="87"/>
      <c r="BOU1" s="87"/>
      <c r="BOV1" s="87"/>
      <c r="BOW1" s="87"/>
      <c r="BOX1" s="87"/>
      <c r="BOY1" s="87"/>
      <c r="BOZ1" s="87"/>
      <c r="BPA1" s="87"/>
      <c r="BPB1" s="87"/>
      <c r="BPC1" s="87"/>
      <c r="BPD1" s="87"/>
      <c r="BPE1" s="87"/>
      <c r="BPF1" s="87"/>
      <c r="BPG1" s="87"/>
      <c r="BPH1" s="87"/>
      <c r="BPI1" s="87"/>
      <c r="BPJ1" s="87"/>
      <c r="BPK1" s="87"/>
      <c r="BPL1" s="87"/>
      <c r="BPM1" s="87"/>
      <c r="BPN1" s="87"/>
      <c r="BPO1" s="87"/>
      <c r="BPP1" s="87"/>
      <c r="BPQ1" s="87"/>
      <c r="BPR1" s="87"/>
      <c r="BPS1" s="87"/>
      <c r="BPT1" s="87"/>
      <c r="BPU1" s="87"/>
      <c r="BPV1" s="87"/>
      <c r="BPW1" s="87"/>
      <c r="BPX1" s="87"/>
      <c r="BPY1" s="87"/>
      <c r="BPZ1" s="87"/>
      <c r="BQA1" s="87"/>
      <c r="BQB1" s="87"/>
      <c r="BQC1" s="87"/>
      <c r="BQD1" s="87"/>
      <c r="BQE1" s="87"/>
      <c r="BQF1" s="87"/>
      <c r="BQG1" s="87"/>
      <c r="BQH1" s="87"/>
      <c r="BQI1" s="87"/>
      <c r="BQJ1" s="87"/>
      <c r="BQK1" s="87"/>
      <c r="BQL1" s="87"/>
      <c r="BQM1" s="87"/>
      <c r="BQN1" s="87"/>
      <c r="BQO1" s="87"/>
      <c r="BQP1" s="87"/>
      <c r="BQQ1" s="87"/>
      <c r="BQR1" s="87"/>
      <c r="BQS1" s="87"/>
      <c r="BQT1" s="87"/>
      <c r="BQU1" s="87"/>
      <c r="BQV1" s="87"/>
      <c r="BQW1" s="87"/>
      <c r="BQX1" s="87"/>
      <c r="BQY1" s="87"/>
      <c r="BQZ1" s="87"/>
      <c r="BRA1" s="87"/>
      <c r="BRB1" s="87"/>
      <c r="BRC1" s="87"/>
      <c r="BRD1" s="87"/>
      <c r="BRE1" s="87"/>
      <c r="BRF1" s="87"/>
      <c r="BRG1" s="87"/>
      <c r="BRH1" s="87"/>
      <c r="BRI1" s="87"/>
      <c r="BRJ1" s="87"/>
      <c r="BRK1" s="87"/>
      <c r="BRL1" s="87"/>
      <c r="BRM1" s="87"/>
      <c r="BRN1" s="87"/>
      <c r="BRO1" s="87"/>
      <c r="BRP1" s="87"/>
      <c r="BRQ1" s="87"/>
      <c r="BRR1" s="87"/>
      <c r="BRS1" s="87"/>
      <c r="BRT1" s="87"/>
      <c r="BRU1" s="87"/>
      <c r="BRV1" s="87"/>
      <c r="BRW1" s="87"/>
      <c r="BRX1" s="87"/>
      <c r="BRY1" s="87"/>
      <c r="BRZ1" s="87"/>
      <c r="BSA1" s="87"/>
      <c r="BSB1" s="87"/>
      <c r="BSC1" s="87"/>
      <c r="BSD1" s="87"/>
      <c r="BSE1" s="87"/>
      <c r="BSF1" s="87"/>
      <c r="BSG1" s="87"/>
      <c r="BSH1" s="87"/>
      <c r="BSI1" s="87"/>
      <c r="BSJ1" s="87"/>
      <c r="BSK1" s="87"/>
      <c r="BSL1" s="87"/>
      <c r="BSM1" s="87"/>
      <c r="BSN1" s="87"/>
      <c r="BSO1" s="87"/>
      <c r="BSP1" s="87"/>
      <c r="BSQ1" s="87"/>
      <c r="BSR1" s="87"/>
      <c r="BSS1" s="87"/>
      <c r="BST1" s="87"/>
      <c r="BSU1" s="87"/>
      <c r="BSV1" s="87"/>
      <c r="BSW1" s="87"/>
      <c r="BSX1" s="87"/>
      <c r="BSY1" s="87"/>
      <c r="BSZ1" s="87"/>
      <c r="BTA1" s="87"/>
      <c r="BTB1" s="87"/>
      <c r="BTC1" s="87"/>
      <c r="BTD1" s="87"/>
      <c r="BTE1" s="87"/>
      <c r="BTF1" s="87"/>
      <c r="BTG1" s="87"/>
      <c r="BTH1" s="87"/>
      <c r="BTI1" s="87"/>
      <c r="BTJ1" s="87"/>
      <c r="BTK1" s="87"/>
      <c r="BTL1" s="87"/>
      <c r="BTM1" s="87"/>
      <c r="BTN1" s="87"/>
      <c r="BTO1" s="87"/>
      <c r="BTP1" s="87"/>
      <c r="BTQ1" s="87"/>
      <c r="BTR1" s="87"/>
      <c r="BTS1" s="87"/>
      <c r="BTT1" s="87"/>
      <c r="BTU1" s="87"/>
      <c r="BTV1" s="87"/>
      <c r="BTW1" s="87"/>
      <c r="BTX1" s="87"/>
      <c r="BTY1" s="87"/>
      <c r="BTZ1" s="87"/>
      <c r="BUA1" s="87"/>
      <c r="BUB1" s="87"/>
      <c r="BUC1" s="87"/>
      <c r="BUD1" s="87"/>
      <c r="BUE1" s="87"/>
      <c r="BUF1" s="87"/>
      <c r="BUG1" s="87"/>
      <c r="BUH1" s="87"/>
      <c r="BUI1" s="87"/>
      <c r="BUJ1" s="87"/>
      <c r="BUK1" s="87"/>
      <c r="BUL1" s="87"/>
      <c r="BUM1" s="87"/>
      <c r="BUN1" s="87"/>
      <c r="BUO1" s="87"/>
      <c r="BUP1" s="87"/>
      <c r="BUQ1" s="87"/>
      <c r="BUR1" s="87"/>
      <c r="BUS1" s="87"/>
      <c r="BUT1" s="87"/>
      <c r="BUU1" s="87"/>
      <c r="BUV1" s="87"/>
      <c r="BUW1" s="87"/>
      <c r="BUX1" s="87"/>
      <c r="BUY1" s="87"/>
      <c r="BUZ1" s="87"/>
      <c r="BVA1" s="87"/>
      <c r="BVB1" s="93">
        <v>1</v>
      </c>
    </row>
    <row r="2" spans="1:19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88"/>
      <c r="BOE2" s="88"/>
      <c r="BOF2" s="88"/>
      <c r="BOG2" s="88"/>
      <c r="BOH2" s="88"/>
      <c r="BOI2" s="88"/>
      <c r="BOJ2" s="88"/>
      <c r="BOK2" s="88"/>
      <c r="BOL2" s="88"/>
      <c r="BOM2" s="88"/>
      <c r="BON2" s="88"/>
      <c r="BOO2" s="88"/>
      <c r="BOP2" s="88"/>
      <c r="BOQ2" s="88"/>
      <c r="BOR2" s="88"/>
      <c r="BOS2" s="88"/>
      <c r="BOT2" s="88"/>
      <c r="BOU2" s="88"/>
      <c r="BOV2" s="88"/>
      <c r="BOW2" s="88"/>
      <c r="BOX2" s="88"/>
      <c r="BOY2" s="88"/>
      <c r="BOZ2" s="88"/>
      <c r="BPA2" s="88"/>
      <c r="BPB2" s="88"/>
      <c r="BPC2" s="88"/>
      <c r="BPD2" s="88"/>
      <c r="BPE2" s="88"/>
      <c r="BPF2" s="88"/>
      <c r="BPG2" s="88"/>
      <c r="BPH2" s="88"/>
      <c r="BPI2" s="88"/>
      <c r="BPJ2" s="88"/>
      <c r="BPK2" s="88"/>
      <c r="BPL2" s="88"/>
      <c r="BPM2" s="88"/>
      <c r="BPN2" s="88"/>
      <c r="BPO2" s="88"/>
      <c r="BPP2" s="88"/>
      <c r="BPQ2" s="88"/>
      <c r="BPR2" s="88"/>
      <c r="BPS2" s="88"/>
      <c r="BPT2" s="88"/>
      <c r="BPU2" s="88"/>
      <c r="BPV2" s="88"/>
      <c r="BPW2" s="88"/>
      <c r="BPX2" s="88"/>
      <c r="BPY2" s="88"/>
      <c r="BPZ2" s="88"/>
      <c r="BQA2" s="88"/>
      <c r="BQB2" s="88"/>
      <c r="BQC2" s="88"/>
      <c r="BQD2" s="88"/>
      <c r="BQE2" s="88"/>
      <c r="BQF2" s="88"/>
      <c r="BQG2" s="88"/>
      <c r="BQH2" s="88"/>
      <c r="BQI2" s="88"/>
      <c r="BQJ2" s="88"/>
      <c r="BQK2" s="88"/>
      <c r="BQL2" s="88"/>
      <c r="BQM2" s="88"/>
      <c r="BQN2" s="88"/>
      <c r="BQO2" s="88"/>
      <c r="BQP2" s="88"/>
      <c r="BQQ2" s="88"/>
      <c r="BQR2" s="88"/>
      <c r="BQS2" s="88"/>
      <c r="BQT2" s="88"/>
      <c r="BQU2" s="88"/>
      <c r="BQV2" s="88"/>
      <c r="BQW2" s="88"/>
      <c r="BQX2" s="88"/>
      <c r="BQY2" s="88"/>
      <c r="BQZ2" s="88"/>
      <c r="BRA2" s="88"/>
      <c r="BRB2" s="88"/>
      <c r="BRC2" s="88"/>
      <c r="BRD2" s="88"/>
      <c r="BRE2" s="88"/>
      <c r="BRF2" s="88"/>
      <c r="BRG2" s="88"/>
      <c r="BRH2" s="88"/>
      <c r="BRI2" s="88"/>
      <c r="BRJ2" s="88"/>
      <c r="BRK2" s="88"/>
      <c r="BRL2" s="88"/>
      <c r="BRM2" s="88"/>
      <c r="BRN2" s="88"/>
      <c r="BRO2" s="88"/>
      <c r="BRP2" s="88"/>
      <c r="BRQ2" s="88"/>
      <c r="BRR2" s="88"/>
      <c r="BRS2" s="88"/>
      <c r="BRT2" s="88"/>
      <c r="BRU2" s="88"/>
      <c r="BRV2" s="88"/>
      <c r="BRW2" s="88"/>
      <c r="BRX2" s="88"/>
      <c r="BRY2" s="88"/>
      <c r="BRZ2" s="88"/>
      <c r="BSA2" s="88"/>
      <c r="BSB2" s="88"/>
      <c r="BSC2" s="88"/>
      <c r="BSD2" s="88"/>
      <c r="BSE2" s="88"/>
      <c r="BSF2" s="88"/>
      <c r="BSG2" s="88"/>
      <c r="BSH2" s="88"/>
      <c r="BSI2" s="88"/>
      <c r="BSJ2" s="88"/>
      <c r="BSK2" s="88"/>
      <c r="BSL2" s="88"/>
      <c r="BSM2" s="88"/>
      <c r="BSN2" s="88"/>
      <c r="BSO2" s="88"/>
      <c r="BSP2" s="88"/>
      <c r="BSQ2" s="88"/>
      <c r="BSR2" s="88"/>
      <c r="BSS2" s="88"/>
      <c r="BST2" s="88"/>
      <c r="BSU2" s="88"/>
      <c r="BSV2" s="88"/>
      <c r="BSW2" s="88"/>
      <c r="BSX2" s="88"/>
      <c r="BSY2" s="88"/>
      <c r="BSZ2" s="88"/>
      <c r="BTA2" s="88"/>
      <c r="BTB2" s="88"/>
      <c r="BTC2" s="88"/>
      <c r="BTD2" s="88"/>
      <c r="BTE2" s="88"/>
      <c r="BTF2" s="88"/>
      <c r="BTG2" s="88"/>
      <c r="BTH2" s="88"/>
      <c r="BTI2" s="88"/>
      <c r="BTJ2" s="88"/>
      <c r="BTK2" s="88"/>
      <c r="BTL2" s="88"/>
      <c r="BTM2" s="88"/>
      <c r="BTN2" s="88"/>
      <c r="BTO2" s="88"/>
      <c r="BTP2" s="88"/>
      <c r="BTQ2" s="88"/>
      <c r="BTR2" s="88"/>
      <c r="BTS2" s="88"/>
      <c r="BTT2" s="88"/>
      <c r="BTU2" s="88"/>
      <c r="BTV2" s="88"/>
      <c r="BTW2" s="88"/>
      <c r="BTX2" s="88"/>
      <c r="BTY2" s="88"/>
      <c r="BTZ2" s="88"/>
      <c r="BUA2" s="88"/>
      <c r="BUB2" s="88"/>
      <c r="BUC2" s="88"/>
      <c r="BUD2" s="88"/>
      <c r="BUE2" s="88"/>
      <c r="BUF2" s="88"/>
      <c r="BUG2" s="88"/>
      <c r="BUH2" s="88"/>
      <c r="BUI2" s="88"/>
      <c r="BUJ2" s="88"/>
      <c r="BUK2" s="88"/>
      <c r="BUL2" s="88"/>
      <c r="BUM2" s="88"/>
      <c r="BUN2" s="88"/>
      <c r="BUO2" s="88"/>
      <c r="BUP2" s="88"/>
      <c r="BUQ2" s="88"/>
      <c r="BUR2" s="88"/>
      <c r="BUS2" s="88"/>
      <c r="BUT2" s="88"/>
      <c r="BUU2" s="88"/>
      <c r="BUV2" s="88"/>
      <c r="BUW2" s="88"/>
      <c r="BUX2" s="88"/>
      <c r="BUY2" s="88"/>
      <c r="BUZ2" s="88"/>
      <c r="BVA2" s="88"/>
      <c r="BVB2" s="90"/>
    </row>
    <row r="3" spans="1:19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88"/>
      <c r="BOE3" s="88"/>
      <c r="BOF3" s="88"/>
      <c r="BOG3" s="88"/>
      <c r="BOH3" s="88"/>
      <c r="BOI3" s="88"/>
      <c r="BOJ3" s="88"/>
      <c r="BOK3" s="88"/>
      <c r="BOL3" s="88"/>
      <c r="BOM3" s="88"/>
      <c r="BON3" s="88"/>
      <c r="BOO3" s="88"/>
      <c r="BOP3" s="88"/>
      <c r="BOQ3" s="88"/>
      <c r="BOR3" s="88"/>
      <c r="BOS3" s="88"/>
      <c r="BOT3" s="88"/>
      <c r="BOU3" s="88"/>
      <c r="BOV3" s="88"/>
      <c r="BOW3" s="88"/>
      <c r="BOX3" s="88"/>
      <c r="BOY3" s="88"/>
      <c r="BOZ3" s="88"/>
      <c r="BPA3" s="88"/>
      <c r="BPB3" s="88"/>
      <c r="BPC3" s="88"/>
      <c r="BPD3" s="88"/>
      <c r="BPE3" s="88"/>
      <c r="BPF3" s="88"/>
      <c r="BPG3" s="88"/>
      <c r="BPH3" s="88"/>
      <c r="BPI3" s="88"/>
      <c r="BPJ3" s="88"/>
      <c r="BPK3" s="88"/>
      <c r="BPL3" s="88"/>
      <c r="BPM3" s="88"/>
      <c r="BPN3" s="88"/>
      <c r="BPO3" s="88"/>
      <c r="BPP3" s="88"/>
      <c r="BPQ3" s="88"/>
      <c r="BPR3" s="88"/>
      <c r="BPS3" s="88"/>
      <c r="BPT3" s="88"/>
      <c r="BPU3" s="88"/>
      <c r="BPV3" s="88"/>
      <c r="BPW3" s="88"/>
      <c r="BPX3" s="88"/>
      <c r="BPY3" s="88"/>
      <c r="BPZ3" s="88"/>
      <c r="BQA3" s="88"/>
      <c r="BQB3" s="88"/>
      <c r="BQC3" s="88"/>
      <c r="BQD3" s="88"/>
      <c r="BQE3" s="88"/>
      <c r="BQF3" s="88"/>
      <c r="BQG3" s="88"/>
      <c r="BQH3" s="88"/>
      <c r="BQI3" s="88"/>
      <c r="BQJ3" s="88"/>
      <c r="BQK3" s="88"/>
      <c r="BQL3" s="88"/>
      <c r="BQM3" s="88"/>
      <c r="BQN3" s="88"/>
      <c r="BQO3" s="88"/>
      <c r="BQP3" s="88"/>
      <c r="BQQ3" s="88"/>
      <c r="BQR3" s="88"/>
      <c r="BQS3" s="88"/>
      <c r="BQT3" s="88"/>
      <c r="BQU3" s="88"/>
      <c r="BQV3" s="88"/>
      <c r="BQW3" s="88"/>
      <c r="BQX3" s="88"/>
      <c r="BQY3" s="88"/>
      <c r="BQZ3" s="88"/>
      <c r="BRA3" s="88"/>
      <c r="BRB3" s="88"/>
      <c r="BRC3" s="88"/>
      <c r="BRD3" s="88"/>
      <c r="BRE3" s="88"/>
      <c r="BRF3" s="88"/>
      <c r="BRG3" s="88"/>
      <c r="BRH3" s="88"/>
      <c r="BRI3" s="88"/>
      <c r="BRJ3" s="88"/>
      <c r="BRK3" s="88"/>
      <c r="BRL3" s="88"/>
      <c r="BRM3" s="88"/>
      <c r="BRN3" s="88"/>
      <c r="BRO3" s="88"/>
      <c r="BRP3" s="88"/>
      <c r="BRQ3" s="88"/>
      <c r="BRR3" s="88"/>
      <c r="BRS3" s="88"/>
      <c r="BRT3" s="88"/>
      <c r="BRU3" s="88"/>
      <c r="BRV3" s="88"/>
      <c r="BRW3" s="88"/>
      <c r="BRX3" s="88"/>
      <c r="BRY3" s="88"/>
      <c r="BRZ3" s="88"/>
      <c r="BSA3" s="88"/>
      <c r="BSB3" s="88"/>
      <c r="BSC3" s="88"/>
      <c r="BSD3" s="88"/>
      <c r="BSE3" s="88"/>
      <c r="BSF3" s="88"/>
      <c r="BSG3" s="88"/>
      <c r="BSH3" s="88"/>
      <c r="BSI3" s="88"/>
      <c r="BSJ3" s="88"/>
      <c r="BSK3" s="88"/>
      <c r="BSL3" s="88"/>
      <c r="BSM3" s="88"/>
      <c r="BSN3" s="88"/>
      <c r="BSO3" s="88"/>
      <c r="BSP3" s="88"/>
      <c r="BSQ3" s="88"/>
      <c r="BSR3" s="88"/>
      <c r="BSS3" s="88"/>
      <c r="BST3" s="88"/>
      <c r="BSU3" s="88"/>
      <c r="BSV3" s="88"/>
      <c r="BSW3" s="88"/>
      <c r="BSX3" s="88"/>
      <c r="BSY3" s="88"/>
      <c r="BSZ3" s="88"/>
      <c r="BTA3" s="88"/>
      <c r="BTB3" s="88"/>
      <c r="BTC3" s="88"/>
      <c r="BTD3" s="88"/>
      <c r="BTE3" s="88"/>
      <c r="BTF3" s="88"/>
      <c r="BTG3" s="88"/>
      <c r="BTH3" s="88"/>
      <c r="BTI3" s="88"/>
      <c r="BTJ3" s="88"/>
      <c r="BTK3" s="88"/>
      <c r="BTL3" s="88"/>
      <c r="BTM3" s="88"/>
      <c r="BTN3" s="88"/>
      <c r="BTO3" s="88"/>
      <c r="BTP3" s="88"/>
      <c r="BTQ3" s="88"/>
      <c r="BTR3" s="88"/>
      <c r="BTS3" s="88"/>
      <c r="BTT3" s="88"/>
      <c r="BTU3" s="88"/>
      <c r="BTV3" s="88"/>
      <c r="BTW3" s="88"/>
      <c r="BTX3" s="88"/>
      <c r="BTY3" s="88"/>
      <c r="BTZ3" s="88"/>
      <c r="BUA3" s="88"/>
      <c r="BUB3" s="88"/>
      <c r="BUC3" s="88"/>
      <c r="BUD3" s="88"/>
      <c r="BUE3" s="88"/>
      <c r="BUF3" s="88"/>
      <c r="BUG3" s="88"/>
      <c r="BUH3" s="88"/>
      <c r="BUI3" s="88"/>
      <c r="BUJ3" s="88"/>
      <c r="BUK3" s="88"/>
      <c r="BUL3" s="88"/>
      <c r="BUM3" s="88"/>
      <c r="BUN3" s="88"/>
      <c r="BUO3" s="88"/>
      <c r="BUP3" s="88"/>
      <c r="BUQ3" s="88"/>
      <c r="BUR3" s="88"/>
      <c r="BUS3" s="88"/>
      <c r="BUT3" s="88"/>
      <c r="BUU3" s="88"/>
      <c r="BUV3" s="88"/>
      <c r="BUW3" s="88"/>
      <c r="BUX3" s="88"/>
      <c r="BUY3" s="88"/>
      <c r="BUZ3" s="88"/>
      <c r="BVA3" s="88"/>
      <c r="BVB3" s="90"/>
    </row>
    <row r="4" spans="1:19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88"/>
      <c r="BOE4" s="88"/>
      <c r="BOF4" s="88"/>
      <c r="BOG4" s="88"/>
      <c r="BOH4" s="88"/>
      <c r="BOI4" s="88"/>
      <c r="BOJ4" s="88"/>
      <c r="BOK4" s="88"/>
      <c r="BOL4" s="88"/>
      <c r="BOM4" s="88"/>
      <c r="BON4" s="88"/>
      <c r="BOO4" s="88"/>
      <c r="BOP4" s="88"/>
      <c r="BOQ4" s="88"/>
      <c r="BOR4" s="88"/>
      <c r="BOS4" s="88"/>
      <c r="BOT4" s="88"/>
      <c r="BOU4" s="88"/>
      <c r="BOV4" s="88"/>
      <c r="BOW4" s="88"/>
      <c r="BOX4" s="88"/>
      <c r="BOY4" s="88"/>
      <c r="BOZ4" s="88"/>
      <c r="BPA4" s="88"/>
      <c r="BPB4" s="88"/>
      <c r="BPC4" s="88"/>
      <c r="BPD4" s="88"/>
      <c r="BPE4" s="88"/>
      <c r="BPF4" s="88"/>
      <c r="BPG4" s="88"/>
      <c r="BPH4" s="88"/>
      <c r="BPI4" s="88"/>
      <c r="BPJ4" s="88"/>
      <c r="BPK4" s="88"/>
      <c r="BPL4" s="88"/>
      <c r="BPM4" s="88"/>
      <c r="BPN4" s="88"/>
      <c r="BPO4" s="88"/>
      <c r="BPP4" s="88"/>
      <c r="BPQ4" s="88"/>
      <c r="BPR4" s="88"/>
      <c r="BPS4" s="88"/>
      <c r="BPT4" s="88"/>
      <c r="BPU4" s="88"/>
      <c r="BPV4" s="88"/>
      <c r="BPW4" s="88"/>
      <c r="BPX4" s="88"/>
      <c r="BPY4" s="88"/>
      <c r="BPZ4" s="88"/>
      <c r="BQA4" s="88"/>
      <c r="BQB4" s="88"/>
      <c r="BQC4" s="88"/>
      <c r="BQD4" s="88"/>
      <c r="BQE4" s="88"/>
      <c r="BQF4" s="88"/>
      <c r="BQG4" s="88"/>
      <c r="BQH4" s="88"/>
      <c r="BQI4" s="88"/>
      <c r="BQJ4" s="88"/>
      <c r="BQK4" s="88"/>
      <c r="BQL4" s="88"/>
      <c r="BQM4" s="88"/>
      <c r="BQN4" s="88"/>
      <c r="BQO4" s="88"/>
      <c r="BQP4" s="88"/>
      <c r="BQQ4" s="88"/>
      <c r="BQR4" s="88"/>
      <c r="BQS4" s="88"/>
      <c r="BQT4" s="88"/>
      <c r="BQU4" s="88"/>
      <c r="BQV4" s="88"/>
      <c r="BQW4" s="88"/>
      <c r="BQX4" s="88"/>
      <c r="BQY4" s="88"/>
      <c r="BQZ4" s="88"/>
      <c r="BRA4" s="88"/>
      <c r="BRB4" s="88"/>
      <c r="BRC4" s="88"/>
      <c r="BRD4" s="88"/>
      <c r="BRE4" s="88"/>
      <c r="BRF4" s="88"/>
      <c r="BRG4" s="88"/>
      <c r="BRH4" s="88"/>
      <c r="BRI4" s="88"/>
      <c r="BRJ4" s="88"/>
      <c r="BRK4" s="88"/>
      <c r="BRL4" s="88"/>
      <c r="BRM4" s="88"/>
      <c r="BRN4" s="88"/>
      <c r="BRO4" s="88"/>
      <c r="BRP4" s="88"/>
      <c r="BRQ4" s="88"/>
      <c r="BRR4" s="88"/>
      <c r="BRS4" s="88"/>
      <c r="BRT4" s="88"/>
      <c r="BRU4" s="88"/>
      <c r="BRV4" s="88"/>
      <c r="BRW4" s="88"/>
      <c r="BRX4" s="88"/>
      <c r="BRY4" s="88"/>
      <c r="BRZ4" s="88"/>
      <c r="BSA4" s="88"/>
      <c r="BSB4" s="88"/>
      <c r="BSC4" s="88"/>
      <c r="BSD4" s="88"/>
      <c r="BSE4" s="88"/>
      <c r="BSF4" s="88"/>
      <c r="BSG4" s="88"/>
      <c r="BSH4" s="88"/>
      <c r="BSI4" s="88"/>
      <c r="BSJ4" s="88"/>
      <c r="BSK4" s="88"/>
      <c r="BSL4" s="88"/>
      <c r="BSM4" s="88"/>
      <c r="BSN4" s="88"/>
      <c r="BSO4" s="88"/>
      <c r="BSP4" s="88"/>
      <c r="BSQ4" s="88"/>
      <c r="BSR4" s="88"/>
      <c r="BSS4" s="88"/>
      <c r="BST4" s="88"/>
      <c r="BSU4" s="88"/>
      <c r="BSV4" s="88"/>
      <c r="BSW4" s="88"/>
      <c r="BSX4" s="88"/>
      <c r="BSY4" s="88"/>
      <c r="BSZ4" s="88"/>
      <c r="BTA4" s="88"/>
      <c r="BTB4" s="88"/>
      <c r="BTC4" s="88"/>
      <c r="BTD4" s="88"/>
      <c r="BTE4" s="88"/>
      <c r="BTF4" s="88"/>
      <c r="BTG4" s="88"/>
      <c r="BTH4" s="88"/>
      <c r="BTI4" s="88"/>
      <c r="BTJ4" s="88"/>
      <c r="BTK4" s="88"/>
      <c r="BTL4" s="88"/>
      <c r="BTM4" s="88"/>
      <c r="BTN4" s="88"/>
      <c r="BTO4" s="88"/>
      <c r="BTP4" s="88"/>
      <c r="BTQ4" s="88"/>
      <c r="BTR4" s="88"/>
      <c r="BTS4" s="88"/>
      <c r="BTT4" s="88"/>
      <c r="BTU4" s="88"/>
      <c r="BTV4" s="88"/>
      <c r="BTW4" s="88"/>
      <c r="BTX4" s="88"/>
      <c r="BTY4" s="88"/>
      <c r="BTZ4" s="88"/>
      <c r="BUA4" s="88"/>
      <c r="BUB4" s="88"/>
      <c r="BUC4" s="88"/>
      <c r="BUD4" s="88"/>
      <c r="BUE4" s="88"/>
      <c r="BUF4" s="88"/>
      <c r="BUG4" s="88"/>
      <c r="BUH4" s="88"/>
      <c r="BUI4" s="88"/>
      <c r="BUJ4" s="88"/>
      <c r="BUK4" s="88"/>
      <c r="BUL4" s="88"/>
      <c r="BUM4" s="88"/>
      <c r="BUN4" s="88"/>
      <c r="BUO4" s="88"/>
      <c r="BUP4" s="88"/>
      <c r="BUQ4" s="88"/>
      <c r="BUR4" s="88"/>
      <c r="BUS4" s="88"/>
      <c r="BUT4" s="88"/>
      <c r="BUU4" s="88"/>
      <c r="BUV4" s="88"/>
      <c r="BUW4" s="88"/>
      <c r="BUX4" s="88"/>
      <c r="BUY4" s="88"/>
      <c r="BUZ4" s="88"/>
      <c r="BVA4" s="88"/>
      <c r="BVB4" s="90"/>
    </row>
    <row r="5" spans="1:1926" ht="30" customHeight="1" x14ac:dyDescent="0.25">
      <c r="B5" s="96"/>
      <c r="C5" s="12" t="s">
        <v>1</v>
      </c>
      <c r="D5" s="141"/>
      <c r="E5" s="13" t="s">
        <v>46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88"/>
      <c r="BOE5" s="88"/>
      <c r="BOF5" s="88"/>
      <c r="BOG5" s="88"/>
      <c r="BOH5" s="88"/>
      <c r="BOI5" s="88"/>
      <c r="BOJ5" s="88"/>
      <c r="BOK5" s="88"/>
      <c r="BOL5" s="88"/>
      <c r="BOM5" s="88"/>
      <c r="BON5" s="88"/>
      <c r="BOO5" s="88"/>
      <c r="BOP5" s="88"/>
      <c r="BOQ5" s="88"/>
      <c r="BOR5" s="88"/>
      <c r="BOS5" s="88"/>
      <c r="BOT5" s="88"/>
      <c r="BOU5" s="88"/>
      <c r="BOV5" s="88"/>
      <c r="BOW5" s="88"/>
      <c r="BOX5" s="88"/>
      <c r="BOY5" s="88"/>
      <c r="BOZ5" s="88"/>
      <c r="BPA5" s="88"/>
      <c r="BPB5" s="88"/>
      <c r="BPC5" s="88"/>
      <c r="BPD5" s="88"/>
      <c r="BPE5" s="88"/>
      <c r="BPF5" s="88"/>
      <c r="BPG5" s="88"/>
      <c r="BPH5" s="88"/>
      <c r="BPI5" s="88"/>
      <c r="BPJ5" s="88"/>
      <c r="BPK5" s="88"/>
      <c r="BPL5" s="88"/>
      <c r="BPM5" s="88"/>
      <c r="BPN5" s="88"/>
      <c r="BPO5" s="88"/>
      <c r="BPP5" s="88"/>
      <c r="BPQ5" s="88"/>
      <c r="BPR5" s="88"/>
      <c r="BPS5" s="88"/>
      <c r="BPT5" s="88"/>
      <c r="BPU5" s="88"/>
      <c r="BPV5" s="88"/>
      <c r="BPW5" s="88"/>
      <c r="BPX5" s="88"/>
      <c r="BPY5" s="88"/>
      <c r="BPZ5" s="88"/>
      <c r="BQA5" s="88"/>
      <c r="BQB5" s="88"/>
      <c r="BQC5" s="88"/>
      <c r="BQD5" s="88"/>
      <c r="BQE5" s="88"/>
      <c r="BQF5" s="88"/>
      <c r="BQG5" s="88"/>
      <c r="BQH5" s="88"/>
      <c r="BQI5" s="88"/>
      <c r="BQJ5" s="88"/>
      <c r="BQK5" s="88"/>
      <c r="BQL5" s="88"/>
      <c r="BQM5" s="88"/>
      <c r="BQN5" s="88"/>
      <c r="BQO5" s="88"/>
      <c r="BQP5" s="88"/>
      <c r="BQQ5" s="88"/>
      <c r="BQR5" s="88"/>
      <c r="BQS5" s="88"/>
      <c r="BQT5" s="88"/>
      <c r="BQU5" s="88"/>
      <c r="BQV5" s="88"/>
      <c r="BQW5" s="88"/>
      <c r="BQX5" s="88"/>
      <c r="BQY5" s="88"/>
      <c r="BQZ5" s="88"/>
      <c r="BRA5" s="88"/>
      <c r="BRB5" s="88"/>
      <c r="BRC5" s="88"/>
      <c r="BRD5" s="88"/>
      <c r="BRE5" s="88"/>
      <c r="BRF5" s="88"/>
      <c r="BRG5" s="88"/>
      <c r="BRH5" s="88"/>
      <c r="BRI5" s="88"/>
      <c r="BRJ5" s="88"/>
      <c r="BRK5" s="88"/>
      <c r="BRL5" s="88"/>
      <c r="BRM5" s="88"/>
      <c r="BRN5" s="88"/>
      <c r="BRO5" s="88"/>
      <c r="BRP5" s="88"/>
      <c r="BRQ5" s="88"/>
      <c r="BRR5" s="88"/>
      <c r="BRS5" s="88"/>
      <c r="BRT5" s="88"/>
      <c r="BRU5" s="88"/>
      <c r="BRV5" s="88"/>
      <c r="BRW5" s="88"/>
      <c r="BRX5" s="88"/>
      <c r="BRY5" s="88"/>
      <c r="BRZ5" s="88"/>
      <c r="BSA5" s="88"/>
      <c r="BSB5" s="88"/>
      <c r="BSC5" s="88"/>
      <c r="BSD5" s="88"/>
      <c r="BSE5" s="88"/>
      <c r="BSF5" s="88"/>
      <c r="BSG5" s="88"/>
      <c r="BSH5" s="88"/>
      <c r="BSI5" s="88"/>
      <c r="BSJ5" s="88"/>
      <c r="BSK5" s="88"/>
      <c r="BSL5" s="88"/>
      <c r="BSM5" s="88"/>
      <c r="BSN5" s="88"/>
      <c r="BSO5" s="88"/>
      <c r="BSP5" s="88"/>
      <c r="BSQ5" s="88"/>
      <c r="BSR5" s="88"/>
      <c r="BSS5" s="88"/>
      <c r="BST5" s="88"/>
      <c r="BSU5" s="88"/>
      <c r="BSV5" s="88"/>
      <c r="BSW5" s="88"/>
      <c r="BSX5" s="88"/>
      <c r="BSY5" s="88"/>
      <c r="BSZ5" s="88"/>
      <c r="BTA5" s="88"/>
      <c r="BTB5" s="88"/>
      <c r="BTC5" s="88"/>
      <c r="BTD5" s="88"/>
      <c r="BTE5" s="88"/>
      <c r="BTF5" s="88"/>
      <c r="BTG5" s="88"/>
      <c r="BTH5" s="88"/>
      <c r="BTI5" s="88"/>
      <c r="BTJ5" s="88"/>
      <c r="BTK5" s="88"/>
      <c r="BTL5" s="88"/>
      <c r="BTM5" s="88"/>
      <c r="BTN5" s="88"/>
      <c r="BTO5" s="88"/>
      <c r="BTP5" s="88"/>
      <c r="BTQ5" s="88"/>
      <c r="BTR5" s="88"/>
      <c r="BTS5" s="88"/>
      <c r="BTT5" s="88"/>
      <c r="BTU5" s="88"/>
      <c r="BTV5" s="88"/>
      <c r="BTW5" s="88"/>
      <c r="BTX5" s="88"/>
      <c r="BTY5" s="88"/>
      <c r="BTZ5" s="88"/>
      <c r="BUA5" s="88"/>
      <c r="BUB5" s="88"/>
      <c r="BUC5" s="88"/>
      <c r="BUD5" s="88"/>
      <c r="BUE5" s="88"/>
      <c r="BUF5" s="88"/>
      <c r="BUG5" s="88"/>
      <c r="BUH5" s="88"/>
      <c r="BUI5" s="88"/>
      <c r="BUJ5" s="88"/>
      <c r="BUK5" s="88"/>
      <c r="BUL5" s="88"/>
      <c r="BUM5" s="88"/>
      <c r="BUN5" s="88"/>
      <c r="BUO5" s="88"/>
      <c r="BUP5" s="88"/>
      <c r="BUQ5" s="88"/>
      <c r="BUR5" s="88"/>
      <c r="BUS5" s="88"/>
      <c r="BUT5" s="88"/>
      <c r="BUU5" s="88"/>
      <c r="BUV5" s="88"/>
      <c r="BUW5" s="88"/>
      <c r="BUX5" s="88"/>
      <c r="BUY5" s="88"/>
      <c r="BUZ5" s="88"/>
      <c r="BVA5" s="88"/>
      <c r="BVB5" s="90"/>
    </row>
    <row r="6" spans="1:19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88"/>
      <c r="BOE6" s="88"/>
      <c r="BOF6" s="88"/>
      <c r="BOG6" s="88"/>
      <c r="BOH6" s="88"/>
      <c r="BOI6" s="88"/>
      <c r="BOJ6" s="88"/>
      <c r="BOK6" s="88"/>
      <c r="BOL6" s="88"/>
      <c r="BOM6" s="88"/>
      <c r="BON6" s="88"/>
      <c r="BOO6" s="88"/>
      <c r="BOP6" s="88"/>
      <c r="BOQ6" s="88"/>
      <c r="BOR6" s="88"/>
      <c r="BOS6" s="88"/>
      <c r="BOT6" s="88"/>
      <c r="BOU6" s="88"/>
      <c r="BOV6" s="88"/>
      <c r="BOW6" s="88"/>
      <c r="BOX6" s="88"/>
      <c r="BOY6" s="88"/>
      <c r="BOZ6" s="88"/>
      <c r="BPA6" s="88"/>
      <c r="BPB6" s="88"/>
      <c r="BPC6" s="88"/>
      <c r="BPD6" s="88"/>
      <c r="BPE6" s="88"/>
      <c r="BPF6" s="88"/>
      <c r="BPG6" s="88"/>
      <c r="BPH6" s="88"/>
      <c r="BPI6" s="88"/>
      <c r="BPJ6" s="88"/>
      <c r="BPK6" s="88"/>
      <c r="BPL6" s="88"/>
      <c r="BPM6" s="88"/>
      <c r="BPN6" s="88"/>
      <c r="BPO6" s="88"/>
      <c r="BPP6" s="88"/>
      <c r="BPQ6" s="88"/>
      <c r="BPR6" s="88"/>
      <c r="BPS6" s="88"/>
      <c r="BPT6" s="88"/>
      <c r="BPU6" s="88"/>
      <c r="BPV6" s="88"/>
      <c r="BPW6" s="88"/>
      <c r="BPX6" s="88"/>
      <c r="BPY6" s="88"/>
      <c r="BPZ6" s="88"/>
      <c r="BQA6" s="88"/>
      <c r="BQB6" s="88"/>
      <c r="BQC6" s="88"/>
      <c r="BQD6" s="88"/>
      <c r="BQE6" s="88"/>
      <c r="BQF6" s="88"/>
      <c r="BQG6" s="88"/>
      <c r="BQH6" s="88"/>
      <c r="BQI6" s="88"/>
      <c r="BQJ6" s="88"/>
      <c r="BQK6" s="88"/>
      <c r="BQL6" s="88"/>
      <c r="BQM6" s="88"/>
      <c r="BQN6" s="88"/>
      <c r="BQO6" s="88"/>
      <c r="BQP6" s="88"/>
      <c r="BQQ6" s="88"/>
      <c r="BQR6" s="88"/>
      <c r="BQS6" s="88"/>
      <c r="BQT6" s="88"/>
      <c r="BQU6" s="88"/>
      <c r="BQV6" s="88"/>
      <c r="BQW6" s="88"/>
      <c r="BQX6" s="88"/>
      <c r="BQY6" s="88"/>
      <c r="BQZ6" s="88"/>
      <c r="BRA6" s="88"/>
      <c r="BRB6" s="88"/>
      <c r="BRC6" s="88"/>
      <c r="BRD6" s="88"/>
      <c r="BRE6" s="88"/>
      <c r="BRF6" s="88"/>
      <c r="BRG6" s="88"/>
      <c r="BRH6" s="88"/>
      <c r="BRI6" s="88"/>
      <c r="BRJ6" s="88"/>
      <c r="BRK6" s="88"/>
      <c r="BRL6" s="88"/>
      <c r="BRM6" s="88"/>
      <c r="BRN6" s="88"/>
      <c r="BRO6" s="88"/>
      <c r="BRP6" s="88"/>
      <c r="BRQ6" s="88"/>
      <c r="BRR6" s="88"/>
      <c r="BRS6" s="88"/>
      <c r="BRT6" s="88"/>
      <c r="BRU6" s="88"/>
      <c r="BRV6" s="88"/>
      <c r="BRW6" s="88"/>
      <c r="BRX6" s="88"/>
      <c r="BRY6" s="88"/>
      <c r="BRZ6" s="88"/>
      <c r="BSA6" s="88"/>
      <c r="BSB6" s="88"/>
      <c r="BSC6" s="88"/>
      <c r="BSD6" s="88"/>
      <c r="BSE6" s="88"/>
      <c r="BSF6" s="88"/>
      <c r="BSG6" s="88"/>
      <c r="BSH6" s="88"/>
      <c r="BSI6" s="88"/>
      <c r="BSJ6" s="88"/>
      <c r="BSK6" s="88"/>
      <c r="BSL6" s="88"/>
      <c r="BSM6" s="88"/>
      <c r="BSN6" s="88"/>
      <c r="BSO6" s="88"/>
      <c r="BSP6" s="88"/>
      <c r="BSQ6" s="88"/>
      <c r="BSR6" s="88"/>
      <c r="BSS6" s="88"/>
      <c r="BST6" s="88"/>
      <c r="BSU6" s="88"/>
      <c r="BSV6" s="88"/>
      <c r="BSW6" s="88"/>
      <c r="BSX6" s="88"/>
      <c r="BSY6" s="88"/>
      <c r="BSZ6" s="88"/>
      <c r="BTA6" s="88"/>
      <c r="BTB6" s="88"/>
      <c r="BTC6" s="88"/>
      <c r="BTD6" s="88"/>
      <c r="BTE6" s="88"/>
      <c r="BTF6" s="88"/>
      <c r="BTG6" s="88"/>
      <c r="BTH6" s="88"/>
      <c r="BTI6" s="88"/>
      <c r="BTJ6" s="88"/>
      <c r="BTK6" s="88"/>
      <c r="BTL6" s="88"/>
      <c r="BTM6" s="88"/>
      <c r="BTN6" s="88"/>
      <c r="BTO6" s="88"/>
      <c r="BTP6" s="88"/>
      <c r="BTQ6" s="88"/>
      <c r="BTR6" s="88"/>
      <c r="BTS6" s="88"/>
      <c r="BTT6" s="88"/>
      <c r="BTU6" s="88"/>
      <c r="BTV6" s="88"/>
      <c r="BTW6" s="88"/>
      <c r="BTX6" s="88"/>
      <c r="BTY6" s="88"/>
      <c r="BTZ6" s="88"/>
      <c r="BUA6" s="88"/>
      <c r="BUB6" s="88"/>
      <c r="BUC6" s="88"/>
      <c r="BUD6" s="88"/>
      <c r="BUE6" s="88"/>
      <c r="BUF6" s="88"/>
      <c r="BUG6" s="88"/>
      <c r="BUH6" s="88"/>
      <c r="BUI6" s="88"/>
      <c r="BUJ6" s="88"/>
      <c r="BUK6" s="88"/>
      <c r="BUL6" s="88"/>
      <c r="BUM6" s="88"/>
      <c r="BUN6" s="88"/>
      <c r="BUO6" s="88"/>
      <c r="BUP6" s="88"/>
      <c r="BUQ6" s="88"/>
      <c r="BUR6" s="88"/>
      <c r="BUS6" s="88"/>
      <c r="BUT6" s="88"/>
      <c r="BUU6" s="88"/>
      <c r="BUV6" s="88"/>
      <c r="BUW6" s="88"/>
      <c r="BUX6" s="88"/>
      <c r="BUY6" s="88"/>
      <c r="BUZ6" s="88"/>
      <c r="BVA6" s="88"/>
      <c r="BVB6" s="90"/>
    </row>
    <row r="7" spans="1:1926" ht="20.100000000000001" customHeight="1" thickBot="1" x14ac:dyDescent="0.3">
      <c r="B7" s="96"/>
      <c r="C7" s="198"/>
      <c r="D7" s="198"/>
      <c r="E7" s="19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88"/>
      <c r="BOE7" s="88"/>
      <c r="BOF7" s="88"/>
      <c r="BOG7" s="88"/>
      <c r="BOH7" s="88"/>
      <c r="BOI7" s="88"/>
      <c r="BOJ7" s="88"/>
      <c r="BOK7" s="88"/>
      <c r="BOL7" s="88"/>
      <c r="BOM7" s="88"/>
      <c r="BON7" s="88"/>
      <c r="BOO7" s="88"/>
      <c r="BOP7" s="88"/>
      <c r="BOQ7" s="88"/>
      <c r="BOR7" s="88"/>
      <c r="BOS7" s="88"/>
      <c r="BOT7" s="88"/>
      <c r="BOU7" s="88"/>
      <c r="BOV7" s="88"/>
      <c r="BOW7" s="88"/>
      <c r="BOX7" s="88"/>
      <c r="BOY7" s="88"/>
      <c r="BOZ7" s="88"/>
      <c r="BPA7" s="88"/>
      <c r="BPB7" s="88"/>
      <c r="BPC7" s="88"/>
      <c r="BPD7" s="88"/>
      <c r="BPE7" s="88"/>
      <c r="BPF7" s="88"/>
      <c r="BPG7" s="88"/>
      <c r="BPH7" s="88"/>
      <c r="BPI7" s="88"/>
      <c r="BPJ7" s="88"/>
      <c r="BPK7" s="88"/>
      <c r="BPL7" s="88"/>
      <c r="BPM7" s="88"/>
      <c r="BPN7" s="88"/>
      <c r="BPO7" s="88"/>
      <c r="BPP7" s="88"/>
      <c r="BPQ7" s="88"/>
      <c r="BPR7" s="88"/>
      <c r="BPS7" s="88"/>
      <c r="BPT7" s="88"/>
      <c r="BPU7" s="88"/>
      <c r="BPV7" s="88"/>
      <c r="BPW7" s="88"/>
      <c r="BPX7" s="88"/>
      <c r="BPY7" s="88"/>
      <c r="BPZ7" s="88"/>
      <c r="BQA7" s="88"/>
      <c r="BQB7" s="88"/>
      <c r="BQC7" s="88"/>
      <c r="BQD7" s="88"/>
      <c r="BQE7" s="88"/>
      <c r="BQF7" s="88"/>
      <c r="BQG7" s="88"/>
      <c r="BQH7" s="88"/>
      <c r="BQI7" s="88"/>
      <c r="BQJ7" s="88"/>
      <c r="BQK7" s="88"/>
      <c r="BQL7" s="88"/>
      <c r="BQM7" s="88"/>
      <c r="BQN7" s="88"/>
      <c r="BQO7" s="88"/>
      <c r="BQP7" s="88"/>
      <c r="BQQ7" s="88"/>
      <c r="BQR7" s="88"/>
      <c r="BQS7" s="88"/>
      <c r="BQT7" s="88"/>
      <c r="BQU7" s="88"/>
      <c r="BQV7" s="88"/>
      <c r="BQW7" s="88"/>
      <c r="BQX7" s="88"/>
      <c r="BQY7" s="88"/>
      <c r="BQZ7" s="88"/>
      <c r="BRA7" s="88"/>
      <c r="BRB7" s="88"/>
      <c r="BRC7" s="88"/>
      <c r="BRD7" s="88"/>
      <c r="BRE7" s="88"/>
      <c r="BRF7" s="88"/>
      <c r="BRG7" s="88"/>
      <c r="BRH7" s="88"/>
      <c r="BRI7" s="88"/>
      <c r="BRJ7" s="88"/>
      <c r="BRK7" s="88"/>
      <c r="BRL7" s="88"/>
      <c r="BRM7" s="88"/>
      <c r="BRN7" s="88"/>
      <c r="BRO7" s="88"/>
      <c r="BRP7" s="88"/>
      <c r="BRQ7" s="88"/>
      <c r="BRR7" s="88"/>
      <c r="BRS7" s="88"/>
      <c r="BRT7" s="88"/>
      <c r="BRU7" s="88"/>
      <c r="BRV7" s="88"/>
      <c r="BRW7" s="88"/>
      <c r="BRX7" s="88"/>
      <c r="BRY7" s="88"/>
      <c r="BRZ7" s="88"/>
      <c r="BSA7" s="88"/>
      <c r="BSB7" s="88"/>
      <c r="BSC7" s="88"/>
      <c r="BSD7" s="88"/>
      <c r="BSE7" s="88"/>
      <c r="BSF7" s="88"/>
      <c r="BSG7" s="88"/>
      <c r="BSH7" s="88"/>
      <c r="BSI7" s="88"/>
      <c r="BSJ7" s="88"/>
      <c r="BSK7" s="88"/>
      <c r="BSL7" s="88"/>
      <c r="BSM7" s="88"/>
      <c r="BSN7" s="88"/>
      <c r="BSO7" s="88"/>
      <c r="BSP7" s="88"/>
      <c r="BSQ7" s="88"/>
      <c r="BSR7" s="88"/>
      <c r="BSS7" s="88"/>
      <c r="BST7" s="88"/>
      <c r="BSU7" s="88"/>
      <c r="BSV7" s="88"/>
      <c r="BSW7" s="88"/>
      <c r="BSX7" s="88"/>
      <c r="BSY7" s="88"/>
      <c r="BSZ7" s="88"/>
      <c r="BTA7" s="88"/>
      <c r="BTB7" s="88"/>
      <c r="BTC7" s="88"/>
      <c r="BTD7" s="88"/>
      <c r="BTE7" s="88"/>
      <c r="BTF7" s="88"/>
      <c r="BTG7" s="88"/>
      <c r="BTH7" s="88"/>
      <c r="BTI7" s="88"/>
      <c r="BTJ7" s="88"/>
      <c r="BTK7" s="88"/>
      <c r="BTL7" s="88"/>
      <c r="BTM7" s="88"/>
      <c r="BTN7" s="88"/>
      <c r="BTO7" s="88"/>
      <c r="BTP7" s="88"/>
      <c r="BTQ7" s="88"/>
      <c r="BTR7" s="88"/>
      <c r="BTS7" s="88"/>
      <c r="BTT7" s="88"/>
      <c r="BTU7" s="88"/>
      <c r="BTV7" s="88"/>
      <c r="BTW7" s="88"/>
      <c r="BTX7" s="88"/>
      <c r="BTY7" s="88"/>
      <c r="BTZ7" s="88"/>
      <c r="BUA7" s="88"/>
      <c r="BUB7" s="88"/>
      <c r="BUC7" s="88"/>
      <c r="BUD7" s="88"/>
      <c r="BUE7" s="88"/>
      <c r="BUF7" s="88"/>
      <c r="BUG7" s="88"/>
      <c r="BUH7" s="88"/>
      <c r="BUI7" s="88"/>
      <c r="BUJ7" s="88"/>
      <c r="BUK7" s="88"/>
      <c r="BUL7" s="88"/>
      <c r="BUM7" s="88"/>
      <c r="BUN7" s="88"/>
      <c r="BUO7" s="88"/>
      <c r="BUP7" s="88"/>
      <c r="BUQ7" s="88"/>
      <c r="BUR7" s="88"/>
      <c r="BUS7" s="88"/>
      <c r="BUT7" s="88"/>
      <c r="BUU7" s="88"/>
      <c r="BUV7" s="88"/>
      <c r="BUW7" s="88"/>
      <c r="BUX7" s="88"/>
      <c r="BUY7" s="88"/>
      <c r="BUZ7" s="88"/>
      <c r="BVA7" s="88"/>
      <c r="BVB7" s="90"/>
    </row>
    <row r="8" spans="1:1926" ht="30" customHeight="1" x14ac:dyDescent="0.25">
      <c r="B8" s="96"/>
      <c r="C8" s="7" t="s">
        <v>3</v>
      </c>
      <c r="D8" s="140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88"/>
      <c r="BOE8" s="88"/>
      <c r="BOF8" s="88"/>
      <c r="BOG8" s="88"/>
      <c r="BOH8" s="88"/>
      <c r="BOI8" s="88"/>
      <c r="BOJ8" s="88"/>
      <c r="BOK8" s="88"/>
      <c r="BOL8" s="88"/>
      <c r="BOM8" s="88"/>
      <c r="BON8" s="88"/>
      <c r="BOO8" s="88"/>
      <c r="BOP8" s="88"/>
      <c r="BOQ8" s="88"/>
      <c r="BOR8" s="88"/>
      <c r="BOS8" s="88"/>
      <c r="BOT8" s="88"/>
      <c r="BOU8" s="88"/>
      <c r="BOV8" s="88"/>
      <c r="BOW8" s="88"/>
      <c r="BOX8" s="88"/>
      <c r="BOY8" s="88"/>
      <c r="BOZ8" s="88"/>
      <c r="BPA8" s="88"/>
      <c r="BPB8" s="88"/>
      <c r="BPC8" s="88"/>
      <c r="BPD8" s="88"/>
      <c r="BPE8" s="88"/>
      <c r="BPF8" s="88"/>
      <c r="BPG8" s="88"/>
      <c r="BPH8" s="88"/>
      <c r="BPI8" s="88"/>
      <c r="BPJ8" s="88"/>
      <c r="BPK8" s="88"/>
      <c r="BPL8" s="88"/>
      <c r="BPM8" s="88"/>
      <c r="BPN8" s="88"/>
      <c r="BPO8" s="88"/>
      <c r="BPP8" s="88"/>
      <c r="BPQ8" s="88"/>
      <c r="BPR8" s="88"/>
      <c r="BPS8" s="88"/>
      <c r="BPT8" s="88"/>
      <c r="BPU8" s="88"/>
      <c r="BPV8" s="88"/>
      <c r="BPW8" s="88"/>
      <c r="BPX8" s="88"/>
      <c r="BPY8" s="88"/>
      <c r="BPZ8" s="88"/>
      <c r="BQA8" s="88"/>
      <c r="BQB8" s="88"/>
      <c r="BQC8" s="88"/>
      <c r="BQD8" s="88"/>
      <c r="BQE8" s="88"/>
      <c r="BQF8" s="88"/>
      <c r="BQG8" s="88"/>
      <c r="BQH8" s="88"/>
      <c r="BQI8" s="88"/>
      <c r="BQJ8" s="88"/>
      <c r="BQK8" s="88"/>
      <c r="BQL8" s="88"/>
      <c r="BQM8" s="88"/>
      <c r="BQN8" s="88"/>
      <c r="BQO8" s="88"/>
      <c r="BQP8" s="88"/>
      <c r="BQQ8" s="88"/>
      <c r="BQR8" s="88"/>
      <c r="BQS8" s="88"/>
      <c r="BQT8" s="88"/>
      <c r="BQU8" s="88"/>
      <c r="BQV8" s="88"/>
      <c r="BQW8" s="88"/>
      <c r="BQX8" s="88"/>
      <c r="BQY8" s="88"/>
      <c r="BQZ8" s="88"/>
      <c r="BRA8" s="88"/>
      <c r="BRB8" s="88"/>
      <c r="BRC8" s="88"/>
      <c r="BRD8" s="88"/>
      <c r="BRE8" s="88"/>
      <c r="BRF8" s="88"/>
      <c r="BRG8" s="88"/>
      <c r="BRH8" s="88"/>
      <c r="BRI8" s="88"/>
      <c r="BRJ8" s="88"/>
      <c r="BRK8" s="88"/>
      <c r="BRL8" s="88"/>
      <c r="BRM8" s="88"/>
      <c r="BRN8" s="88"/>
      <c r="BRO8" s="88"/>
      <c r="BRP8" s="88"/>
      <c r="BRQ8" s="88"/>
      <c r="BRR8" s="88"/>
      <c r="BRS8" s="88"/>
      <c r="BRT8" s="88"/>
      <c r="BRU8" s="88"/>
      <c r="BRV8" s="88"/>
      <c r="BRW8" s="88"/>
      <c r="BRX8" s="88"/>
      <c r="BRY8" s="88"/>
      <c r="BRZ8" s="88"/>
      <c r="BSA8" s="88"/>
      <c r="BSB8" s="88"/>
      <c r="BSC8" s="88"/>
      <c r="BSD8" s="88"/>
      <c r="BSE8" s="88"/>
      <c r="BSF8" s="88"/>
      <c r="BSG8" s="88"/>
      <c r="BSH8" s="88"/>
      <c r="BSI8" s="88"/>
      <c r="BSJ8" s="88"/>
      <c r="BSK8" s="88"/>
      <c r="BSL8" s="88"/>
      <c r="BSM8" s="88"/>
      <c r="BSN8" s="88"/>
      <c r="BSO8" s="88"/>
      <c r="BSP8" s="88"/>
      <c r="BSQ8" s="88"/>
      <c r="BSR8" s="88"/>
      <c r="BSS8" s="88"/>
      <c r="BST8" s="88"/>
      <c r="BSU8" s="88"/>
      <c r="BSV8" s="88"/>
      <c r="BSW8" s="88"/>
      <c r="BSX8" s="88"/>
      <c r="BSY8" s="88"/>
      <c r="BSZ8" s="88"/>
      <c r="BTA8" s="88"/>
      <c r="BTB8" s="88"/>
      <c r="BTC8" s="88"/>
      <c r="BTD8" s="88"/>
      <c r="BTE8" s="88"/>
      <c r="BTF8" s="88"/>
      <c r="BTG8" s="88"/>
      <c r="BTH8" s="88"/>
      <c r="BTI8" s="88"/>
      <c r="BTJ8" s="88"/>
      <c r="BTK8" s="88"/>
      <c r="BTL8" s="88"/>
      <c r="BTM8" s="88"/>
      <c r="BTN8" s="88"/>
      <c r="BTO8" s="88"/>
      <c r="BTP8" s="88"/>
      <c r="BTQ8" s="88"/>
      <c r="BTR8" s="88"/>
      <c r="BTS8" s="88"/>
      <c r="BTT8" s="88"/>
      <c r="BTU8" s="88"/>
      <c r="BTV8" s="88"/>
      <c r="BTW8" s="88"/>
      <c r="BTX8" s="88"/>
      <c r="BTY8" s="88"/>
      <c r="BTZ8" s="88"/>
      <c r="BUA8" s="88"/>
      <c r="BUB8" s="88"/>
      <c r="BUC8" s="88"/>
      <c r="BUD8" s="88"/>
      <c r="BUE8" s="88"/>
      <c r="BUF8" s="88"/>
      <c r="BUG8" s="88"/>
      <c r="BUH8" s="88"/>
      <c r="BUI8" s="88"/>
      <c r="BUJ8" s="88"/>
      <c r="BUK8" s="88"/>
      <c r="BUL8" s="88"/>
      <c r="BUM8" s="88"/>
      <c r="BUN8" s="88"/>
      <c r="BUO8" s="88"/>
      <c r="BUP8" s="88"/>
      <c r="BUQ8" s="88"/>
      <c r="BUR8" s="88"/>
      <c r="BUS8" s="88"/>
      <c r="BUT8" s="88"/>
      <c r="BUU8" s="88"/>
      <c r="BUV8" s="88"/>
      <c r="BUW8" s="88"/>
      <c r="BUX8" s="88"/>
      <c r="BUY8" s="88"/>
      <c r="BUZ8" s="88"/>
      <c r="BVA8" s="88"/>
      <c r="BVB8" s="90"/>
    </row>
    <row r="9" spans="1:1926" ht="30" customHeight="1" x14ac:dyDescent="0.25">
      <c r="B9" s="96"/>
      <c r="C9" s="12" t="s">
        <v>18</v>
      </c>
      <c r="D9" s="141"/>
      <c r="E9" s="13" t="s">
        <v>22</v>
      </c>
      <c r="F9" s="14"/>
      <c r="G9" s="188" t="str">
        <f>E96</f>
        <v>52h15min</v>
      </c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19"/>
      <c r="W9" s="187" t="s">
        <v>23</v>
      </c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8" t="str">
        <f>E98</f>
        <v>0h</v>
      </c>
      <c r="AI9" s="188"/>
      <c r="AJ9" s="188"/>
      <c r="AK9" s="188"/>
      <c r="AL9" s="188"/>
      <c r="AM9" s="188"/>
      <c r="AN9" s="188"/>
      <c r="AO9" s="188"/>
      <c r="AP9" s="188"/>
      <c r="AQ9" s="188"/>
      <c r="AR9" s="188"/>
      <c r="AS9" s="188"/>
      <c r="AT9" s="188"/>
      <c r="AU9" s="188"/>
      <c r="AV9" s="188"/>
      <c r="AW9" s="188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88"/>
      <c r="BOE9" s="88"/>
      <c r="BOF9" s="88"/>
      <c r="BOG9" s="88"/>
      <c r="BOH9" s="88"/>
      <c r="BOI9" s="88"/>
      <c r="BOJ9" s="88"/>
      <c r="BOK9" s="88"/>
      <c r="BOL9" s="88"/>
      <c r="BOM9" s="88"/>
      <c r="BON9" s="88"/>
      <c r="BOO9" s="88"/>
      <c r="BOP9" s="88"/>
      <c r="BOQ9" s="88"/>
      <c r="BOR9" s="88"/>
      <c r="BOS9" s="88"/>
      <c r="BOT9" s="88"/>
      <c r="BOU9" s="88"/>
      <c r="BOV9" s="88"/>
      <c r="BOW9" s="88"/>
      <c r="BOX9" s="88"/>
      <c r="BOY9" s="88"/>
      <c r="BOZ9" s="88"/>
      <c r="BPA9" s="88"/>
      <c r="BPB9" s="88"/>
      <c r="BPC9" s="88"/>
      <c r="BPD9" s="88"/>
      <c r="BPE9" s="88"/>
      <c r="BPF9" s="88"/>
      <c r="BPG9" s="88"/>
      <c r="BPH9" s="88"/>
      <c r="BPI9" s="88"/>
      <c r="BPJ9" s="88"/>
      <c r="BPK9" s="88"/>
      <c r="BPL9" s="88"/>
      <c r="BPM9" s="88"/>
      <c r="BPN9" s="88"/>
      <c r="BPO9" s="88"/>
      <c r="BPP9" s="88"/>
      <c r="BPQ9" s="88"/>
      <c r="BPR9" s="88"/>
      <c r="BPS9" s="88"/>
      <c r="BPT9" s="88"/>
      <c r="BPU9" s="88"/>
      <c r="BPV9" s="88"/>
      <c r="BPW9" s="88"/>
      <c r="BPX9" s="88"/>
      <c r="BPY9" s="88"/>
      <c r="BPZ9" s="88"/>
      <c r="BQA9" s="88"/>
      <c r="BQB9" s="88"/>
      <c r="BQC9" s="88"/>
      <c r="BQD9" s="88"/>
      <c r="BQE9" s="88"/>
      <c r="BQF9" s="88"/>
      <c r="BQG9" s="88"/>
      <c r="BQH9" s="88"/>
      <c r="BQI9" s="88"/>
      <c r="BQJ9" s="88"/>
      <c r="BQK9" s="88"/>
      <c r="BQL9" s="88"/>
      <c r="BQM9" s="88"/>
      <c r="BQN9" s="88"/>
      <c r="BQO9" s="88"/>
      <c r="BQP9" s="88"/>
      <c r="BQQ9" s="88"/>
      <c r="BQR9" s="88"/>
      <c r="BQS9" s="88"/>
      <c r="BQT9" s="88"/>
      <c r="BQU9" s="88"/>
      <c r="BQV9" s="88"/>
      <c r="BQW9" s="88"/>
      <c r="BQX9" s="88"/>
      <c r="BQY9" s="88"/>
      <c r="BQZ9" s="88"/>
      <c r="BRA9" s="88"/>
      <c r="BRB9" s="88"/>
      <c r="BRC9" s="88"/>
      <c r="BRD9" s="88"/>
      <c r="BRE9" s="88"/>
      <c r="BRF9" s="88"/>
      <c r="BRG9" s="88"/>
      <c r="BRH9" s="88"/>
      <c r="BRI9" s="88"/>
      <c r="BRJ9" s="88"/>
      <c r="BRK9" s="88"/>
      <c r="BRL9" s="88"/>
      <c r="BRM9" s="88"/>
      <c r="BRN9" s="88"/>
      <c r="BRO9" s="88"/>
      <c r="BRP9" s="88"/>
      <c r="BRQ9" s="88"/>
      <c r="BRR9" s="88"/>
      <c r="BRS9" s="88"/>
      <c r="BRT9" s="88"/>
      <c r="BRU9" s="88"/>
      <c r="BRV9" s="88"/>
      <c r="BRW9" s="88"/>
      <c r="BRX9" s="88"/>
      <c r="BRY9" s="88"/>
      <c r="BRZ9" s="88"/>
      <c r="BSA9" s="88"/>
      <c r="BSB9" s="88"/>
      <c r="BSC9" s="88"/>
      <c r="BSD9" s="88"/>
      <c r="BSE9" s="88"/>
      <c r="BSF9" s="88"/>
      <c r="BSG9" s="88"/>
      <c r="BSH9" s="88"/>
      <c r="BSI9" s="88"/>
      <c r="BSJ9" s="88"/>
      <c r="BSK9" s="88"/>
      <c r="BSL9" s="88"/>
      <c r="BSM9" s="88"/>
      <c r="BSN9" s="88"/>
      <c r="BSO9" s="88"/>
      <c r="BSP9" s="88"/>
      <c r="BSQ9" s="88"/>
      <c r="BSR9" s="88"/>
      <c r="BSS9" s="88"/>
      <c r="BST9" s="88"/>
      <c r="BSU9" s="88"/>
      <c r="BSV9" s="88"/>
      <c r="BSW9" s="88"/>
      <c r="BSX9" s="88"/>
      <c r="BSY9" s="88"/>
      <c r="BSZ9" s="88"/>
      <c r="BTA9" s="88"/>
      <c r="BTB9" s="88"/>
      <c r="BTC9" s="88"/>
      <c r="BTD9" s="88"/>
      <c r="BTE9" s="88"/>
      <c r="BTF9" s="88"/>
      <c r="BTG9" s="88"/>
      <c r="BTH9" s="88"/>
      <c r="BTI9" s="88"/>
      <c r="BTJ9" s="88"/>
      <c r="BTK9" s="88"/>
      <c r="BTL9" s="88"/>
      <c r="BTM9" s="88"/>
      <c r="BTN9" s="88"/>
      <c r="BTO9" s="88"/>
      <c r="BTP9" s="88"/>
      <c r="BTQ9" s="88"/>
      <c r="BTR9" s="88"/>
      <c r="BTS9" s="88"/>
      <c r="BTT9" s="88"/>
      <c r="BTU9" s="88"/>
      <c r="BTV9" s="88"/>
      <c r="BTW9" s="88"/>
      <c r="BTX9" s="88"/>
      <c r="BTY9" s="88"/>
      <c r="BTZ9" s="88"/>
      <c r="BUA9" s="88"/>
      <c r="BUB9" s="88"/>
      <c r="BUC9" s="88"/>
      <c r="BUD9" s="88"/>
      <c r="BUE9" s="88"/>
      <c r="BUF9" s="88"/>
      <c r="BUG9" s="88"/>
      <c r="BUH9" s="88"/>
      <c r="BUI9" s="88"/>
      <c r="BUJ9" s="88"/>
      <c r="BUK9" s="88"/>
      <c r="BUL9" s="88"/>
      <c r="BUM9" s="88"/>
      <c r="BUN9" s="88"/>
      <c r="BUO9" s="88"/>
      <c r="BUP9" s="88"/>
      <c r="BUQ9" s="88"/>
      <c r="BUR9" s="88"/>
      <c r="BUS9" s="88"/>
      <c r="BUT9" s="88"/>
      <c r="BUU9" s="88"/>
      <c r="BUV9" s="88"/>
      <c r="BUW9" s="88"/>
      <c r="BUX9" s="88"/>
      <c r="BUY9" s="88"/>
      <c r="BUZ9" s="88"/>
      <c r="BVA9" s="88"/>
      <c r="BVB9" s="90"/>
    </row>
    <row r="10" spans="1:19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2"/>
      <c r="NK10" s="182"/>
      <c r="NL10" s="182"/>
      <c r="NM10" s="182"/>
      <c r="NN10" s="182"/>
      <c r="NO10" s="182"/>
      <c r="NP10" s="182"/>
      <c r="NQ10" s="182"/>
      <c r="NR10" s="182"/>
      <c r="NS10" s="182"/>
      <c r="NT10" s="182"/>
      <c r="NU10" s="182"/>
      <c r="NV10" s="182"/>
      <c r="NW10" s="182"/>
      <c r="NX10" s="182"/>
      <c r="NY10" s="182"/>
      <c r="NZ10" s="182"/>
      <c r="OA10" s="182"/>
      <c r="OB10" s="182"/>
      <c r="OC10" s="182"/>
      <c r="OD10" s="182"/>
      <c r="OE10" s="182"/>
      <c r="OF10" s="182"/>
      <c r="OG10" s="182"/>
      <c r="OH10" s="182"/>
      <c r="OI10" s="182"/>
      <c r="OJ10" s="182"/>
      <c r="OK10" s="182"/>
      <c r="OL10" s="182"/>
      <c r="OM10" s="182"/>
      <c r="ON10" s="182"/>
      <c r="OO10" s="182"/>
      <c r="OP10" s="182"/>
      <c r="OQ10" s="182"/>
      <c r="OR10" s="182"/>
      <c r="OS10" s="182"/>
      <c r="OT10" s="182"/>
      <c r="OU10" s="182"/>
      <c r="OV10" s="182"/>
      <c r="OW10" s="182"/>
      <c r="OX10" s="182"/>
      <c r="OY10" s="182"/>
      <c r="OZ10" s="182"/>
      <c r="PA10" s="182"/>
      <c r="PB10" s="182"/>
      <c r="PC10" s="182"/>
      <c r="PD10" s="182"/>
      <c r="PE10" s="182"/>
      <c r="PF10" s="182"/>
      <c r="PG10" s="182"/>
      <c r="PH10" s="182"/>
      <c r="PI10" s="182"/>
      <c r="PJ10" s="182"/>
      <c r="PK10" s="182"/>
      <c r="PL10" s="182"/>
      <c r="PM10" s="182"/>
      <c r="PN10" s="182"/>
      <c r="PO10" s="182"/>
      <c r="PP10" s="182"/>
      <c r="PQ10" s="182"/>
      <c r="PR10" s="182"/>
      <c r="PS10" s="182"/>
      <c r="PT10" s="182"/>
      <c r="PU10" s="182"/>
      <c r="PV10" s="182"/>
      <c r="PW10" s="182"/>
      <c r="PX10" s="182"/>
      <c r="PY10" s="182"/>
      <c r="PZ10" s="182"/>
      <c r="QA10" s="182"/>
      <c r="QB10" s="182"/>
      <c r="QC10" s="182"/>
      <c r="QD10" s="182"/>
      <c r="QE10" s="182"/>
      <c r="QF10" s="182"/>
      <c r="QG10" s="182"/>
      <c r="QH10" s="182"/>
      <c r="QI10" s="182"/>
      <c r="QJ10" s="182"/>
      <c r="QK10" s="182"/>
      <c r="QL10" s="182"/>
      <c r="QM10" s="182"/>
      <c r="QN10" s="182"/>
      <c r="QO10" s="182"/>
      <c r="QP10" s="182"/>
      <c r="QQ10" s="182"/>
      <c r="QR10" s="182"/>
      <c r="QS10" s="182"/>
      <c r="QT10" s="182"/>
      <c r="QU10" s="182"/>
      <c r="QV10" s="182"/>
      <c r="QW10" s="182"/>
      <c r="QX10" s="182"/>
      <c r="QY10" s="182"/>
      <c r="QZ10" s="182"/>
      <c r="RA10" s="182"/>
      <c r="RB10" s="182"/>
      <c r="RC10" s="182"/>
      <c r="RD10" s="182"/>
      <c r="RE10" s="182"/>
      <c r="RF10" s="182"/>
      <c r="RG10" s="182"/>
      <c r="RH10" s="182"/>
      <c r="RI10" s="182"/>
      <c r="RJ10" s="182"/>
      <c r="RK10" s="182"/>
      <c r="RL10" s="182"/>
      <c r="RM10" s="182"/>
      <c r="RN10" s="182"/>
      <c r="RO10" s="182"/>
      <c r="RP10" s="182"/>
      <c r="RQ10" s="182"/>
      <c r="RR10" s="182"/>
      <c r="RS10" s="182"/>
      <c r="RT10" s="182"/>
      <c r="RU10" s="182"/>
      <c r="RV10" s="182"/>
      <c r="RW10" s="182"/>
      <c r="RX10" s="182"/>
      <c r="RY10" s="182"/>
      <c r="RZ10" s="182"/>
      <c r="SA10" s="182"/>
      <c r="SB10" s="182"/>
      <c r="SC10" s="182"/>
      <c r="SD10" s="182"/>
      <c r="SE10" s="182"/>
      <c r="SF10" s="182"/>
      <c r="SG10" s="182"/>
      <c r="SH10" s="182"/>
      <c r="SI10" s="182"/>
      <c r="SJ10" s="182"/>
      <c r="SK10" s="182"/>
      <c r="SL10" s="182"/>
      <c r="SM10" s="182"/>
      <c r="SN10" s="182"/>
      <c r="SO10" s="182"/>
      <c r="SP10" s="182"/>
      <c r="SQ10" s="182"/>
      <c r="SR10" s="182"/>
      <c r="SS10" s="182"/>
      <c r="ST10" s="182"/>
      <c r="SU10" s="182"/>
      <c r="SV10" s="182"/>
      <c r="SW10" s="182"/>
      <c r="SX10" s="182"/>
      <c r="SY10" s="182"/>
      <c r="SZ10" s="182"/>
      <c r="TA10" s="182"/>
      <c r="TB10" s="182"/>
      <c r="TC10" s="182"/>
      <c r="TD10" s="182"/>
      <c r="TE10" s="182"/>
      <c r="TF10" s="182"/>
      <c r="TG10" s="182"/>
      <c r="TH10" s="182"/>
      <c r="TI10" s="182"/>
      <c r="TJ10" s="182"/>
      <c r="TK10" s="182"/>
      <c r="TL10" s="182"/>
      <c r="TM10" s="182"/>
      <c r="TN10" s="182"/>
      <c r="TO10" s="182"/>
      <c r="TP10" s="182"/>
      <c r="TQ10" s="182"/>
      <c r="TR10" s="182"/>
      <c r="TS10" s="182"/>
      <c r="TT10" s="182"/>
      <c r="TU10" s="182"/>
      <c r="TV10" s="182"/>
      <c r="TW10" s="182"/>
      <c r="TX10" s="182"/>
      <c r="TY10" s="182"/>
      <c r="TZ10" s="182"/>
      <c r="UA10" s="182"/>
      <c r="UB10" s="182"/>
      <c r="UC10" s="182"/>
      <c r="UD10" s="182"/>
      <c r="UE10" s="182"/>
      <c r="UF10" s="182"/>
      <c r="UG10" s="182"/>
      <c r="UH10" s="182"/>
      <c r="UI10" s="182"/>
      <c r="UJ10" s="182"/>
      <c r="UK10" s="182"/>
      <c r="UL10" s="182"/>
      <c r="UM10" s="182"/>
      <c r="UN10" s="182"/>
      <c r="UO10" s="182"/>
      <c r="UP10" s="182"/>
      <c r="UQ10" s="182"/>
      <c r="UR10" s="182"/>
      <c r="US10" s="182"/>
      <c r="UT10" s="182"/>
      <c r="UU10" s="182"/>
      <c r="UV10" s="182"/>
      <c r="UW10" s="182"/>
      <c r="UX10" s="182"/>
      <c r="UY10" s="182"/>
      <c r="UZ10" s="182"/>
      <c r="VA10" s="182"/>
      <c r="VB10" s="182"/>
      <c r="VC10" s="182"/>
      <c r="VD10" s="182"/>
      <c r="VE10" s="182"/>
      <c r="VF10" s="182"/>
      <c r="VG10" s="182"/>
      <c r="VH10" s="182"/>
      <c r="VI10" s="182"/>
      <c r="VJ10" s="182"/>
      <c r="VK10" s="182"/>
      <c r="VL10" s="182"/>
      <c r="VM10" s="182"/>
      <c r="VN10" s="182"/>
      <c r="VO10" s="182"/>
      <c r="VP10" s="182"/>
      <c r="VQ10" s="182"/>
      <c r="VR10" s="182"/>
      <c r="VS10" s="182"/>
      <c r="VT10" s="182"/>
      <c r="VU10" s="182"/>
      <c r="VV10" s="182"/>
      <c r="VW10" s="182"/>
      <c r="VX10" s="182"/>
      <c r="VY10" s="182"/>
      <c r="VZ10" s="182"/>
      <c r="WA10" s="182"/>
      <c r="WB10" s="182"/>
      <c r="WC10" s="182"/>
      <c r="WD10" s="182"/>
      <c r="WE10" s="182"/>
      <c r="WF10" s="182"/>
      <c r="WG10" s="182"/>
      <c r="WH10" s="182"/>
      <c r="WI10" s="182"/>
      <c r="WJ10" s="182"/>
      <c r="WK10" s="182"/>
      <c r="WL10" s="182"/>
      <c r="WM10" s="182"/>
      <c r="WN10" s="182"/>
      <c r="WO10" s="182"/>
      <c r="WP10" s="182"/>
      <c r="WQ10" s="182"/>
      <c r="WR10" s="182"/>
      <c r="WS10" s="182"/>
      <c r="WT10" s="182"/>
      <c r="WU10" s="182"/>
      <c r="WV10" s="182"/>
      <c r="WW10" s="182"/>
      <c r="WX10" s="182"/>
      <c r="WY10" s="182"/>
      <c r="WZ10" s="182"/>
      <c r="XA10" s="182"/>
      <c r="XB10" s="182"/>
      <c r="XC10" s="182"/>
      <c r="XD10" s="182"/>
      <c r="XE10" s="182"/>
      <c r="XF10" s="182"/>
      <c r="XG10" s="182"/>
      <c r="XH10" s="182"/>
      <c r="XI10" s="182"/>
      <c r="XJ10" s="182"/>
      <c r="XK10" s="182"/>
      <c r="XL10" s="182"/>
      <c r="XM10" s="182"/>
      <c r="XN10" s="182"/>
      <c r="XO10" s="182"/>
      <c r="XP10" s="182"/>
      <c r="XQ10" s="182"/>
      <c r="XR10" s="182"/>
      <c r="XS10" s="182"/>
      <c r="XT10" s="182"/>
      <c r="XU10" s="182"/>
      <c r="XV10" s="182"/>
      <c r="XW10" s="182"/>
      <c r="XX10" s="182"/>
      <c r="XY10" s="182"/>
      <c r="XZ10" s="182"/>
      <c r="YA10" s="182"/>
      <c r="YB10" s="182"/>
      <c r="YC10" s="182"/>
      <c r="YD10" s="182"/>
      <c r="YE10" s="182"/>
      <c r="YF10" s="182"/>
      <c r="YG10" s="182"/>
      <c r="YH10" s="182"/>
      <c r="YI10" s="182"/>
      <c r="YJ10" s="182"/>
      <c r="YK10" s="182"/>
      <c r="YL10" s="182"/>
      <c r="YM10" s="182"/>
      <c r="YN10" s="182"/>
      <c r="YO10" s="182"/>
      <c r="YP10" s="182"/>
      <c r="YQ10" s="182"/>
      <c r="YR10" s="182"/>
      <c r="YS10" s="182"/>
      <c r="YT10" s="182"/>
      <c r="YU10" s="182"/>
      <c r="YV10" s="182"/>
      <c r="YW10" s="182"/>
      <c r="YX10" s="182"/>
      <c r="YY10" s="182"/>
      <c r="YZ10" s="182"/>
      <c r="ZA10" s="182"/>
      <c r="ZB10" s="182"/>
      <c r="ZC10" s="182"/>
      <c r="ZD10" s="182"/>
      <c r="ZE10" s="182"/>
      <c r="ZF10" s="182"/>
      <c r="ZG10" s="182"/>
      <c r="ZH10" s="182"/>
      <c r="ZI10" s="182"/>
      <c r="ZJ10" s="182"/>
      <c r="ZK10" s="182"/>
      <c r="ZL10" s="182"/>
      <c r="ZM10" s="182"/>
      <c r="ZN10" s="182"/>
      <c r="ZO10" s="182"/>
      <c r="ZP10" s="182"/>
      <c r="ZQ10" s="182"/>
      <c r="ZR10" s="182"/>
      <c r="ZS10" s="182"/>
      <c r="ZT10" s="182"/>
      <c r="ZU10" s="182"/>
      <c r="ZV10" s="182"/>
      <c r="ZW10" s="182"/>
      <c r="ZX10" s="182"/>
      <c r="ZY10" s="182"/>
      <c r="ZZ10" s="182"/>
      <c r="AAA10" s="182"/>
      <c r="AAB10" s="182"/>
      <c r="AAC10" s="182"/>
      <c r="AAD10" s="182"/>
      <c r="AAE10" s="182"/>
      <c r="AAF10" s="182"/>
      <c r="AAG10" s="182"/>
      <c r="AAH10" s="182"/>
      <c r="AAI10" s="182"/>
      <c r="AAJ10" s="182"/>
      <c r="AAK10" s="182"/>
      <c r="AAL10" s="182"/>
      <c r="AAM10" s="182"/>
      <c r="AAN10" s="182"/>
      <c r="AAO10" s="182"/>
      <c r="AAP10" s="182"/>
      <c r="AAQ10" s="182"/>
      <c r="AAR10" s="182"/>
      <c r="AAS10" s="182"/>
      <c r="AAT10" s="182"/>
      <c r="AAU10" s="182"/>
      <c r="AAV10" s="182"/>
      <c r="AAW10" s="182"/>
      <c r="AAX10" s="182"/>
      <c r="AAY10" s="182"/>
      <c r="AAZ10" s="182"/>
      <c r="ABA10" s="182"/>
      <c r="ABB10" s="182"/>
      <c r="ABC10" s="182"/>
      <c r="ABD10" s="182"/>
      <c r="ABE10" s="182"/>
      <c r="ABF10" s="182"/>
      <c r="ABG10" s="182"/>
      <c r="ABH10" s="182"/>
      <c r="ABI10" s="182"/>
      <c r="ABJ10" s="182"/>
      <c r="ABK10" s="182"/>
      <c r="ABL10" s="182"/>
      <c r="ABM10" s="182"/>
      <c r="ABN10" s="182"/>
      <c r="ABO10" s="182"/>
      <c r="ABP10" s="182"/>
      <c r="ABQ10" s="182"/>
      <c r="ABR10" s="182"/>
      <c r="ABS10" s="182"/>
      <c r="ABT10" s="182"/>
      <c r="ABU10" s="182"/>
      <c r="ABV10" s="182"/>
      <c r="ABW10" s="182"/>
      <c r="ABX10" s="182"/>
      <c r="ABY10" s="182"/>
      <c r="ABZ10" s="182"/>
      <c r="ACA10" s="182"/>
      <c r="ACB10" s="182"/>
      <c r="ACC10" s="182"/>
      <c r="ACD10" s="182"/>
      <c r="ACE10" s="182"/>
      <c r="ACF10" s="182"/>
      <c r="ACG10" s="182"/>
      <c r="ACH10" s="182"/>
      <c r="ACI10" s="182"/>
      <c r="ACJ10" s="182"/>
      <c r="ACK10" s="182"/>
      <c r="ACL10" s="182"/>
      <c r="ACM10" s="182"/>
      <c r="ACN10" s="182"/>
      <c r="ACO10" s="182"/>
      <c r="ACP10" s="182"/>
      <c r="ACQ10" s="182"/>
      <c r="ACR10" s="182"/>
      <c r="ACS10" s="182"/>
      <c r="ACT10" s="182"/>
      <c r="ACU10" s="182"/>
      <c r="ACV10" s="182"/>
      <c r="ACW10" s="182"/>
      <c r="ACX10" s="182"/>
      <c r="ACY10" s="182"/>
      <c r="ACZ10" s="182"/>
      <c r="ADA10" s="182"/>
      <c r="ADB10" s="182"/>
      <c r="ADC10" s="182"/>
      <c r="ADD10" s="182"/>
      <c r="ADE10" s="182"/>
      <c r="ADF10" s="182"/>
      <c r="ADG10" s="182"/>
      <c r="ADH10" s="182"/>
      <c r="ADI10" s="182"/>
      <c r="ADJ10" s="182"/>
      <c r="ADK10" s="182"/>
      <c r="ADL10" s="182"/>
      <c r="ADM10" s="182"/>
      <c r="ADN10" s="182"/>
      <c r="ADO10" s="182"/>
      <c r="ADP10" s="182"/>
      <c r="ADQ10" s="182"/>
      <c r="ADR10" s="182"/>
      <c r="ADS10" s="182"/>
      <c r="ADT10" s="182"/>
      <c r="ADU10" s="182"/>
      <c r="ADV10" s="182"/>
      <c r="ADW10" s="182"/>
      <c r="ADX10" s="182"/>
      <c r="ADY10" s="182"/>
      <c r="ADZ10" s="182"/>
      <c r="AEA10" s="182"/>
      <c r="AEB10" s="182"/>
      <c r="AEC10" s="182"/>
      <c r="AED10" s="182"/>
      <c r="AEE10" s="182"/>
      <c r="AEF10" s="182"/>
      <c r="AEG10" s="182"/>
      <c r="AEH10" s="182"/>
      <c r="AEI10" s="182"/>
      <c r="AEJ10" s="182"/>
      <c r="AEK10" s="182"/>
      <c r="AEL10" s="182"/>
      <c r="AEM10" s="182"/>
      <c r="AEN10" s="182"/>
      <c r="AEO10" s="182"/>
      <c r="AEP10" s="182"/>
      <c r="AEQ10" s="182"/>
      <c r="AER10" s="182"/>
      <c r="AES10" s="182"/>
      <c r="AET10" s="182"/>
      <c r="AEU10" s="182"/>
      <c r="AEV10" s="182"/>
      <c r="AEW10" s="182"/>
      <c r="AEX10" s="182"/>
      <c r="AEY10" s="182"/>
      <c r="AEZ10" s="182"/>
      <c r="AFA10" s="182"/>
      <c r="AFB10" s="182"/>
      <c r="AFC10" s="182"/>
      <c r="AFD10" s="182"/>
      <c r="AFE10" s="182"/>
      <c r="AFF10" s="182"/>
      <c r="AFG10" s="182"/>
      <c r="AFH10" s="182"/>
      <c r="AFI10" s="182"/>
      <c r="AFJ10" s="182"/>
      <c r="AFK10" s="182"/>
      <c r="AFL10" s="182"/>
      <c r="AFM10" s="182"/>
      <c r="AFN10" s="182"/>
      <c r="AFO10" s="182"/>
      <c r="AFP10" s="182"/>
      <c r="AFQ10" s="182"/>
      <c r="AFR10" s="182"/>
      <c r="AFS10" s="182"/>
      <c r="AFT10" s="182"/>
      <c r="AFU10" s="182"/>
      <c r="AFV10" s="182"/>
      <c r="AFW10" s="182"/>
      <c r="AFX10" s="182"/>
      <c r="AFY10" s="182"/>
      <c r="AFZ10" s="182"/>
      <c r="AGA10" s="182"/>
      <c r="AGB10" s="182"/>
      <c r="AGC10" s="182"/>
      <c r="AGD10" s="182"/>
      <c r="AGE10" s="182"/>
      <c r="AGF10" s="182"/>
      <c r="AGG10" s="182"/>
      <c r="AGH10" s="182"/>
      <c r="AGI10" s="182"/>
      <c r="AGJ10" s="182"/>
      <c r="AGK10" s="182"/>
      <c r="AGL10" s="182"/>
      <c r="AGM10" s="182"/>
      <c r="AGN10" s="182"/>
      <c r="AGO10" s="182"/>
      <c r="AGP10" s="182"/>
      <c r="AGQ10" s="182"/>
      <c r="AGR10" s="182"/>
      <c r="AGS10" s="182"/>
      <c r="AGT10" s="182"/>
      <c r="AGU10" s="182"/>
      <c r="AGV10" s="182"/>
      <c r="AGW10" s="182"/>
      <c r="AGX10" s="182"/>
      <c r="AGY10" s="182"/>
      <c r="AGZ10" s="182"/>
      <c r="AHA10" s="182"/>
      <c r="AHB10" s="182"/>
      <c r="AHC10" s="182"/>
      <c r="AHD10" s="182"/>
      <c r="AHE10" s="182"/>
      <c r="AHF10" s="182"/>
      <c r="AHG10" s="182"/>
      <c r="AHH10" s="182"/>
      <c r="AHI10" s="182"/>
      <c r="AHJ10" s="182"/>
      <c r="AHK10" s="182"/>
      <c r="AHL10" s="182"/>
      <c r="AHM10" s="182"/>
      <c r="AHN10" s="182"/>
      <c r="AHO10" s="182"/>
      <c r="AHP10" s="182"/>
      <c r="AHQ10" s="182"/>
      <c r="AHR10" s="182"/>
      <c r="AHS10" s="182"/>
      <c r="AHT10" s="182"/>
      <c r="AHU10" s="182"/>
      <c r="AHV10" s="182"/>
      <c r="AHW10" s="182"/>
      <c r="AHX10" s="182"/>
      <c r="AHY10" s="182"/>
      <c r="AHZ10" s="182"/>
      <c r="AIA10" s="182"/>
      <c r="AIB10" s="182"/>
      <c r="AIC10" s="182"/>
      <c r="AID10" s="182"/>
      <c r="AIE10" s="182"/>
      <c r="AIF10" s="182"/>
      <c r="AIG10" s="182"/>
      <c r="AIH10" s="182"/>
      <c r="AII10" s="182"/>
      <c r="AIJ10" s="182"/>
      <c r="AIK10" s="182"/>
      <c r="AIL10" s="182"/>
      <c r="AIM10" s="182"/>
      <c r="AIN10" s="182"/>
      <c r="AIO10" s="182"/>
      <c r="AIP10" s="182"/>
      <c r="AIQ10" s="182"/>
      <c r="AIR10" s="182"/>
      <c r="AIS10" s="182"/>
      <c r="AIT10" s="182"/>
      <c r="AIU10" s="182"/>
      <c r="AIV10" s="182"/>
      <c r="AIW10" s="182"/>
      <c r="AIX10" s="182"/>
      <c r="AIY10" s="182"/>
      <c r="AIZ10" s="182"/>
      <c r="AJA10" s="182"/>
      <c r="AJB10" s="182"/>
      <c r="AJC10" s="182"/>
      <c r="AJD10" s="182"/>
      <c r="AJE10" s="182"/>
      <c r="AJF10" s="182"/>
      <c r="AJG10" s="182"/>
      <c r="AJH10" s="182"/>
      <c r="AJI10" s="182"/>
      <c r="AJJ10" s="182"/>
      <c r="AJK10" s="182"/>
      <c r="AJL10" s="182"/>
      <c r="AJM10" s="182"/>
      <c r="AJN10" s="182"/>
      <c r="AJO10" s="182"/>
      <c r="AJP10" s="182"/>
      <c r="AJQ10" s="182"/>
      <c r="AJR10" s="182"/>
      <c r="AJS10" s="182"/>
      <c r="AJT10" s="182"/>
      <c r="AJU10" s="182"/>
      <c r="AJV10" s="182"/>
      <c r="AJW10" s="182"/>
      <c r="AJX10" s="182"/>
      <c r="AJY10" s="182"/>
      <c r="AJZ10" s="182"/>
      <c r="AKA10" s="182"/>
      <c r="AKB10" s="182"/>
      <c r="AKC10" s="182"/>
      <c r="AKD10" s="182"/>
      <c r="AKE10" s="182"/>
      <c r="AKF10" s="182"/>
      <c r="AKG10" s="182"/>
      <c r="AKH10" s="182"/>
      <c r="AKI10" s="182"/>
      <c r="AKJ10" s="182"/>
      <c r="AKK10" s="182"/>
      <c r="AKL10" s="182"/>
      <c r="AKM10" s="182"/>
      <c r="AKN10" s="182"/>
      <c r="AKO10" s="182"/>
      <c r="AKP10" s="182"/>
      <c r="AKQ10" s="182"/>
      <c r="AKR10" s="182"/>
      <c r="AKS10" s="182"/>
      <c r="AKT10" s="182"/>
      <c r="AKU10" s="182"/>
      <c r="AKV10" s="182"/>
      <c r="AKW10" s="182"/>
      <c r="AKX10" s="182"/>
      <c r="AKY10" s="182"/>
      <c r="AKZ10" s="182"/>
      <c r="ALA10" s="182"/>
      <c r="ALB10" s="182"/>
      <c r="ALC10" s="182"/>
      <c r="ALD10" s="182"/>
      <c r="ALE10" s="182"/>
      <c r="ALF10" s="182"/>
      <c r="ALG10" s="182"/>
      <c r="ALH10" s="182"/>
      <c r="ALI10" s="182"/>
      <c r="ALJ10" s="182"/>
      <c r="ALK10" s="182"/>
      <c r="ALL10" s="182"/>
      <c r="ALM10" s="182"/>
      <c r="ALN10" s="182"/>
      <c r="ALO10" s="182"/>
      <c r="ALP10" s="182"/>
      <c r="ALQ10" s="182"/>
      <c r="ALR10" s="182"/>
      <c r="ALS10" s="182"/>
      <c r="ALT10" s="182"/>
      <c r="ALU10" s="182"/>
      <c r="ALV10" s="182"/>
      <c r="ALW10" s="182"/>
      <c r="ALX10" s="182"/>
      <c r="ALY10" s="182"/>
      <c r="ALZ10" s="182"/>
      <c r="AMA10" s="182"/>
      <c r="AMB10" s="182"/>
      <c r="AMC10" s="182"/>
      <c r="AMD10" s="182"/>
      <c r="AME10" s="182"/>
      <c r="AMF10" s="182"/>
      <c r="AMG10" s="182"/>
      <c r="AMH10" s="182"/>
      <c r="AMI10" s="182"/>
      <c r="AMJ10" s="182"/>
      <c r="AMK10" s="182"/>
      <c r="AML10" s="182"/>
      <c r="AMM10" s="182"/>
      <c r="AMN10" s="182"/>
      <c r="AMO10" s="182"/>
      <c r="AMP10" s="182"/>
      <c r="AMQ10" s="182"/>
      <c r="AMR10" s="182"/>
      <c r="AMS10" s="182"/>
      <c r="AMT10" s="182"/>
      <c r="AMU10" s="182"/>
      <c r="AMV10" s="182"/>
      <c r="AMW10" s="182"/>
      <c r="AMX10" s="182"/>
      <c r="AMY10" s="182"/>
      <c r="AMZ10" s="182"/>
      <c r="ANA10" s="182"/>
      <c r="ANB10" s="182"/>
      <c r="ANC10" s="182"/>
      <c r="AND10" s="182"/>
      <c r="ANE10" s="182"/>
      <c r="ANF10" s="182"/>
      <c r="ANG10" s="182"/>
      <c r="ANH10" s="182"/>
      <c r="ANI10" s="182"/>
      <c r="ANJ10" s="182"/>
      <c r="ANK10" s="182"/>
      <c r="ANL10" s="182"/>
      <c r="ANM10" s="182"/>
      <c r="ANN10" s="182"/>
      <c r="ANO10" s="182"/>
      <c r="ANP10" s="182"/>
      <c r="ANQ10" s="182"/>
      <c r="ANR10" s="182"/>
      <c r="ANS10" s="182"/>
      <c r="ANT10" s="182"/>
      <c r="ANU10" s="182"/>
      <c r="ANV10" s="182"/>
      <c r="ANW10" s="182"/>
      <c r="ANX10" s="182"/>
      <c r="ANY10" s="182"/>
      <c r="ANZ10" s="182"/>
      <c r="AOA10" s="182"/>
      <c r="AOB10" s="182"/>
      <c r="AOC10" s="182"/>
      <c r="AOD10" s="182"/>
      <c r="AOE10" s="182"/>
      <c r="AOF10" s="182"/>
      <c r="AOG10" s="182"/>
      <c r="AOH10" s="182"/>
      <c r="AOI10" s="182"/>
      <c r="AOJ10" s="182"/>
      <c r="AOK10" s="182"/>
      <c r="AOL10" s="182"/>
      <c r="AOM10" s="182"/>
      <c r="AON10" s="182"/>
      <c r="AOO10" s="182"/>
      <c r="AOP10" s="182"/>
      <c r="AOQ10" s="182"/>
      <c r="AOR10" s="182"/>
      <c r="AOS10" s="182"/>
      <c r="AOT10" s="182"/>
      <c r="AOU10" s="182"/>
      <c r="AOV10" s="182"/>
      <c r="AOW10" s="182"/>
      <c r="AOX10" s="182"/>
      <c r="AOY10" s="182"/>
      <c r="AOZ10" s="182"/>
      <c r="APA10" s="182"/>
      <c r="APB10" s="182"/>
      <c r="APC10" s="182"/>
      <c r="APD10" s="182"/>
      <c r="APE10" s="182"/>
      <c r="APF10" s="182"/>
      <c r="APG10" s="182"/>
      <c r="APH10" s="182"/>
      <c r="API10" s="182"/>
      <c r="APJ10" s="182"/>
      <c r="APK10" s="182"/>
      <c r="APL10" s="182"/>
      <c r="APM10" s="182"/>
      <c r="APN10" s="182"/>
      <c r="APO10" s="182"/>
      <c r="APP10" s="182"/>
      <c r="APQ10" s="182"/>
      <c r="APR10" s="182"/>
      <c r="APS10" s="182"/>
      <c r="APT10" s="182"/>
      <c r="APU10" s="182"/>
      <c r="APV10" s="182"/>
      <c r="APW10" s="182"/>
      <c r="APX10" s="182"/>
      <c r="APY10" s="182"/>
      <c r="APZ10" s="182"/>
      <c r="AQA10" s="182"/>
      <c r="AQB10" s="182"/>
      <c r="AQC10" s="182"/>
      <c r="AQD10" s="182"/>
      <c r="AQE10" s="182"/>
      <c r="AQF10" s="182"/>
      <c r="AQG10" s="182"/>
      <c r="AQH10" s="182"/>
      <c r="AQI10" s="182"/>
      <c r="AQJ10" s="182"/>
      <c r="AQK10" s="182"/>
      <c r="AQL10" s="182"/>
      <c r="AQM10" s="182"/>
      <c r="AQN10" s="182"/>
      <c r="AQO10" s="182"/>
      <c r="AQP10" s="182"/>
      <c r="AQQ10" s="182"/>
      <c r="AQR10" s="182"/>
      <c r="AQS10" s="182"/>
      <c r="AQT10" s="182"/>
      <c r="AQU10" s="182"/>
      <c r="AQV10" s="182"/>
      <c r="AQW10" s="182"/>
      <c r="AQX10" s="182"/>
      <c r="AQY10" s="182"/>
      <c r="AQZ10" s="182"/>
      <c r="ARA10" s="182"/>
      <c r="ARB10" s="182"/>
      <c r="ARC10" s="182"/>
      <c r="ARD10" s="182"/>
      <c r="ARE10" s="182"/>
      <c r="ARF10" s="182"/>
      <c r="ARG10" s="182"/>
      <c r="ARH10" s="182"/>
      <c r="ARI10" s="182"/>
      <c r="ARJ10" s="182"/>
      <c r="ARK10" s="182"/>
      <c r="ARL10" s="182"/>
      <c r="ARM10" s="182"/>
      <c r="ARN10" s="182"/>
      <c r="ARO10" s="182"/>
      <c r="ARP10" s="182"/>
      <c r="ARQ10" s="182"/>
      <c r="ARR10" s="182"/>
      <c r="ARS10" s="182"/>
      <c r="ART10" s="182"/>
      <c r="ARU10" s="182"/>
      <c r="ARV10" s="182"/>
      <c r="ARW10" s="182"/>
      <c r="ARX10" s="182"/>
      <c r="ARY10" s="182"/>
      <c r="ARZ10" s="182"/>
      <c r="ASA10" s="182"/>
      <c r="ASB10" s="182"/>
      <c r="ASC10" s="182"/>
      <c r="ASD10" s="182"/>
      <c r="ASE10" s="182"/>
      <c r="ASF10" s="182"/>
      <c r="ASG10" s="182"/>
      <c r="ASH10" s="182"/>
      <c r="ASI10" s="182"/>
      <c r="ASJ10" s="182"/>
      <c r="ASK10" s="182"/>
      <c r="ASL10" s="182"/>
      <c r="ASM10" s="182"/>
      <c r="ASN10" s="182"/>
      <c r="ASO10" s="182"/>
      <c r="ASP10" s="182"/>
      <c r="ASQ10" s="182"/>
      <c r="ASR10" s="182"/>
      <c r="ASS10" s="182"/>
      <c r="AST10" s="182"/>
      <c r="ASU10" s="182"/>
      <c r="ASV10" s="182"/>
      <c r="ASW10" s="182"/>
      <c r="ASX10" s="182"/>
      <c r="ASY10" s="182"/>
      <c r="ASZ10" s="182"/>
      <c r="ATA10" s="182"/>
      <c r="ATB10" s="182"/>
      <c r="ATC10" s="182"/>
      <c r="ATD10" s="182"/>
      <c r="ATE10" s="182"/>
      <c r="ATF10" s="182"/>
      <c r="ATG10" s="182"/>
      <c r="ATH10" s="182"/>
      <c r="ATI10" s="182"/>
      <c r="ATJ10" s="182"/>
      <c r="ATK10" s="182"/>
      <c r="ATL10" s="182"/>
      <c r="ATM10" s="182"/>
      <c r="ATN10" s="182"/>
      <c r="ATO10" s="182"/>
      <c r="ATP10" s="182"/>
      <c r="ATQ10" s="182"/>
      <c r="ATR10" s="182"/>
      <c r="ATS10" s="182"/>
      <c r="ATT10" s="182"/>
      <c r="ATU10" s="182"/>
      <c r="ATV10" s="182"/>
      <c r="ATW10" s="182"/>
      <c r="ATX10" s="182"/>
      <c r="ATY10" s="182"/>
      <c r="ATZ10" s="182"/>
      <c r="AUA10" s="182"/>
      <c r="AUB10" s="182"/>
      <c r="AUC10" s="182"/>
      <c r="AUD10" s="182"/>
      <c r="AUE10" s="182"/>
      <c r="AUF10" s="182"/>
      <c r="AUG10" s="182"/>
      <c r="AUH10" s="182"/>
      <c r="AUI10" s="182"/>
      <c r="AUJ10" s="182"/>
      <c r="AUK10" s="182"/>
      <c r="AUL10" s="182"/>
      <c r="AUM10" s="182"/>
      <c r="AUN10" s="182"/>
      <c r="AUO10" s="182"/>
      <c r="AUP10" s="182"/>
      <c r="AUQ10" s="182"/>
      <c r="AUR10" s="182"/>
      <c r="AUS10" s="182"/>
      <c r="AUT10" s="182"/>
      <c r="AUU10" s="182"/>
      <c r="AUV10" s="182"/>
      <c r="AUW10" s="182"/>
      <c r="AUX10" s="182"/>
      <c r="AUY10" s="182"/>
      <c r="AUZ10" s="182"/>
      <c r="AVA10" s="182"/>
      <c r="AVB10" s="182"/>
      <c r="AVC10" s="182"/>
      <c r="AVD10" s="182"/>
      <c r="AVE10" s="182"/>
      <c r="AVF10" s="182"/>
      <c r="AVG10" s="182"/>
      <c r="AVH10" s="182"/>
      <c r="AVI10" s="182"/>
      <c r="AVJ10" s="182"/>
      <c r="AVK10" s="182"/>
      <c r="AVL10" s="182"/>
      <c r="AVM10" s="182"/>
      <c r="AVN10" s="182"/>
      <c r="AVO10" s="182"/>
      <c r="AVP10" s="182"/>
      <c r="AVQ10" s="182"/>
      <c r="AVR10" s="182"/>
      <c r="AVS10" s="182"/>
      <c r="AVT10" s="182"/>
      <c r="AVU10" s="182"/>
      <c r="AVV10" s="182"/>
      <c r="AVW10" s="182"/>
      <c r="AVX10" s="182"/>
      <c r="AVY10" s="182"/>
      <c r="AVZ10" s="182"/>
      <c r="AWA10" s="182"/>
      <c r="AWB10" s="182"/>
      <c r="AWC10" s="182"/>
      <c r="AWD10" s="182"/>
      <c r="AWE10" s="182"/>
      <c r="AWF10" s="182"/>
      <c r="AWG10" s="182"/>
      <c r="AWH10" s="182"/>
      <c r="AWI10" s="182"/>
      <c r="AWJ10" s="182"/>
      <c r="AWK10" s="182"/>
      <c r="AWL10" s="182"/>
      <c r="AWM10" s="182"/>
      <c r="AWN10" s="182"/>
      <c r="AWO10" s="182"/>
      <c r="AWP10" s="182"/>
      <c r="AWQ10" s="182"/>
      <c r="AWR10" s="182"/>
      <c r="AWS10" s="182"/>
      <c r="AWT10" s="182"/>
      <c r="AWU10" s="182"/>
      <c r="AWV10" s="182"/>
      <c r="AWW10" s="182"/>
      <c r="AWX10" s="182"/>
      <c r="AWY10" s="182"/>
      <c r="AWZ10" s="182"/>
      <c r="AXA10" s="182"/>
      <c r="AXB10" s="182"/>
      <c r="AXC10" s="182"/>
      <c r="AXD10" s="182"/>
      <c r="AXE10" s="182"/>
      <c r="AXF10" s="182"/>
      <c r="AXG10" s="182"/>
      <c r="AXH10" s="182"/>
      <c r="AXI10" s="182"/>
      <c r="AXJ10" s="182"/>
      <c r="AXK10" s="182"/>
      <c r="AXL10" s="182"/>
      <c r="AXM10" s="182"/>
      <c r="AXN10" s="182"/>
      <c r="AXO10" s="182"/>
      <c r="AXP10" s="182"/>
      <c r="AXQ10" s="182"/>
      <c r="AXR10" s="182"/>
      <c r="AXS10" s="182"/>
      <c r="AXT10" s="182"/>
      <c r="AXU10" s="182"/>
      <c r="AXV10" s="182"/>
      <c r="AXW10" s="182"/>
      <c r="AXX10" s="182"/>
      <c r="AXY10" s="182"/>
      <c r="AXZ10" s="182"/>
      <c r="AYA10" s="182"/>
      <c r="AYB10" s="182"/>
      <c r="AYC10" s="182"/>
      <c r="AYD10" s="182"/>
      <c r="AYE10" s="182"/>
      <c r="AYF10" s="182"/>
      <c r="AYG10" s="182"/>
      <c r="AYH10" s="182"/>
      <c r="AYI10" s="182"/>
      <c r="AYJ10" s="182"/>
      <c r="AYK10" s="182"/>
      <c r="AYL10" s="182"/>
      <c r="AYM10" s="182"/>
      <c r="AYN10" s="182"/>
      <c r="AYO10" s="182"/>
      <c r="AYP10" s="182"/>
      <c r="AYQ10" s="182"/>
      <c r="AYR10" s="182"/>
      <c r="AYS10" s="182"/>
      <c r="AYT10" s="182"/>
      <c r="AYU10" s="182"/>
      <c r="AYV10" s="182"/>
      <c r="AYW10" s="182"/>
      <c r="AYX10" s="182"/>
      <c r="AYY10" s="182"/>
      <c r="AYZ10" s="182"/>
      <c r="AZA10" s="182"/>
      <c r="AZB10" s="182"/>
      <c r="AZC10" s="182"/>
      <c r="AZD10" s="182"/>
      <c r="AZE10" s="182"/>
      <c r="AZF10" s="182"/>
      <c r="AZG10" s="182"/>
      <c r="AZH10" s="182"/>
      <c r="AZI10" s="182"/>
      <c r="AZJ10" s="182"/>
      <c r="AZK10" s="182"/>
      <c r="AZL10" s="182"/>
      <c r="AZM10" s="182"/>
      <c r="AZN10" s="182"/>
      <c r="AZO10" s="182"/>
      <c r="AZP10" s="182"/>
      <c r="AZQ10" s="182"/>
      <c r="AZR10" s="182"/>
      <c r="AZS10" s="182"/>
      <c r="AZT10" s="182"/>
      <c r="AZU10" s="182"/>
      <c r="AZV10" s="182"/>
      <c r="AZW10" s="182"/>
      <c r="AZX10" s="182"/>
      <c r="AZY10" s="182"/>
      <c r="AZZ10" s="182"/>
      <c r="BAA10" s="182"/>
      <c r="BAB10" s="182"/>
      <c r="BAC10" s="182"/>
      <c r="BAD10" s="182"/>
      <c r="BAE10" s="182"/>
      <c r="BAF10" s="182"/>
      <c r="BAG10" s="182"/>
      <c r="BAH10" s="182"/>
      <c r="BAI10" s="182"/>
      <c r="BAJ10" s="182"/>
      <c r="BAK10" s="182"/>
      <c r="BAL10" s="182"/>
      <c r="BAM10" s="182"/>
      <c r="BAN10" s="182"/>
      <c r="BAO10" s="182"/>
      <c r="BAP10" s="182"/>
      <c r="BAQ10" s="182"/>
      <c r="BAR10" s="182"/>
      <c r="BAS10" s="182"/>
      <c r="BAT10" s="182"/>
      <c r="BAU10" s="182"/>
      <c r="BAV10" s="182"/>
      <c r="BAW10" s="182"/>
      <c r="BAX10" s="182"/>
      <c r="BAY10" s="182"/>
      <c r="BAZ10" s="182"/>
      <c r="BBA10" s="182"/>
      <c r="BBB10" s="182"/>
      <c r="BBC10" s="182"/>
      <c r="BBD10" s="182"/>
      <c r="BBE10" s="182"/>
      <c r="BBF10" s="182"/>
      <c r="BBG10" s="182"/>
      <c r="BBH10" s="182"/>
      <c r="BBI10" s="182"/>
      <c r="BBJ10" s="182"/>
      <c r="BBK10" s="182"/>
      <c r="BBL10" s="182"/>
      <c r="BBM10" s="182"/>
      <c r="BBN10" s="182"/>
      <c r="BBO10" s="182"/>
      <c r="BBP10" s="182"/>
      <c r="BBQ10" s="182"/>
      <c r="BBR10" s="182"/>
      <c r="BBS10" s="182"/>
      <c r="BBT10" s="182"/>
      <c r="BBU10" s="182"/>
      <c r="BBV10" s="182"/>
      <c r="BBW10" s="182"/>
      <c r="BBX10" s="182"/>
      <c r="BBY10" s="182"/>
      <c r="BBZ10" s="182"/>
      <c r="BCA10" s="182"/>
      <c r="BCB10" s="182"/>
      <c r="BCC10" s="182"/>
      <c r="BCD10" s="182"/>
      <c r="BCE10" s="182"/>
      <c r="BCF10" s="182"/>
      <c r="BCG10" s="182"/>
      <c r="BCH10" s="182"/>
      <c r="BCI10" s="182"/>
      <c r="BCJ10" s="182"/>
      <c r="BCK10" s="182"/>
      <c r="BCL10" s="182"/>
      <c r="BCM10" s="182"/>
      <c r="BCN10" s="182"/>
      <c r="BCO10" s="182"/>
      <c r="BCP10" s="182"/>
      <c r="BCQ10" s="182"/>
      <c r="BCR10" s="182"/>
      <c r="BCS10" s="182"/>
      <c r="BCT10" s="182"/>
      <c r="BCU10" s="182"/>
      <c r="BCV10" s="182"/>
      <c r="BCW10" s="182"/>
      <c r="BCX10" s="182"/>
      <c r="BCY10" s="182"/>
      <c r="BCZ10" s="182"/>
      <c r="BDA10" s="182"/>
      <c r="BDB10" s="182"/>
      <c r="BDC10" s="182"/>
      <c r="BDD10" s="182"/>
      <c r="BDE10" s="182"/>
      <c r="BDF10" s="182"/>
      <c r="BDG10" s="182"/>
      <c r="BDH10" s="182"/>
      <c r="BDI10" s="182"/>
      <c r="BDJ10" s="182"/>
      <c r="BDK10" s="182"/>
      <c r="BDL10" s="182"/>
      <c r="BDM10" s="182"/>
      <c r="BDN10" s="182"/>
      <c r="BDO10" s="182"/>
      <c r="BDP10" s="182"/>
      <c r="BDQ10" s="182"/>
      <c r="BDR10" s="182"/>
      <c r="BDS10" s="182"/>
      <c r="BDT10" s="182"/>
      <c r="BDU10" s="182"/>
      <c r="BDV10" s="182"/>
      <c r="BDW10" s="182"/>
      <c r="BDX10" s="182"/>
      <c r="BDY10" s="182"/>
      <c r="BDZ10" s="182"/>
      <c r="BEA10" s="182"/>
      <c r="BEB10" s="182"/>
      <c r="BEC10" s="182"/>
      <c r="BED10" s="182"/>
      <c r="BEE10" s="182"/>
      <c r="BEF10" s="182"/>
      <c r="BEG10" s="182"/>
      <c r="BEH10" s="182"/>
      <c r="BEI10" s="182"/>
      <c r="BEJ10" s="182"/>
      <c r="BEK10" s="182"/>
      <c r="BEL10" s="182"/>
      <c r="BEM10" s="182"/>
      <c r="BEN10" s="182"/>
      <c r="BEO10" s="182"/>
      <c r="BEP10" s="182"/>
      <c r="BEQ10" s="182"/>
      <c r="BER10" s="182"/>
      <c r="BES10" s="182"/>
      <c r="BET10" s="182"/>
      <c r="BEU10" s="182"/>
      <c r="BEV10" s="182"/>
      <c r="BEW10" s="182"/>
      <c r="BEX10" s="182"/>
      <c r="BEY10" s="182"/>
      <c r="BEZ10" s="182"/>
      <c r="BFA10" s="182"/>
      <c r="BFB10" s="182"/>
      <c r="BFC10" s="182"/>
      <c r="BFD10" s="182"/>
      <c r="BFE10" s="182"/>
      <c r="BFF10" s="182"/>
      <c r="BFG10" s="182"/>
      <c r="BFH10" s="182"/>
      <c r="BFI10" s="182"/>
      <c r="BFJ10" s="182"/>
      <c r="BFK10" s="182"/>
      <c r="BFL10" s="182"/>
      <c r="BFM10" s="182"/>
      <c r="BFN10" s="182"/>
      <c r="BFO10" s="182"/>
      <c r="BFP10" s="182"/>
      <c r="BFQ10" s="182"/>
      <c r="BFR10" s="182"/>
      <c r="BFS10" s="182"/>
      <c r="BFT10" s="182"/>
      <c r="BFU10" s="182"/>
      <c r="BFV10" s="182"/>
      <c r="BFW10" s="182"/>
      <c r="BFX10" s="182"/>
      <c r="BFY10" s="182"/>
      <c r="BFZ10" s="182"/>
      <c r="BGA10" s="182"/>
      <c r="BGB10" s="182"/>
      <c r="BGC10" s="182"/>
      <c r="BGD10" s="182"/>
      <c r="BGE10" s="182"/>
      <c r="BGF10" s="182"/>
      <c r="BGG10" s="182"/>
      <c r="BGH10" s="182"/>
      <c r="BGI10" s="182"/>
      <c r="BGJ10" s="182"/>
      <c r="BGK10" s="182"/>
      <c r="BGL10" s="182"/>
      <c r="BGM10" s="182"/>
      <c r="BGN10" s="182"/>
      <c r="BGO10" s="182"/>
      <c r="BGP10" s="182"/>
      <c r="BGQ10" s="182"/>
      <c r="BGR10" s="182"/>
      <c r="BGS10" s="182"/>
      <c r="BGT10" s="182"/>
      <c r="BGU10" s="182"/>
      <c r="BGV10" s="182"/>
      <c r="BGW10" s="182"/>
      <c r="BGX10" s="182"/>
      <c r="BGY10" s="182"/>
      <c r="BGZ10" s="182"/>
      <c r="BHA10" s="182"/>
      <c r="BHB10" s="182"/>
      <c r="BHC10" s="182"/>
      <c r="BHD10" s="182"/>
      <c r="BHE10" s="182"/>
      <c r="BHF10" s="182"/>
      <c r="BHG10" s="182"/>
      <c r="BHH10" s="182"/>
      <c r="BHI10" s="182"/>
      <c r="BHJ10" s="182"/>
      <c r="BHK10" s="182"/>
      <c r="BHL10" s="182"/>
      <c r="BHM10" s="182"/>
      <c r="BHN10" s="182"/>
      <c r="BHO10" s="182"/>
      <c r="BHP10" s="182"/>
      <c r="BHQ10" s="182"/>
      <c r="BHR10" s="182"/>
      <c r="BHS10" s="182"/>
      <c r="BHT10" s="182"/>
      <c r="BHU10" s="182"/>
      <c r="BHV10" s="182"/>
      <c r="BHW10" s="182"/>
      <c r="BHX10" s="182"/>
      <c r="BHY10" s="182"/>
      <c r="BHZ10" s="182"/>
      <c r="BIA10" s="182"/>
      <c r="BIB10" s="182"/>
      <c r="BIC10" s="182"/>
      <c r="BID10" s="182"/>
      <c r="BIE10" s="182"/>
      <c r="BIF10" s="182"/>
      <c r="BIG10" s="182"/>
      <c r="BIH10" s="182"/>
      <c r="BII10" s="182"/>
      <c r="BIJ10" s="182"/>
      <c r="BIK10" s="182"/>
      <c r="BIL10" s="182"/>
      <c r="BIM10" s="182"/>
      <c r="BIN10" s="182"/>
      <c r="BIO10" s="182"/>
      <c r="BIP10" s="182"/>
      <c r="BIQ10" s="182"/>
      <c r="BIR10" s="182"/>
      <c r="BIS10" s="182"/>
      <c r="BIT10" s="182"/>
      <c r="BIU10" s="182"/>
      <c r="BIV10" s="182"/>
      <c r="BIW10" s="182"/>
      <c r="BIX10" s="182"/>
      <c r="BIY10" s="182"/>
      <c r="BIZ10" s="182"/>
      <c r="BJA10" s="182"/>
      <c r="BJB10" s="182"/>
      <c r="BJC10" s="182"/>
      <c r="BJD10" s="182"/>
      <c r="BJE10" s="182"/>
      <c r="BJF10" s="182"/>
      <c r="BJG10" s="182"/>
      <c r="BJH10" s="182"/>
      <c r="BJI10" s="182"/>
      <c r="BJJ10" s="182"/>
      <c r="BJK10" s="182"/>
      <c r="BJL10" s="182"/>
      <c r="BJM10" s="182"/>
      <c r="BJN10" s="182"/>
      <c r="BJO10" s="182"/>
      <c r="BJP10" s="182"/>
      <c r="BJQ10" s="182"/>
      <c r="BJR10" s="182"/>
      <c r="BJS10" s="182"/>
      <c r="BJT10" s="182"/>
      <c r="BJU10" s="182"/>
      <c r="BJV10" s="182"/>
      <c r="BJW10" s="182"/>
      <c r="BJX10" s="182"/>
      <c r="BJY10" s="182"/>
      <c r="BJZ10" s="182"/>
      <c r="BKA10" s="182"/>
      <c r="BKB10" s="182"/>
      <c r="BKC10" s="182"/>
      <c r="BKD10" s="182"/>
      <c r="BKE10" s="182"/>
      <c r="BKF10" s="182"/>
      <c r="BKG10" s="182"/>
      <c r="BKH10" s="182"/>
      <c r="BKI10" s="182"/>
      <c r="BKJ10" s="182"/>
      <c r="BKK10" s="182"/>
      <c r="BKL10" s="182"/>
      <c r="BKM10" s="182"/>
      <c r="BKN10" s="182"/>
      <c r="BKO10" s="182"/>
      <c r="BKP10" s="182"/>
      <c r="BKQ10" s="182"/>
      <c r="BKR10" s="182"/>
      <c r="BKS10" s="182"/>
      <c r="BKT10" s="182"/>
      <c r="BKU10" s="182"/>
      <c r="BKV10" s="182"/>
      <c r="BKW10" s="182"/>
      <c r="BKX10" s="182"/>
      <c r="BKY10" s="182"/>
      <c r="BKZ10" s="182"/>
      <c r="BLA10" s="182"/>
      <c r="BLB10" s="182"/>
      <c r="BLC10" s="182"/>
      <c r="BLD10" s="182"/>
      <c r="BLE10" s="182"/>
      <c r="BLF10" s="182"/>
      <c r="BLG10" s="182"/>
      <c r="BLH10" s="182"/>
      <c r="BLI10" s="182"/>
      <c r="BLJ10" s="182"/>
      <c r="BLK10" s="182"/>
      <c r="BLL10" s="182"/>
      <c r="BLM10" s="182"/>
      <c r="BLN10" s="182"/>
      <c r="BLO10" s="182"/>
      <c r="BLP10" s="182"/>
      <c r="BLQ10" s="182"/>
      <c r="BLR10" s="182"/>
      <c r="BLS10" s="182"/>
      <c r="BLT10" s="182"/>
      <c r="BLU10" s="182"/>
      <c r="BLV10" s="182"/>
      <c r="BLW10" s="182"/>
      <c r="BLX10" s="182"/>
      <c r="BLY10" s="182"/>
      <c r="BLZ10" s="182"/>
      <c r="BMA10" s="182"/>
      <c r="BMB10" s="182"/>
      <c r="BMC10" s="182"/>
      <c r="BMD10" s="182"/>
      <c r="BME10" s="182"/>
      <c r="BMF10" s="182"/>
      <c r="BMG10" s="182"/>
      <c r="BMH10" s="182"/>
      <c r="BMI10" s="182"/>
      <c r="BMJ10" s="182"/>
      <c r="BMK10" s="182"/>
      <c r="BML10" s="182"/>
      <c r="BMM10" s="182"/>
      <c r="BMN10" s="182"/>
      <c r="BMO10" s="182"/>
      <c r="BMP10" s="182"/>
      <c r="BMQ10" s="182"/>
      <c r="BMR10" s="182"/>
      <c r="BMS10" s="182"/>
      <c r="BMT10" s="182"/>
      <c r="BMU10" s="182"/>
      <c r="BMV10" s="182"/>
      <c r="BMW10" s="182"/>
      <c r="BMX10" s="182"/>
      <c r="BMY10" s="182"/>
      <c r="BMZ10" s="182"/>
      <c r="BNA10" s="182"/>
      <c r="BNB10" s="182"/>
      <c r="BNC10" s="182"/>
      <c r="BND10" s="182"/>
      <c r="BNE10" s="182"/>
      <c r="BNF10" s="182"/>
      <c r="BNG10" s="182"/>
      <c r="BNH10" s="182"/>
      <c r="BNI10" s="182"/>
      <c r="BNJ10" s="182"/>
      <c r="BNK10" s="182"/>
      <c r="BNL10" s="182"/>
      <c r="BNM10" s="182"/>
      <c r="BNN10" s="182"/>
      <c r="BNO10" s="182"/>
      <c r="BNP10" s="182"/>
      <c r="BNQ10" s="182"/>
      <c r="BNR10" s="182"/>
      <c r="BNS10" s="182"/>
      <c r="BNT10" s="182"/>
      <c r="BNU10" s="182"/>
      <c r="BNV10" s="182"/>
      <c r="BNW10" s="182"/>
      <c r="BNX10" s="182"/>
      <c r="BNY10" s="182"/>
      <c r="BNZ10" s="182"/>
      <c r="BOA10" s="182"/>
      <c r="BOB10" s="182"/>
      <c r="BOC10" s="182"/>
      <c r="BOD10" s="182"/>
      <c r="BOE10" s="182"/>
      <c r="BOF10" s="182"/>
      <c r="BOG10" s="182"/>
      <c r="BOH10" s="182"/>
      <c r="BOI10" s="182"/>
      <c r="BOJ10" s="182"/>
      <c r="BOK10" s="182"/>
      <c r="BOL10" s="182"/>
      <c r="BOM10" s="182"/>
      <c r="BON10" s="182"/>
      <c r="BOO10" s="182"/>
      <c r="BOP10" s="182"/>
      <c r="BOQ10" s="182"/>
      <c r="BOR10" s="182"/>
      <c r="BOS10" s="182"/>
      <c r="BOT10" s="182"/>
      <c r="BOU10" s="182"/>
      <c r="BOV10" s="182"/>
      <c r="BOW10" s="182"/>
      <c r="BOX10" s="182"/>
      <c r="BOY10" s="182"/>
      <c r="BOZ10" s="182"/>
      <c r="BPA10" s="182"/>
      <c r="BPB10" s="182"/>
      <c r="BPC10" s="182"/>
      <c r="BPD10" s="182"/>
      <c r="BPE10" s="182"/>
      <c r="BPF10" s="182"/>
      <c r="BPG10" s="182"/>
      <c r="BPH10" s="182"/>
      <c r="BPI10" s="182"/>
      <c r="BPJ10" s="182"/>
      <c r="BPK10" s="182"/>
      <c r="BPL10" s="182"/>
      <c r="BPM10" s="182"/>
      <c r="BPN10" s="182"/>
      <c r="BPO10" s="182"/>
      <c r="BPP10" s="182"/>
      <c r="BPQ10" s="182"/>
      <c r="BPR10" s="182"/>
      <c r="BPS10" s="182"/>
      <c r="BPT10" s="182"/>
      <c r="BPU10" s="182"/>
      <c r="BPV10" s="182"/>
      <c r="BPW10" s="182"/>
      <c r="BPX10" s="182"/>
      <c r="BPY10" s="182"/>
      <c r="BPZ10" s="182"/>
      <c r="BQA10" s="182"/>
      <c r="BQB10" s="182"/>
      <c r="BQC10" s="182"/>
      <c r="BQD10" s="182"/>
      <c r="BQE10" s="182"/>
      <c r="BQF10" s="182"/>
      <c r="BQG10" s="182"/>
      <c r="BQH10" s="182"/>
      <c r="BQI10" s="182"/>
      <c r="BQJ10" s="182"/>
      <c r="BQK10" s="182"/>
      <c r="BQL10" s="182"/>
      <c r="BQM10" s="182"/>
      <c r="BQN10" s="182"/>
      <c r="BQO10" s="182"/>
      <c r="BQP10" s="182"/>
      <c r="BQQ10" s="182"/>
      <c r="BQR10" s="182"/>
      <c r="BQS10" s="182"/>
      <c r="BQT10" s="182"/>
      <c r="BQU10" s="182"/>
      <c r="BQV10" s="182"/>
      <c r="BQW10" s="182"/>
      <c r="BQX10" s="182"/>
      <c r="BQY10" s="182"/>
      <c r="BQZ10" s="182"/>
      <c r="BRA10" s="182"/>
      <c r="BRB10" s="182"/>
      <c r="BRC10" s="182"/>
      <c r="BRD10" s="182"/>
      <c r="BRE10" s="182"/>
      <c r="BRF10" s="182"/>
      <c r="BRG10" s="182"/>
      <c r="BRH10" s="182"/>
      <c r="BRI10" s="182"/>
      <c r="BRJ10" s="182"/>
      <c r="BRK10" s="182"/>
      <c r="BRL10" s="182"/>
      <c r="BRM10" s="182"/>
      <c r="BRN10" s="182"/>
      <c r="BRO10" s="182"/>
      <c r="BRP10" s="182"/>
      <c r="BRQ10" s="182"/>
      <c r="BRR10" s="182"/>
      <c r="BRS10" s="182"/>
      <c r="BRT10" s="182"/>
      <c r="BRU10" s="182"/>
      <c r="BRV10" s="182"/>
      <c r="BRW10" s="182"/>
      <c r="BRX10" s="182"/>
      <c r="BRY10" s="182"/>
      <c r="BRZ10" s="182"/>
      <c r="BSA10" s="182"/>
      <c r="BSB10" s="182"/>
      <c r="BSC10" s="182"/>
      <c r="BSD10" s="182"/>
      <c r="BSE10" s="182"/>
      <c r="BSF10" s="182"/>
      <c r="BSG10" s="182"/>
      <c r="BSH10" s="182"/>
      <c r="BSI10" s="182"/>
      <c r="BSJ10" s="182"/>
      <c r="BSK10" s="182"/>
      <c r="BSL10" s="182"/>
      <c r="BSM10" s="182"/>
      <c r="BSN10" s="182"/>
      <c r="BSO10" s="182"/>
      <c r="BSP10" s="182"/>
      <c r="BSQ10" s="182"/>
      <c r="BSR10" s="182"/>
      <c r="BSS10" s="182"/>
      <c r="BST10" s="182"/>
      <c r="BSU10" s="182"/>
      <c r="BSV10" s="182"/>
      <c r="BSW10" s="182"/>
      <c r="BSX10" s="182"/>
      <c r="BSY10" s="182"/>
      <c r="BSZ10" s="182"/>
      <c r="BTA10" s="182"/>
      <c r="BTB10" s="182"/>
      <c r="BTC10" s="182"/>
      <c r="BTD10" s="182"/>
      <c r="BTE10" s="182"/>
      <c r="BTF10" s="182"/>
      <c r="BTG10" s="182"/>
      <c r="BTH10" s="182"/>
      <c r="BTI10" s="182"/>
      <c r="BTJ10" s="182"/>
      <c r="BTK10" s="182"/>
      <c r="BTL10" s="182"/>
      <c r="BTM10" s="182"/>
      <c r="BTN10" s="182"/>
      <c r="BTO10" s="182"/>
      <c r="BTP10" s="182"/>
      <c r="BTQ10" s="182"/>
      <c r="BTR10" s="182"/>
      <c r="BTS10" s="182"/>
      <c r="BTT10" s="182"/>
      <c r="BTU10" s="182"/>
      <c r="BTV10" s="182"/>
      <c r="BTW10" s="182"/>
      <c r="BTX10" s="182"/>
      <c r="BTY10" s="182"/>
      <c r="BTZ10" s="182"/>
      <c r="BUA10" s="182"/>
      <c r="BUB10" s="182"/>
      <c r="BUC10" s="182"/>
      <c r="BUD10" s="182"/>
      <c r="BUE10" s="182"/>
      <c r="BUF10" s="182"/>
      <c r="BUG10" s="182"/>
      <c r="BUH10" s="182"/>
      <c r="BUI10" s="182"/>
      <c r="BUJ10" s="182"/>
      <c r="BUK10" s="182"/>
      <c r="BUL10" s="182"/>
      <c r="BUM10" s="182"/>
      <c r="BUN10" s="182"/>
      <c r="BUO10" s="182"/>
      <c r="BUP10" s="182"/>
      <c r="BUQ10" s="182"/>
      <c r="BUR10" s="182"/>
      <c r="BUS10" s="182"/>
      <c r="BUT10" s="182"/>
      <c r="BUU10" s="182"/>
      <c r="BUV10" s="182"/>
      <c r="BUW10" s="182"/>
      <c r="BUX10" s="182"/>
      <c r="BUY10" s="182"/>
      <c r="BUZ10" s="182"/>
      <c r="BVA10" s="182"/>
      <c r="BVB10" s="90"/>
    </row>
    <row r="11" spans="1:1926" ht="20.100000000000001" customHeight="1" x14ac:dyDescent="0.25">
      <c r="B11" s="96"/>
      <c r="C11" s="195"/>
      <c r="D11" s="195"/>
      <c r="E11" s="195"/>
      <c r="F11" s="186" t="s">
        <v>96</v>
      </c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 t="s">
        <v>96</v>
      </c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  <c r="DS11" s="186"/>
      <c r="DT11" s="186"/>
      <c r="DU11" s="186"/>
      <c r="DV11" s="183" t="s">
        <v>135</v>
      </c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3"/>
      <c r="EZ11" s="183"/>
      <c r="FA11" s="183"/>
      <c r="FB11" s="183"/>
      <c r="FC11" s="183"/>
      <c r="FD11" s="183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3"/>
      <c r="FZ11" s="183"/>
      <c r="GA11" s="183"/>
      <c r="GB11" s="183"/>
      <c r="GC11" s="183"/>
      <c r="GD11" s="183" t="s">
        <v>135</v>
      </c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3"/>
      <c r="GZ11" s="183"/>
      <c r="HA11" s="183"/>
      <c r="HB11" s="183"/>
      <c r="HC11" s="183"/>
      <c r="HD11" s="183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3"/>
      <c r="HZ11" s="183"/>
      <c r="IA11" s="183"/>
      <c r="IB11" s="183"/>
      <c r="IC11" s="183"/>
      <c r="ID11" s="183"/>
      <c r="IE11" s="183"/>
      <c r="IF11" s="183"/>
      <c r="IG11" s="183"/>
      <c r="IH11" s="183"/>
      <c r="II11" s="183"/>
      <c r="IJ11" s="183"/>
      <c r="IK11" s="183"/>
      <c r="IL11" s="183" t="s">
        <v>133</v>
      </c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3"/>
      <c r="IZ11" s="183"/>
      <c r="JA11" s="183"/>
      <c r="JB11" s="183"/>
      <c r="JC11" s="183"/>
      <c r="JD11" s="183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3"/>
      <c r="JZ11" s="183"/>
      <c r="KA11" s="183"/>
      <c r="KB11" s="183"/>
      <c r="KC11" s="183"/>
      <c r="KD11" s="183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3" t="s">
        <v>130</v>
      </c>
      <c r="KU11" s="183"/>
      <c r="KV11" s="183"/>
      <c r="KW11" s="183"/>
      <c r="KX11" s="183"/>
      <c r="KY11" s="183"/>
      <c r="KZ11" s="183"/>
      <c r="LA11" s="183"/>
      <c r="LB11" s="183"/>
      <c r="LC11" s="183"/>
      <c r="LD11" s="183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3"/>
      <c r="LZ11" s="183"/>
      <c r="MA11" s="183"/>
      <c r="MB11" s="183"/>
      <c r="MC11" s="183"/>
      <c r="MD11" s="183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3"/>
      <c r="MZ11" s="183"/>
      <c r="NA11" s="183"/>
      <c r="NB11" s="183" t="s">
        <v>130</v>
      </c>
      <c r="NC11" s="183"/>
      <c r="ND11" s="183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3"/>
      <c r="NZ11" s="183"/>
      <c r="OA11" s="183"/>
      <c r="OB11" s="183"/>
      <c r="OC11" s="183"/>
      <c r="OD11" s="183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3"/>
      <c r="OZ11" s="183"/>
      <c r="PA11" s="183"/>
      <c r="PB11" s="183"/>
      <c r="PC11" s="183"/>
      <c r="PD11" s="183"/>
      <c r="PE11" s="183"/>
      <c r="PF11" s="183"/>
      <c r="PG11" s="183"/>
      <c r="PH11" s="183"/>
      <c r="PI11" s="183"/>
      <c r="PJ11" s="183" t="s">
        <v>127</v>
      </c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3"/>
      <c r="PZ11" s="183"/>
      <c r="QA11" s="183"/>
      <c r="QB11" s="183"/>
      <c r="QC11" s="183"/>
      <c r="QD11" s="183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3"/>
      <c r="QZ11" s="183"/>
      <c r="RA11" s="183"/>
      <c r="RB11" s="183"/>
      <c r="RC11" s="183"/>
      <c r="RD11" s="183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3" t="s">
        <v>127</v>
      </c>
      <c r="RS11" s="183"/>
      <c r="RT11" s="183"/>
      <c r="RU11" s="183"/>
      <c r="RV11" s="183"/>
      <c r="RW11" s="183"/>
      <c r="RX11" s="183"/>
      <c r="RY11" s="183"/>
      <c r="RZ11" s="183"/>
      <c r="SA11" s="183"/>
      <c r="SB11" s="183"/>
      <c r="SC11" s="183"/>
      <c r="SD11" s="183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3"/>
      <c r="SZ11" s="183"/>
      <c r="TA11" s="183"/>
      <c r="TB11" s="183"/>
      <c r="TC11" s="183"/>
      <c r="TD11" s="183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3"/>
      <c r="TZ11" s="183" t="s">
        <v>124</v>
      </c>
      <c r="UA11" s="183"/>
      <c r="UB11" s="183"/>
      <c r="UC11" s="183"/>
      <c r="UD11" s="183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3"/>
      <c r="UZ11" s="183"/>
      <c r="VA11" s="183"/>
      <c r="VB11" s="183"/>
      <c r="VC11" s="183"/>
      <c r="VD11" s="183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3"/>
      <c r="VZ11" s="183"/>
      <c r="WA11" s="183"/>
      <c r="WB11" s="183"/>
      <c r="WC11" s="183"/>
      <c r="WD11" s="183"/>
      <c r="WE11" s="183"/>
      <c r="WF11" s="183"/>
      <c r="WG11" s="183"/>
      <c r="WH11" s="183" t="s">
        <v>124</v>
      </c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3"/>
      <c r="WZ11" s="183"/>
      <c r="XA11" s="183"/>
      <c r="XB11" s="183"/>
      <c r="XC11" s="183"/>
      <c r="XD11" s="183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3"/>
      <c r="XZ11" s="183"/>
      <c r="YA11" s="183"/>
      <c r="YB11" s="183"/>
      <c r="YC11" s="183"/>
      <c r="YD11" s="183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3" t="s">
        <v>122</v>
      </c>
      <c r="YQ11" s="183"/>
      <c r="YR11" s="183"/>
      <c r="YS11" s="183"/>
      <c r="YT11" s="183"/>
      <c r="YU11" s="183"/>
      <c r="YV11" s="183"/>
      <c r="YW11" s="183"/>
      <c r="YX11" s="183"/>
      <c r="YY11" s="183"/>
      <c r="YZ11" s="183"/>
      <c r="ZA11" s="183"/>
      <c r="ZB11" s="183"/>
      <c r="ZC11" s="183"/>
      <c r="ZD11" s="183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3"/>
      <c r="ZZ11" s="183"/>
      <c r="AAA11" s="183"/>
      <c r="AAB11" s="183"/>
      <c r="AAC11" s="183"/>
      <c r="AAD11" s="183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3" t="s">
        <v>119</v>
      </c>
      <c r="AAY11" s="183"/>
      <c r="AAZ11" s="183"/>
      <c r="ABA11" s="183"/>
      <c r="ABB11" s="183"/>
      <c r="ABC11" s="183"/>
      <c r="ABD11" s="183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3"/>
      <c r="ABZ11" s="183"/>
      <c r="ACA11" s="183"/>
      <c r="ACB11" s="183"/>
      <c r="ACC11" s="183"/>
      <c r="ACD11" s="183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3"/>
      <c r="ACZ11" s="183"/>
      <c r="ADA11" s="183"/>
      <c r="ADB11" s="183"/>
      <c r="ADC11" s="183"/>
      <c r="ADD11" s="183"/>
      <c r="ADE11" s="183"/>
      <c r="ADF11" s="183" t="s">
        <v>119</v>
      </c>
      <c r="ADG11" s="183"/>
      <c r="ADH11" s="183"/>
      <c r="ADI11" s="183"/>
      <c r="ADJ11" s="183"/>
      <c r="ADK11" s="183"/>
      <c r="ADL11" s="183"/>
      <c r="ADM11" s="183"/>
      <c r="ADN11" s="183"/>
      <c r="ADO11" s="183"/>
      <c r="ADP11" s="183"/>
      <c r="ADQ11" s="183"/>
      <c r="ADR11" s="183"/>
      <c r="ADS11" s="183"/>
      <c r="ADT11" s="183"/>
      <c r="ADU11" s="183"/>
      <c r="ADV11" s="183"/>
      <c r="ADW11" s="183"/>
      <c r="ADX11" s="183"/>
      <c r="ADY11" s="183"/>
      <c r="ADZ11" s="183"/>
      <c r="AEA11" s="183"/>
      <c r="AEB11" s="183"/>
      <c r="AEC11" s="183"/>
      <c r="AED11" s="183"/>
      <c r="AEE11" s="183"/>
      <c r="AEF11" s="183"/>
      <c r="AEG11" s="183"/>
      <c r="AEH11" s="183"/>
      <c r="AEI11" s="183"/>
      <c r="AEJ11" s="183"/>
      <c r="AEK11" s="183"/>
      <c r="AEL11" s="183"/>
      <c r="AEM11" s="183"/>
      <c r="AEN11" s="183"/>
      <c r="AEO11" s="183"/>
      <c r="AEP11" s="183"/>
      <c r="AEQ11" s="183"/>
      <c r="AER11" s="183"/>
      <c r="AES11" s="183"/>
      <c r="AET11" s="183"/>
      <c r="AEU11" s="183"/>
      <c r="AEV11" s="183"/>
      <c r="AEW11" s="183"/>
      <c r="AEX11" s="183"/>
      <c r="AEY11" s="183"/>
      <c r="AEZ11" s="183"/>
      <c r="AFA11" s="183"/>
      <c r="AFB11" s="183"/>
      <c r="AFC11" s="183"/>
      <c r="AFD11" s="183"/>
      <c r="AFE11" s="183"/>
      <c r="AFF11" s="183"/>
      <c r="AFG11" s="183"/>
      <c r="AFH11" s="183"/>
      <c r="AFI11" s="183"/>
      <c r="AFJ11" s="183"/>
      <c r="AFK11" s="183"/>
      <c r="AFL11" s="183"/>
      <c r="AFM11" s="183"/>
      <c r="AFN11" s="183" t="s">
        <v>116</v>
      </c>
      <c r="AFO11" s="183"/>
      <c r="AFP11" s="183"/>
      <c r="AFQ11" s="183"/>
      <c r="AFR11" s="183"/>
      <c r="AFS11" s="183"/>
      <c r="AFT11" s="183"/>
      <c r="AFU11" s="183"/>
      <c r="AFV11" s="183"/>
      <c r="AFW11" s="183"/>
      <c r="AFX11" s="183"/>
      <c r="AFY11" s="183"/>
      <c r="AFZ11" s="183"/>
      <c r="AGA11" s="183"/>
      <c r="AGB11" s="183"/>
      <c r="AGC11" s="183"/>
      <c r="AGD11" s="183"/>
      <c r="AGE11" s="183"/>
      <c r="AGF11" s="183"/>
      <c r="AGG11" s="183"/>
      <c r="AGH11" s="183"/>
      <c r="AGI11" s="183"/>
      <c r="AGJ11" s="183"/>
      <c r="AGK11" s="183"/>
      <c r="AGL11" s="183"/>
      <c r="AGM11" s="183"/>
      <c r="AGN11" s="183"/>
      <c r="AGO11" s="183"/>
      <c r="AGP11" s="183"/>
      <c r="AGQ11" s="183"/>
      <c r="AGR11" s="183"/>
      <c r="AGS11" s="183"/>
      <c r="AGT11" s="183"/>
      <c r="AGU11" s="183"/>
      <c r="AGV11" s="183"/>
      <c r="AGW11" s="183"/>
      <c r="AGX11" s="183"/>
      <c r="AGY11" s="183"/>
      <c r="AGZ11" s="183"/>
      <c r="AHA11" s="183"/>
      <c r="AHB11" s="183"/>
      <c r="AHC11" s="183"/>
      <c r="AHD11" s="183"/>
      <c r="AHE11" s="183"/>
      <c r="AHF11" s="183"/>
      <c r="AHG11" s="183"/>
      <c r="AHH11" s="183"/>
      <c r="AHI11" s="183"/>
      <c r="AHJ11" s="183"/>
      <c r="AHK11" s="183"/>
      <c r="AHL11" s="183"/>
      <c r="AHM11" s="183"/>
      <c r="AHN11" s="183"/>
      <c r="AHO11" s="183"/>
      <c r="AHP11" s="183"/>
      <c r="AHQ11" s="183"/>
      <c r="AHR11" s="183"/>
      <c r="AHS11" s="183"/>
      <c r="AHT11" s="183"/>
      <c r="AHU11" s="183"/>
      <c r="AHV11" s="183" t="s">
        <v>116</v>
      </c>
      <c r="AHW11" s="183"/>
      <c r="AHX11" s="183"/>
      <c r="AHY11" s="183"/>
      <c r="AHZ11" s="183"/>
      <c r="AIA11" s="183"/>
      <c r="AIB11" s="183"/>
      <c r="AIC11" s="183"/>
      <c r="AID11" s="183"/>
      <c r="AIE11" s="183"/>
      <c r="AIF11" s="183"/>
      <c r="AIG11" s="183"/>
      <c r="AIH11" s="183"/>
      <c r="AII11" s="183"/>
      <c r="AIJ11" s="183"/>
      <c r="AIK11" s="183"/>
      <c r="AIL11" s="183"/>
      <c r="AIM11" s="183"/>
      <c r="AIN11" s="183"/>
      <c r="AIO11" s="183"/>
      <c r="AIP11" s="183"/>
      <c r="AIQ11" s="183"/>
      <c r="AIR11" s="183"/>
      <c r="AIS11" s="183"/>
      <c r="AIT11" s="183"/>
      <c r="AIU11" s="183"/>
      <c r="AIV11" s="183"/>
      <c r="AIW11" s="183"/>
      <c r="AIX11" s="183"/>
      <c r="AIY11" s="183"/>
      <c r="AIZ11" s="183"/>
      <c r="AJA11" s="183"/>
      <c r="AJB11" s="183"/>
      <c r="AJC11" s="183"/>
      <c r="AJD11" s="183"/>
      <c r="AJE11" s="183"/>
      <c r="AJF11" s="183"/>
      <c r="AJG11" s="183"/>
      <c r="AJH11" s="183"/>
      <c r="AJI11" s="183"/>
      <c r="AJJ11" s="183"/>
      <c r="AJK11" s="183"/>
      <c r="AJL11" s="183"/>
      <c r="AJM11" s="183"/>
      <c r="AJN11" s="183"/>
      <c r="AJO11" s="183"/>
      <c r="AJP11" s="183"/>
      <c r="AJQ11" s="183"/>
      <c r="AJR11" s="183"/>
      <c r="AJS11" s="183"/>
      <c r="AJT11" s="183"/>
      <c r="AJU11" s="183"/>
      <c r="AJV11" s="183"/>
      <c r="AJW11" s="183"/>
      <c r="AJX11" s="183"/>
      <c r="AJY11" s="183"/>
      <c r="AJZ11" s="183"/>
      <c r="AKA11" s="183"/>
      <c r="AKB11" s="183"/>
      <c r="AKC11" s="183"/>
      <c r="AKD11" s="183" t="s">
        <v>113</v>
      </c>
      <c r="AKE11" s="183"/>
      <c r="AKF11" s="183"/>
      <c r="AKG11" s="183"/>
      <c r="AKH11" s="183"/>
      <c r="AKI11" s="183"/>
      <c r="AKJ11" s="183"/>
      <c r="AKK11" s="183"/>
      <c r="AKL11" s="183"/>
      <c r="AKM11" s="183"/>
      <c r="AKN11" s="183"/>
      <c r="AKO11" s="183"/>
      <c r="AKP11" s="183"/>
      <c r="AKQ11" s="183"/>
      <c r="AKR11" s="183"/>
      <c r="AKS11" s="183"/>
      <c r="AKT11" s="183"/>
      <c r="AKU11" s="183"/>
      <c r="AKV11" s="183"/>
      <c r="AKW11" s="183"/>
      <c r="AKX11" s="183"/>
      <c r="AKY11" s="183"/>
      <c r="AKZ11" s="183"/>
      <c r="ALA11" s="183"/>
      <c r="ALB11" s="183"/>
      <c r="ALC11" s="183"/>
      <c r="ALD11" s="183"/>
      <c r="ALE11" s="183"/>
      <c r="ALF11" s="183"/>
      <c r="ALG11" s="183"/>
      <c r="ALH11" s="183"/>
      <c r="ALI11" s="183"/>
      <c r="ALJ11" s="183"/>
      <c r="ALK11" s="183"/>
      <c r="ALL11" s="183"/>
      <c r="ALM11" s="183"/>
      <c r="ALN11" s="183"/>
      <c r="ALO11" s="183"/>
      <c r="ALP11" s="183"/>
      <c r="ALQ11" s="183"/>
      <c r="ALR11" s="183"/>
      <c r="ALS11" s="183"/>
      <c r="ALT11" s="183"/>
      <c r="ALU11" s="183"/>
      <c r="ALV11" s="183"/>
      <c r="ALW11" s="183"/>
      <c r="ALX11" s="183"/>
      <c r="ALY11" s="183"/>
      <c r="ALZ11" s="183"/>
      <c r="AMA11" s="183"/>
      <c r="AMB11" s="183"/>
      <c r="AMC11" s="183"/>
      <c r="AMD11" s="183"/>
      <c r="AME11" s="183"/>
      <c r="AMF11" s="183"/>
      <c r="AMG11" s="183"/>
      <c r="AMH11" s="183"/>
      <c r="AMI11" s="183"/>
      <c r="AMJ11" s="183"/>
      <c r="AMK11" s="183"/>
      <c r="AML11" s="183" t="s">
        <v>113</v>
      </c>
      <c r="AMM11" s="183"/>
      <c r="AMN11" s="183"/>
      <c r="AMO11" s="183"/>
      <c r="AMP11" s="183"/>
      <c r="AMQ11" s="183"/>
      <c r="AMR11" s="183"/>
      <c r="AMS11" s="183"/>
      <c r="AMT11" s="183"/>
      <c r="AMU11" s="183"/>
      <c r="AMV11" s="183"/>
      <c r="AMW11" s="183"/>
      <c r="AMX11" s="183"/>
      <c r="AMY11" s="183"/>
      <c r="AMZ11" s="183"/>
      <c r="ANA11" s="183"/>
      <c r="ANB11" s="183"/>
      <c r="ANC11" s="183"/>
      <c r="AND11" s="183"/>
      <c r="ANE11" s="183"/>
      <c r="ANF11" s="183"/>
      <c r="ANG11" s="183"/>
      <c r="ANH11" s="183"/>
      <c r="ANI11" s="183"/>
      <c r="ANJ11" s="183"/>
      <c r="ANK11" s="183"/>
      <c r="ANL11" s="183"/>
      <c r="ANM11" s="183"/>
      <c r="ANN11" s="183"/>
      <c r="ANO11" s="183"/>
      <c r="ANP11" s="183"/>
      <c r="ANQ11" s="183"/>
      <c r="ANR11" s="183"/>
      <c r="ANS11" s="183"/>
      <c r="ANT11" s="183"/>
      <c r="ANU11" s="183"/>
      <c r="ANV11" s="183"/>
      <c r="ANW11" s="183"/>
      <c r="ANX11" s="183"/>
      <c r="ANY11" s="183"/>
      <c r="ANZ11" s="183"/>
      <c r="AOA11" s="183"/>
      <c r="AOB11" s="183"/>
      <c r="AOC11" s="183"/>
      <c r="AOD11" s="183"/>
      <c r="AOE11" s="183"/>
      <c r="AOF11" s="183"/>
      <c r="AOG11" s="183"/>
      <c r="AOH11" s="183"/>
      <c r="AOI11" s="183"/>
      <c r="AOJ11" s="183"/>
      <c r="AOK11" s="183"/>
      <c r="AOL11" s="183"/>
      <c r="AOM11" s="183"/>
      <c r="AON11" s="183"/>
      <c r="AOO11" s="183"/>
      <c r="AOP11" s="183"/>
      <c r="AOQ11" s="183"/>
      <c r="AOR11" s="183"/>
      <c r="AOS11" s="183"/>
      <c r="AOT11" s="183" t="s">
        <v>110</v>
      </c>
      <c r="AOU11" s="183"/>
      <c r="AOV11" s="183"/>
      <c r="AOW11" s="183"/>
      <c r="AOX11" s="183"/>
      <c r="AOY11" s="183"/>
      <c r="AOZ11" s="183"/>
      <c r="APA11" s="183"/>
      <c r="APB11" s="183"/>
      <c r="APC11" s="183"/>
      <c r="APD11" s="183"/>
      <c r="APE11" s="183"/>
      <c r="APF11" s="183"/>
      <c r="APG11" s="183"/>
      <c r="APH11" s="183"/>
      <c r="API11" s="183"/>
      <c r="APJ11" s="183"/>
      <c r="APK11" s="183"/>
      <c r="APL11" s="183"/>
      <c r="APM11" s="183"/>
      <c r="APN11" s="183"/>
      <c r="APO11" s="183"/>
      <c r="APP11" s="183"/>
      <c r="APQ11" s="183"/>
      <c r="APR11" s="183"/>
      <c r="APS11" s="183"/>
      <c r="APT11" s="183"/>
      <c r="APU11" s="183"/>
      <c r="APV11" s="183"/>
      <c r="APW11" s="183"/>
      <c r="APX11" s="183"/>
      <c r="APY11" s="183"/>
      <c r="APZ11" s="183"/>
      <c r="AQA11" s="183"/>
      <c r="AQB11" s="183"/>
      <c r="AQC11" s="183"/>
      <c r="AQD11" s="183"/>
      <c r="AQE11" s="183"/>
      <c r="AQF11" s="183"/>
      <c r="AQG11" s="183"/>
      <c r="AQH11" s="183"/>
      <c r="AQI11" s="183"/>
      <c r="AQJ11" s="183"/>
      <c r="AQK11" s="183"/>
      <c r="AQL11" s="183"/>
      <c r="AQM11" s="183"/>
      <c r="AQN11" s="183"/>
      <c r="AQO11" s="183"/>
      <c r="AQP11" s="183"/>
      <c r="AQQ11" s="183"/>
      <c r="AQR11" s="183"/>
      <c r="AQS11" s="183"/>
      <c r="AQT11" s="183"/>
      <c r="AQU11" s="183"/>
      <c r="AQV11" s="183"/>
      <c r="AQW11" s="183"/>
      <c r="AQX11" s="183"/>
      <c r="AQY11" s="183"/>
      <c r="AQZ11" s="183"/>
      <c r="ARA11" s="183"/>
      <c r="ARB11" s="183" t="s">
        <v>110</v>
      </c>
      <c r="ARC11" s="183"/>
      <c r="ARD11" s="183"/>
      <c r="ARE11" s="183"/>
      <c r="ARF11" s="183"/>
      <c r="ARG11" s="183"/>
      <c r="ARH11" s="183"/>
      <c r="ARI11" s="183"/>
      <c r="ARJ11" s="183"/>
      <c r="ARK11" s="183"/>
      <c r="ARL11" s="183"/>
      <c r="ARM11" s="183"/>
      <c r="ARN11" s="183"/>
      <c r="ARO11" s="183"/>
      <c r="ARP11" s="183"/>
      <c r="ARQ11" s="183"/>
      <c r="ARR11" s="183"/>
      <c r="ARS11" s="183"/>
      <c r="ART11" s="183"/>
      <c r="ARU11" s="183"/>
      <c r="ARV11" s="183"/>
      <c r="ARW11" s="183"/>
      <c r="ARX11" s="183"/>
      <c r="ARY11" s="183"/>
      <c r="ARZ11" s="183"/>
      <c r="ASA11" s="183"/>
      <c r="ASB11" s="183"/>
      <c r="ASC11" s="183"/>
      <c r="ASD11" s="183"/>
      <c r="ASE11" s="183"/>
      <c r="ASF11" s="183"/>
      <c r="ASG11" s="183"/>
      <c r="ASH11" s="183"/>
      <c r="ASI11" s="183"/>
      <c r="ASJ11" s="183"/>
      <c r="ASK11" s="183"/>
      <c r="ASL11" s="183"/>
      <c r="ASM11" s="183"/>
      <c r="ASN11" s="183"/>
      <c r="ASO11" s="183"/>
      <c r="ASP11" s="183"/>
      <c r="ASQ11" s="183"/>
      <c r="ASR11" s="183"/>
      <c r="ASS11" s="183"/>
      <c r="AST11" s="183"/>
      <c r="ASU11" s="183"/>
      <c r="ASV11" s="183"/>
      <c r="ASW11" s="183"/>
      <c r="ASX11" s="183"/>
      <c r="ASY11" s="183"/>
      <c r="ASZ11" s="183"/>
      <c r="ATA11" s="183"/>
      <c r="ATB11" s="183"/>
      <c r="ATC11" s="183"/>
      <c r="ATD11" s="183"/>
      <c r="ATE11" s="183"/>
      <c r="ATF11" s="183"/>
      <c r="ATG11" s="183"/>
      <c r="ATH11" s="183"/>
      <c r="ATI11" s="183"/>
      <c r="ATJ11" s="183" t="s">
        <v>108</v>
      </c>
      <c r="ATK11" s="183"/>
      <c r="ATL11" s="183"/>
      <c r="ATM11" s="183"/>
      <c r="ATN11" s="183"/>
      <c r="ATO11" s="183"/>
      <c r="ATP11" s="183"/>
      <c r="ATQ11" s="183"/>
      <c r="ATR11" s="183"/>
      <c r="ATS11" s="183"/>
      <c r="ATT11" s="183"/>
      <c r="ATU11" s="183"/>
      <c r="ATV11" s="183"/>
      <c r="ATW11" s="183"/>
      <c r="ATX11" s="183"/>
      <c r="ATY11" s="183"/>
      <c r="ATZ11" s="183"/>
      <c r="AUA11" s="183"/>
      <c r="AUB11" s="183"/>
      <c r="AUC11" s="183"/>
      <c r="AUD11" s="183"/>
      <c r="AUE11" s="183"/>
      <c r="AUF11" s="183"/>
      <c r="AUG11" s="183"/>
      <c r="AUH11" s="183"/>
      <c r="AUI11" s="183"/>
      <c r="AUJ11" s="183"/>
      <c r="AUK11" s="183"/>
      <c r="AUL11" s="183"/>
      <c r="AUM11" s="183"/>
      <c r="AUN11" s="183"/>
      <c r="AUO11" s="183"/>
      <c r="AUP11" s="183"/>
      <c r="AUQ11" s="183"/>
      <c r="AUR11" s="183"/>
      <c r="AUS11" s="183"/>
      <c r="AUT11" s="183"/>
      <c r="AUU11" s="183"/>
      <c r="AUV11" s="183"/>
      <c r="AUW11" s="183"/>
      <c r="AUX11" s="183"/>
      <c r="AUY11" s="183"/>
      <c r="AUZ11" s="183"/>
      <c r="AVA11" s="183"/>
      <c r="AVB11" s="183"/>
      <c r="AVC11" s="183"/>
      <c r="AVD11" s="183"/>
      <c r="AVE11" s="183"/>
      <c r="AVF11" s="183"/>
      <c r="AVG11" s="183"/>
      <c r="AVH11" s="183"/>
      <c r="AVI11" s="183"/>
      <c r="AVJ11" s="183"/>
      <c r="AVK11" s="183"/>
      <c r="AVL11" s="183"/>
      <c r="AVM11" s="183"/>
      <c r="AVN11" s="183"/>
      <c r="AVO11" s="183"/>
      <c r="AVP11" s="183"/>
      <c r="AVQ11" s="183"/>
      <c r="AVR11" s="183" t="s">
        <v>105</v>
      </c>
      <c r="AVS11" s="183"/>
      <c r="AVT11" s="183"/>
      <c r="AVU11" s="183"/>
      <c r="AVV11" s="183"/>
      <c r="AVW11" s="183"/>
      <c r="AVX11" s="183"/>
      <c r="AVY11" s="183"/>
      <c r="AVZ11" s="183"/>
      <c r="AWA11" s="183"/>
      <c r="AWB11" s="183"/>
      <c r="AWC11" s="183"/>
      <c r="AWD11" s="183"/>
      <c r="AWE11" s="183"/>
      <c r="AWF11" s="183"/>
      <c r="AWG11" s="183"/>
      <c r="AWH11" s="183"/>
      <c r="AWI11" s="183"/>
      <c r="AWJ11" s="183"/>
      <c r="AWK11" s="183"/>
      <c r="AWL11" s="183"/>
      <c r="AWM11" s="183"/>
      <c r="AWN11" s="183"/>
      <c r="AWO11" s="183"/>
      <c r="AWP11" s="183"/>
      <c r="AWQ11" s="183"/>
      <c r="AWR11" s="183"/>
      <c r="AWS11" s="183"/>
      <c r="AWT11" s="183"/>
      <c r="AWU11" s="183"/>
      <c r="AWV11" s="183"/>
      <c r="AWW11" s="183"/>
      <c r="AWX11" s="183"/>
      <c r="AWY11" s="183"/>
      <c r="AWZ11" s="183"/>
      <c r="AXA11" s="183"/>
      <c r="AXB11" s="183"/>
      <c r="AXC11" s="183"/>
      <c r="AXD11" s="183"/>
      <c r="AXE11" s="183"/>
      <c r="AXF11" s="183"/>
      <c r="AXG11" s="183"/>
      <c r="AXH11" s="183"/>
      <c r="AXI11" s="183"/>
      <c r="AXJ11" s="183"/>
      <c r="AXK11" s="183"/>
      <c r="AXL11" s="183"/>
      <c r="AXM11" s="183"/>
      <c r="AXN11" s="183"/>
      <c r="AXO11" s="183"/>
      <c r="AXP11" s="183"/>
      <c r="AXQ11" s="183"/>
      <c r="AXR11" s="183"/>
      <c r="AXS11" s="183"/>
      <c r="AXT11" s="183"/>
      <c r="AXU11" s="183"/>
      <c r="AXV11" s="183"/>
      <c r="AXW11" s="183"/>
      <c r="AXX11" s="183"/>
      <c r="AXY11" s="183"/>
      <c r="AXZ11" s="183" t="s">
        <v>105</v>
      </c>
      <c r="AYA11" s="183"/>
      <c r="AYB11" s="183"/>
      <c r="AYC11" s="183"/>
      <c r="AYD11" s="183"/>
      <c r="AYE11" s="183"/>
      <c r="AYF11" s="183"/>
      <c r="AYG11" s="183"/>
      <c r="AYH11" s="183"/>
      <c r="AYI11" s="183"/>
      <c r="AYJ11" s="183"/>
      <c r="AYK11" s="183"/>
      <c r="AYL11" s="183"/>
      <c r="AYM11" s="183"/>
      <c r="AYN11" s="183"/>
      <c r="AYO11" s="183"/>
      <c r="AYP11" s="183"/>
      <c r="AYQ11" s="183"/>
      <c r="AYR11" s="183"/>
      <c r="AYS11" s="183"/>
      <c r="AYT11" s="183"/>
      <c r="AYU11" s="183"/>
      <c r="AYV11" s="183"/>
      <c r="AYW11" s="183"/>
      <c r="AYX11" s="183"/>
      <c r="AYY11" s="183"/>
      <c r="AYZ11" s="183"/>
      <c r="AZA11" s="183"/>
      <c r="AZB11" s="183"/>
      <c r="AZC11" s="183"/>
      <c r="AZD11" s="183"/>
      <c r="AZE11" s="183"/>
      <c r="AZF11" s="183"/>
      <c r="AZG11" s="183"/>
      <c r="AZH11" s="183"/>
      <c r="AZI11" s="183"/>
      <c r="AZJ11" s="183"/>
      <c r="AZK11" s="183"/>
      <c r="AZL11" s="183"/>
      <c r="AZM11" s="183"/>
      <c r="AZN11" s="183"/>
      <c r="AZO11" s="183"/>
      <c r="AZP11" s="183"/>
      <c r="AZQ11" s="183"/>
      <c r="AZR11" s="183"/>
      <c r="AZS11" s="183"/>
      <c r="AZT11" s="183"/>
      <c r="AZU11" s="183"/>
      <c r="AZV11" s="183"/>
      <c r="AZW11" s="183"/>
      <c r="AZX11" s="183"/>
      <c r="AZY11" s="183"/>
      <c r="AZZ11" s="183"/>
      <c r="BAA11" s="183"/>
      <c r="BAB11" s="183"/>
      <c r="BAC11" s="183"/>
      <c r="BAD11" s="183"/>
      <c r="BAE11" s="183"/>
      <c r="BAF11" s="183"/>
      <c r="BAG11" s="183"/>
      <c r="BAH11" s="183" t="s">
        <v>102</v>
      </c>
      <c r="BAI11" s="183"/>
      <c r="BAJ11" s="183"/>
      <c r="BAK11" s="183"/>
      <c r="BAL11" s="183"/>
      <c r="BAM11" s="183"/>
      <c r="BAN11" s="183"/>
      <c r="BAO11" s="183"/>
      <c r="BAP11" s="183"/>
      <c r="BAQ11" s="183"/>
      <c r="BAR11" s="183"/>
      <c r="BAS11" s="183"/>
      <c r="BAT11" s="183"/>
      <c r="BAU11" s="183"/>
      <c r="BAV11" s="183"/>
      <c r="BAW11" s="183"/>
      <c r="BAX11" s="183"/>
      <c r="BAY11" s="183"/>
      <c r="BAZ11" s="183"/>
      <c r="BBA11" s="183"/>
      <c r="BBB11" s="183"/>
      <c r="BBC11" s="183"/>
      <c r="BBD11" s="183"/>
      <c r="BBE11" s="183"/>
      <c r="BBF11" s="183"/>
      <c r="BBG11" s="183"/>
      <c r="BBH11" s="183"/>
      <c r="BBI11" s="183"/>
      <c r="BBJ11" s="183"/>
      <c r="BBK11" s="183"/>
      <c r="BBL11" s="183"/>
      <c r="BBM11" s="183"/>
      <c r="BBN11" s="183"/>
      <c r="BBO11" s="183"/>
      <c r="BBP11" s="183"/>
      <c r="BBQ11" s="183"/>
      <c r="BBR11" s="183"/>
      <c r="BBS11" s="183"/>
      <c r="BBT11" s="183"/>
      <c r="BBU11" s="183"/>
      <c r="BBV11" s="183"/>
      <c r="BBW11" s="183"/>
      <c r="BBX11" s="183"/>
      <c r="BBY11" s="183"/>
      <c r="BBZ11" s="183"/>
      <c r="BCA11" s="183"/>
      <c r="BCB11" s="183"/>
      <c r="BCC11" s="183"/>
      <c r="BCD11" s="183"/>
      <c r="BCE11" s="183"/>
      <c r="BCF11" s="183"/>
      <c r="BCG11" s="183"/>
      <c r="BCH11" s="183"/>
      <c r="BCI11" s="183"/>
      <c r="BCJ11" s="183"/>
      <c r="BCK11" s="183"/>
      <c r="BCL11" s="183"/>
      <c r="BCM11" s="183"/>
      <c r="BCN11" s="183"/>
      <c r="BCO11" s="183"/>
      <c r="BCP11" s="183" t="s">
        <v>102</v>
      </c>
      <c r="BCQ11" s="183"/>
      <c r="BCR11" s="183"/>
      <c r="BCS11" s="183"/>
      <c r="BCT11" s="183"/>
      <c r="BCU11" s="183"/>
      <c r="BCV11" s="183"/>
      <c r="BCW11" s="183"/>
      <c r="BCX11" s="183"/>
      <c r="BCY11" s="183"/>
      <c r="BCZ11" s="183"/>
      <c r="BDA11" s="183"/>
      <c r="BDB11" s="183"/>
      <c r="BDC11" s="183"/>
      <c r="BDD11" s="183"/>
      <c r="BDE11" s="183"/>
      <c r="BDF11" s="183"/>
      <c r="BDG11" s="183"/>
      <c r="BDH11" s="183"/>
      <c r="BDI11" s="183"/>
      <c r="BDJ11" s="183"/>
      <c r="BDK11" s="183"/>
      <c r="BDL11" s="183"/>
      <c r="BDM11" s="183"/>
      <c r="BDN11" s="183"/>
      <c r="BDO11" s="183"/>
      <c r="BDP11" s="183"/>
      <c r="BDQ11" s="183"/>
      <c r="BDR11" s="183"/>
      <c r="BDS11" s="183"/>
      <c r="BDT11" s="183"/>
      <c r="BDU11" s="183"/>
      <c r="BDV11" s="183"/>
      <c r="BDW11" s="183"/>
      <c r="BDX11" s="183"/>
      <c r="BDY11" s="183"/>
      <c r="BDZ11" s="183"/>
      <c r="BEA11" s="183"/>
      <c r="BEB11" s="183"/>
      <c r="BEC11" s="183"/>
      <c r="BED11" s="183"/>
      <c r="BEE11" s="183"/>
      <c r="BEF11" s="183"/>
      <c r="BEG11" s="183"/>
      <c r="BEH11" s="183"/>
      <c r="BEI11" s="183"/>
      <c r="BEJ11" s="183"/>
      <c r="BEK11" s="183"/>
      <c r="BEL11" s="183"/>
      <c r="BEM11" s="183"/>
      <c r="BEN11" s="183"/>
      <c r="BEO11" s="183"/>
      <c r="BEP11" s="183"/>
      <c r="BEQ11" s="183"/>
      <c r="BER11" s="183"/>
      <c r="BES11" s="183"/>
      <c r="BET11" s="183"/>
      <c r="BEU11" s="183"/>
      <c r="BEV11" s="183"/>
      <c r="BEW11" s="183"/>
      <c r="BEX11" s="183" t="s">
        <v>99</v>
      </c>
      <c r="BEY11" s="183"/>
      <c r="BEZ11" s="183"/>
      <c r="BFA11" s="183"/>
      <c r="BFB11" s="183"/>
      <c r="BFC11" s="183"/>
      <c r="BFD11" s="183"/>
      <c r="BFE11" s="183"/>
      <c r="BFF11" s="183"/>
      <c r="BFG11" s="183"/>
      <c r="BFH11" s="183"/>
      <c r="BFI11" s="183"/>
      <c r="BFJ11" s="183"/>
      <c r="BFK11" s="183"/>
      <c r="BFL11" s="183"/>
      <c r="BFM11" s="183"/>
      <c r="BFN11" s="183"/>
      <c r="BFO11" s="183"/>
      <c r="BFP11" s="183"/>
      <c r="BFQ11" s="183"/>
      <c r="BFR11" s="183"/>
      <c r="BFS11" s="183"/>
      <c r="BFT11" s="183"/>
      <c r="BFU11" s="183"/>
      <c r="BFV11" s="183"/>
      <c r="BFW11" s="183"/>
      <c r="BFX11" s="183"/>
      <c r="BFY11" s="183"/>
      <c r="BFZ11" s="183"/>
      <c r="BGA11" s="183"/>
      <c r="BGB11" s="183"/>
      <c r="BGC11" s="183"/>
      <c r="BGD11" s="183"/>
      <c r="BGE11" s="183"/>
      <c r="BGF11" s="183"/>
      <c r="BGG11" s="183"/>
      <c r="BGH11" s="183"/>
      <c r="BGI11" s="183"/>
      <c r="BGJ11" s="183"/>
      <c r="BGK11" s="183"/>
      <c r="BGL11" s="183"/>
      <c r="BGM11" s="183"/>
      <c r="BGN11" s="183"/>
      <c r="BGO11" s="183"/>
      <c r="BGP11" s="183"/>
      <c r="BGQ11" s="183"/>
      <c r="BGR11" s="183"/>
      <c r="BGS11" s="183"/>
      <c r="BGT11" s="183"/>
      <c r="BGU11" s="183"/>
      <c r="BGV11" s="183"/>
      <c r="BGW11" s="183"/>
      <c r="BGX11" s="183"/>
      <c r="BGY11" s="183"/>
      <c r="BGZ11" s="183"/>
      <c r="BHA11" s="183"/>
      <c r="BHB11" s="183"/>
      <c r="BHC11" s="183"/>
      <c r="BHD11" s="183"/>
      <c r="BHE11" s="183"/>
      <c r="BHF11" s="183" t="s">
        <v>99</v>
      </c>
      <c r="BHG11" s="183"/>
      <c r="BHH11" s="183"/>
      <c r="BHI11" s="183"/>
      <c r="BHJ11" s="183"/>
      <c r="BHK11" s="183"/>
      <c r="BHL11" s="183"/>
      <c r="BHM11" s="183"/>
      <c r="BHN11" s="183"/>
      <c r="BHO11" s="183"/>
      <c r="BHP11" s="183"/>
      <c r="BHQ11" s="183"/>
      <c r="BHR11" s="183"/>
      <c r="BHS11" s="183"/>
      <c r="BHT11" s="183"/>
      <c r="BHU11" s="183"/>
      <c r="BHV11" s="183"/>
      <c r="BHW11" s="183"/>
      <c r="BHX11" s="183"/>
      <c r="BHY11" s="183"/>
      <c r="BHZ11" s="183"/>
      <c r="BIA11" s="183"/>
      <c r="BIB11" s="183"/>
      <c r="BIC11" s="183"/>
      <c r="BID11" s="183"/>
      <c r="BIE11" s="183"/>
      <c r="BIF11" s="183"/>
      <c r="BIG11" s="183"/>
      <c r="BIH11" s="183"/>
      <c r="BII11" s="183"/>
      <c r="BIJ11" s="183"/>
      <c r="BIK11" s="183"/>
      <c r="BIL11" s="183"/>
      <c r="BIM11" s="183"/>
      <c r="BIN11" s="183"/>
      <c r="BIO11" s="183"/>
      <c r="BIP11" s="183"/>
      <c r="BIQ11" s="183"/>
      <c r="BIR11" s="183"/>
      <c r="BIS11" s="183"/>
      <c r="BIT11" s="183"/>
      <c r="BIU11" s="183"/>
      <c r="BIV11" s="183"/>
      <c r="BIW11" s="183"/>
      <c r="BIX11" s="183"/>
      <c r="BIY11" s="183"/>
      <c r="BIZ11" s="183"/>
      <c r="BJA11" s="183"/>
      <c r="BJB11" s="183"/>
      <c r="BJC11" s="183"/>
      <c r="BJD11" s="183"/>
      <c r="BJE11" s="183"/>
      <c r="BJF11" s="183"/>
      <c r="BJG11" s="183"/>
      <c r="BJH11" s="183"/>
      <c r="BJI11" s="183"/>
      <c r="BJJ11" s="183"/>
      <c r="BJK11" s="183"/>
      <c r="BJL11" s="183"/>
      <c r="BJM11" s="183"/>
      <c r="BJN11" s="183"/>
      <c r="BJO11" s="183"/>
      <c r="BJP11" s="183"/>
      <c r="BJQ11" s="183"/>
      <c r="BJR11" s="183"/>
      <c r="BJS11" s="183"/>
      <c r="BJT11" s="183"/>
      <c r="BJU11" s="183"/>
      <c r="BJV11" s="183"/>
      <c r="BJW11" s="183"/>
      <c r="BJX11" s="183"/>
      <c r="BJY11" s="183"/>
      <c r="BJZ11" s="183"/>
      <c r="BKA11" s="183"/>
      <c r="BKB11" s="183"/>
      <c r="BKC11" s="183"/>
      <c r="BKD11" s="183"/>
      <c r="BKE11" s="183"/>
      <c r="BKF11" s="183"/>
      <c r="BKG11" s="183"/>
      <c r="BKH11" s="183"/>
      <c r="BKI11" s="183"/>
      <c r="BKJ11" s="183"/>
      <c r="BKK11" s="183"/>
      <c r="BKL11" s="183"/>
      <c r="BKM11" s="183"/>
      <c r="BKN11" s="183"/>
      <c r="BKO11" s="183"/>
      <c r="BKP11" s="183"/>
      <c r="BKQ11" s="183"/>
      <c r="BKR11" s="183"/>
      <c r="BKS11" s="183"/>
      <c r="BKT11" s="183"/>
      <c r="BKU11" s="183"/>
      <c r="BKV11" s="183"/>
      <c r="BKW11" s="183"/>
      <c r="BKX11" s="183"/>
      <c r="BKY11" s="183"/>
      <c r="BKZ11" s="183"/>
      <c r="BLA11" s="183"/>
      <c r="BLB11" s="183"/>
      <c r="BLC11" s="183"/>
      <c r="BLD11" s="183"/>
      <c r="BLE11" s="183"/>
      <c r="BLF11" s="183"/>
      <c r="BLG11" s="183"/>
      <c r="BLH11" s="183"/>
      <c r="BLI11" s="183"/>
      <c r="BLJ11" s="183"/>
      <c r="BLK11" s="183"/>
      <c r="BLL11" s="183"/>
      <c r="BLM11" s="183"/>
      <c r="BLN11" s="183"/>
      <c r="BLO11" s="183"/>
      <c r="BLP11" s="183"/>
      <c r="BLQ11" s="183"/>
      <c r="BLR11" s="183"/>
      <c r="BLS11" s="183"/>
      <c r="BLT11" s="183"/>
      <c r="BLU11" s="183"/>
      <c r="BLV11" s="183"/>
      <c r="BLW11" s="183"/>
      <c r="BLX11" s="183"/>
      <c r="BLY11" s="183"/>
      <c r="BLZ11" s="183"/>
      <c r="BMA11" s="183"/>
      <c r="BMB11" s="183"/>
      <c r="BMC11" s="183"/>
      <c r="BMD11" s="183"/>
      <c r="BME11" s="183"/>
      <c r="BMF11" s="183"/>
      <c r="BMG11" s="183"/>
      <c r="BMH11" s="183"/>
      <c r="BMI11" s="183"/>
      <c r="BMJ11" s="183"/>
      <c r="BMK11" s="183"/>
      <c r="BML11" s="183"/>
      <c r="BMM11" s="183"/>
      <c r="BMN11" s="183"/>
      <c r="BMO11" s="183"/>
      <c r="BMP11" s="183"/>
      <c r="BMQ11" s="183"/>
      <c r="BMR11" s="183"/>
      <c r="BMS11" s="183"/>
      <c r="BMT11" s="183"/>
      <c r="BMU11" s="183"/>
      <c r="BMV11" s="183"/>
      <c r="BMW11" s="183"/>
      <c r="BMX11" s="183"/>
      <c r="BMY11" s="183"/>
      <c r="BMZ11" s="183"/>
      <c r="BNA11" s="183"/>
      <c r="BNB11" s="183"/>
      <c r="BNC11" s="183"/>
      <c r="BND11" s="183"/>
      <c r="BNE11" s="183"/>
      <c r="BNF11" s="183"/>
      <c r="BNG11" s="183"/>
      <c r="BNH11" s="183"/>
      <c r="BNI11" s="183"/>
      <c r="BNJ11" s="183"/>
      <c r="BNK11" s="183"/>
      <c r="BNL11" s="183"/>
      <c r="BNM11" s="183"/>
      <c r="BNN11" s="183"/>
      <c r="BNO11" s="183"/>
      <c r="BNP11" s="183"/>
      <c r="BNQ11" s="183"/>
      <c r="BNR11" s="183"/>
      <c r="BNS11" s="183"/>
      <c r="BNT11" s="183"/>
      <c r="BNU11" s="183"/>
      <c r="BNV11" s="183"/>
      <c r="BNW11" s="183"/>
      <c r="BNX11" s="183"/>
      <c r="BNY11" s="183"/>
      <c r="BNZ11" s="183"/>
      <c r="BOA11" s="183"/>
      <c r="BOB11" s="183"/>
      <c r="BOC11" s="183"/>
      <c r="BOD11" s="183"/>
      <c r="BOE11" s="183"/>
      <c r="BOF11" s="183"/>
      <c r="BOG11" s="183"/>
      <c r="BOH11" s="183"/>
      <c r="BOI11" s="183"/>
      <c r="BOJ11" s="183"/>
      <c r="BOK11" s="183"/>
      <c r="BOL11" s="183"/>
      <c r="BOM11" s="183"/>
      <c r="BON11" s="183"/>
      <c r="BOO11" s="183"/>
      <c r="BOP11" s="183"/>
      <c r="BOQ11" s="183"/>
      <c r="BOR11" s="183"/>
      <c r="BOS11" s="183"/>
      <c r="BOT11" s="183"/>
      <c r="BOU11" s="183"/>
      <c r="BOV11" s="183"/>
      <c r="BOW11" s="183"/>
      <c r="BOX11" s="183"/>
      <c r="BOY11" s="183"/>
      <c r="BOZ11" s="183"/>
      <c r="BPA11" s="183"/>
      <c r="BPB11" s="183"/>
      <c r="BPC11" s="183"/>
      <c r="BPD11" s="183"/>
      <c r="BPE11" s="183"/>
      <c r="BPF11" s="183"/>
      <c r="BPG11" s="183"/>
      <c r="BPH11" s="183"/>
      <c r="BPI11" s="183"/>
      <c r="BPJ11" s="183"/>
      <c r="BPK11" s="183"/>
      <c r="BPL11" s="183"/>
      <c r="BPM11" s="183"/>
      <c r="BPN11" s="183"/>
      <c r="BPO11" s="183"/>
      <c r="BPP11" s="183"/>
      <c r="BPQ11" s="183"/>
      <c r="BPR11" s="183"/>
      <c r="BPS11" s="183"/>
      <c r="BPT11" s="183"/>
      <c r="BPU11" s="183"/>
      <c r="BPV11" s="183"/>
      <c r="BPW11" s="183"/>
      <c r="BPX11" s="183"/>
      <c r="BPY11" s="183"/>
      <c r="BPZ11" s="183"/>
      <c r="BQA11" s="183"/>
      <c r="BQB11" s="183"/>
      <c r="BQC11" s="183"/>
      <c r="BQD11" s="183"/>
      <c r="BQE11" s="183"/>
      <c r="BQF11" s="183"/>
      <c r="BQG11" s="183"/>
      <c r="BQH11" s="183"/>
      <c r="BQI11" s="183"/>
      <c r="BQJ11" s="183"/>
      <c r="BQK11" s="183"/>
      <c r="BQL11" s="183"/>
      <c r="BQM11" s="183"/>
      <c r="BQN11" s="183"/>
      <c r="BQO11" s="183"/>
      <c r="BQP11" s="183"/>
      <c r="BQQ11" s="183"/>
      <c r="BQR11" s="183"/>
      <c r="BQS11" s="183"/>
      <c r="BQT11" s="183"/>
      <c r="BQU11" s="183"/>
      <c r="BQV11" s="183"/>
      <c r="BQW11" s="183"/>
      <c r="BQX11" s="183"/>
      <c r="BQY11" s="183"/>
      <c r="BQZ11" s="183"/>
      <c r="BRA11" s="183"/>
      <c r="BRB11" s="183"/>
      <c r="BRC11" s="183"/>
      <c r="BRD11" s="183"/>
      <c r="BRE11" s="183"/>
      <c r="BRF11" s="183"/>
      <c r="BRG11" s="183"/>
      <c r="BRH11" s="183"/>
      <c r="BRI11" s="183"/>
      <c r="BRJ11" s="183"/>
      <c r="BRK11" s="183"/>
      <c r="BRL11" s="183"/>
      <c r="BRM11" s="183"/>
      <c r="BRN11" s="183"/>
      <c r="BRO11" s="183"/>
      <c r="BRP11" s="183"/>
      <c r="BRQ11" s="183"/>
      <c r="BRR11" s="183"/>
      <c r="BRS11" s="183"/>
      <c r="BRT11" s="183"/>
      <c r="BRU11" s="183"/>
      <c r="BRV11" s="183"/>
      <c r="BRW11" s="183"/>
      <c r="BRX11" s="183"/>
      <c r="BRY11" s="183"/>
      <c r="BRZ11" s="183"/>
      <c r="BSA11" s="183"/>
      <c r="BSB11" s="183"/>
      <c r="BSC11" s="183"/>
      <c r="BSD11" s="183"/>
      <c r="BSE11" s="183"/>
      <c r="BSF11" s="183"/>
      <c r="BSG11" s="183"/>
      <c r="BSH11" s="183"/>
      <c r="BSI11" s="183"/>
      <c r="BSJ11" s="183"/>
      <c r="BSK11" s="183"/>
      <c r="BSL11" s="183"/>
      <c r="BSM11" s="183"/>
      <c r="BSN11" s="183"/>
      <c r="BSO11" s="183"/>
      <c r="BSP11" s="183"/>
      <c r="BSQ11" s="183"/>
      <c r="BSR11" s="183"/>
      <c r="BSS11" s="183"/>
      <c r="BST11" s="183"/>
      <c r="BSU11" s="183"/>
      <c r="BSV11" s="183"/>
      <c r="BSW11" s="183"/>
      <c r="BSX11" s="183"/>
      <c r="BSY11" s="183"/>
      <c r="BSZ11" s="183"/>
      <c r="BTA11" s="183"/>
      <c r="BTB11" s="183"/>
      <c r="BTC11" s="183"/>
      <c r="BTD11" s="183"/>
      <c r="BTE11" s="183"/>
      <c r="BTF11" s="183"/>
      <c r="BTG11" s="183"/>
      <c r="BTH11" s="183"/>
      <c r="BTI11" s="183"/>
      <c r="BTJ11" s="183"/>
      <c r="BTK11" s="183"/>
      <c r="BTL11" s="183"/>
      <c r="BTM11" s="183"/>
      <c r="BTN11" s="183"/>
      <c r="BTO11" s="183"/>
      <c r="BTP11" s="183"/>
      <c r="BTQ11" s="183"/>
      <c r="BTR11" s="183"/>
      <c r="BTS11" s="183"/>
      <c r="BTT11" s="183"/>
      <c r="BTU11" s="183"/>
      <c r="BTV11" s="183"/>
      <c r="BTW11" s="183"/>
      <c r="BTX11" s="183"/>
      <c r="BTY11" s="183"/>
      <c r="BTZ11" s="183"/>
      <c r="BUA11" s="183"/>
      <c r="BUB11" s="183"/>
      <c r="BUC11" s="183"/>
      <c r="BUD11" s="183"/>
      <c r="BUE11" s="183"/>
      <c r="BUF11" s="183"/>
      <c r="BUG11" s="183"/>
      <c r="BUH11" s="183"/>
      <c r="BUI11" s="183"/>
      <c r="BUJ11" s="183"/>
      <c r="BUK11" s="183"/>
      <c r="BUL11" s="183"/>
      <c r="BUM11" s="183"/>
      <c r="BUN11" s="183"/>
      <c r="BUO11" s="183"/>
      <c r="BUP11" s="183"/>
      <c r="BUQ11" s="183"/>
      <c r="BUR11" s="183"/>
      <c r="BUS11" s="183"/>
      <c r="BUT11" s="183"/>
      <c r="BUU11" s="183"/>
      <c r="BUV11" s="183"/>
      <c r="BUW11" s="183"/>
      <c r="BUX11" s="183"/>
      <c r="BUY11" s="183"/>
      <c r="BUZ11" s="183"/>
      <c r="BVA11" s="183"/>
      <c r="BVB11" s="90"/>
    </row>
    <row r="12" spans="1:1926" ht="15.75" customHeight="1" thickBot="1" x14ac:dyDescent="0.3">
      <c r="B12" s="97"/>
      <c r="C12" s="196"/>
      <c r="D12" s="196"/>
      <c r="E12" s="196"/>
      <c r="F12" s="185" t="s">
        <v>49</v>
      </c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 t="s">
        <v>48</v>
      </c>
      <c r="BO12" s="185"/>
      <c r="BP12" s="185"/>
      <c r="BQ12" s="185"/>
      <c r="BR12" s="185"/>
      <c r="BS12" s="185"/>
      <c r="BT12" s="185"/>
      <c r="BU12" s="185"/>
      <c r="BV12" s="185"/>
      <c r="BW12" s="185"/>
      <c r="BX12" s="185"/>
      <c r="BY12" s="185"/>
      <c r="BZ12" s="185"/>
      <c r="CA12" s="185"/>
      <c r="CB12" s="185"/>
      <c r="CC12" s="185"/>
      <c r="CD12" s="185"/>
      <c r="CE12" s="185"/>
      <c r="CF12" s="185"/>
      <c r="CG12" s="185"/>
      <c r="CH12" s="185"/>
      <c r="CI12" s="185"/>
      <c r="CJ12" s="185"/>
      <c r="CK12" s="185"/>
      <c r="CL12" s="185"/>
      <c r="CM12" s="185"/>
      <c r="CN12" s="185"/>
      <c r="CO12" s="185"/>
      <c r="CP12" s="185"/>
      <c r="CQ12" s="185"/>
      <c r="CR12" s="185"/>
      <c r="CS12" s="185"/>
      <c r="CT12" s="185"/>
      <c r="CU12" s="185"/>
      <c r="CV12" s="185"/>
      <c r="CW12" s="185"/>
      <c r="CX12" s="185"/>
      <c r="CY12" s="185"/>
      <c r="CZ12" s="185"/>
      <c r="DA12" s="185"/>
      <c r="DB12" s="185"/>
      <c r="DC12" s="185"/>
      <c r="DD12" s="185"/>
      <c r="DE12" s="185"/>
      <c r="DF12" s="185"/>
      <c r="DG12" s="185"/>
      <c r="DH12" s="185"/>
      <c r="DI12" s="185"/>
      <c r="DJ12" s="185"/>
      <c r="DK12" s="185"/>
      <c r="DL12" s="185"/>
      <c r="DM12" s="185"/>
      <c r="DN12" s="185"/>
      <c r="DO12" s="185"/>
      <c r="DP12" s="185"/>
      <c r="DQ12" s="185"/>
      <c r="DR12" s="185"/>
      <c r="DS12" s="185"/>
      <c r="DT12" s="185"/>
      <c r="DU12" s="185"/>
      <c r="DV12" s="184" t="s">
        <v>49</v>
      </c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 t="s">
        <v>48</v>
      </c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184" t="s">
        <v>49</v>
      </c>
      <c r="IM12" s="184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 t="s">
        <v>49</v>
      </c>
      <c r="KU12" s="184"/>
      <c r="KV12" s="184"/>
      <c r="KW12" s="184"/>
      <c r="KX12" s="184"/>
      <c r="KY12" s="184"/>
      <c r="KZ12" s="184"/>
      <c r="LA12" s="184"/>
      <c r="LB12" s="184"/>
      <c r="LC12" s="184"/>
      <c r="LD12" s="184"/>
      <c r="LE12" s="184"/>
      <c r="LF12" s="184"/>
      <c r="LG12" s="184"/>
      <c r="LH12" s="184"/>
      <c r="LI12" s="184"/>
      <c r="LJ12" s="184"/>
      <c r="LK12" s="184"/>
      <c r="LL12" s="184"/>
      <c r="LM12" s="184"/>
      <c r="LN12" s="184"/>
      <c r="LO12" s="184"/>
      <c r="LP12" s="184"/>
      <c r="LQ12" s="184"/>
      <c r="LR12" s="184"/>
      <c r="LS12" s="184"/>
      <c r="LT12" s="184"/>
      <c r="LU12" s="184"/>
      <c r="LV12" s="184"/>
      <c r="LW12" s="184"/>
      <c r="LX12" s="184"/>
      <c r="LY12" s="184"/>
      <c r="LZ12" s="184"/>
      <c r="MA12" s="184"/>
      <c r="MB12" s="184"/>
      <c r="MC12" s="184"/>
      <c r="MD12" s="184"/>
      <c r="ME12" s="184"/>
      <c r="MF12" s="184"/>
      <c r="MG12" s="184"/>
      <c r="MH12" s="184"/>
      <c r="MI12" s="184"/>
      <c r="MJ12" s="184"/>
      <c r="MK12" s="184"/>
      <c r="ML12" s="184"/>
      <c r="MM12" s="184"/>
      <c r="MN12" s="184"/>
      <c r="MO12" s="184"/>
      <c r="MP12" s="184"/>
      <c r="MQ12" s="184"/>
      <c r="MR12" s="184"/>
      <c r="MS12" s="184"/>
      <c r="MT12" s="184"/>
      <c r="MU12" s="184"/>
      <c r="MV12" s="184"/>
      <c r="MW12" s="184"/>
      <c r="MX12" s="184"/>
      <c r="MY12" s="184"/>
      <c r="MZ12" s="184"/>
      <c r="NA12" s="184"/>
      <c r="NB12" s="184" t="s">
        <v>48</v>
      </c>
      <c r="NC12" s="184"/>
      <c r="ND12" s="184"/>
      <c r="NE12" s="184"/>
      <c r="NF12" s="184"/>
      <c r="NG12" s="184"/>
      <c r="NH12" s="184"/>
      <c r="NI12" s="184"/>
      <c r="NJ12" s="184"/>
      <c r="NK12" s="184"/>
      <c r="NL12" s="184"/>
      <c r="NM12" s="184"/>
      <c r="NN12" s="184"/>
      <c r="NO12" s="184"/>
      <c r="NP12" s="184"/>
      <c r="NQ12" s="184"/>
      <c r="NR12" s="184"/>
      <c r="NS12" s="184"/>
      <c r="NT12" s="184"/>
      <c r="NU12" s="184"/>
      <c r="NV12" s="184"/>
      <c r="NW12" s="184"/>
      <c r="NX12" s="184"/>
      <c r="NY12" s="184"/>
      <c r="NZ12" s="184"/>
      <c r="OA12" s="184"/>
      <c r="OB12" s="184"/>
      <c r="OC12" s="184"/>
      <c r="OD12" s="184"/>
      <c r="OE12" s="184"/>
      <c r="OF12" s="184"/>
      <c r="OG12" s="184"/>
      <c r="OH12" s="184"/>
      <c r="OI12" s="184"/>
      <c r="OJ12" s="184"/>
      <c r="OK12" s="184"/>
      <c r="OL12" s="184"/>
      <c r="OM12" s="184"/>
      <c r="ON12" s="184"/>
      <c r="OO12" s="184"/>
      <c r="OP12" s="184"/>
      <c r="OQ12" s="184"/>
      <c r="OR12" s="184"/>
      <c r="OS12" s="184"/>
      <c r="OT12" s="184"/>
      <c r="OU12" s="184"/>
      <c r="OV12" s="184"/>
      <c r="OW12" s="184"/>
      <c r="OX12" s="184"/>
      <c r="OY12" s="184"/>
      <c r="OZ12" s="184"/>
      <c r="PA12" s="184"/>
      <c r="PB12" s="184"/>
      <c r="PC12" s="184"/>
      <c r="PD12" s="184"/>
      <c r="PE12" s="184"/>
      <c r="PF12" s="184"/>
      <c r="PG12" s="184"/>
      <c r="PH12" s="184"/>
      <c r="PI12" s="184"/>
      <c r="PJ12" s="184" t="s">
        <v>49</v>
      </c>
      <c r="PK12" s="184"/>
      <c r="PL12" s="184"/>
      <c r="PM12" s="184"/>
      <c r="PN12" s="184"/>
      <c r="PO12" s="184"/>
      <c r="PP12" s="184"/>
      <c r="PQ12" s="184"/>
      <c r="PR12" s="184"/>
      <c r="PS12" s="184"/>
      <c r="PT12" s="184"/>
      <c r="PU12" s="184"/>
      <c r="PV12" s="184"/>
      <c r="PW12" s="184"/>
      <c r="PX12" s="184"/>
      <c r="PY12" s="184"/>
      <c r="PZ12" s="184"/>
      <c r="QA12" s="184"/>
      <c r="QB12" s="184"/>
      <c r="QC12" s="184"/>
      <c r="QD12" s="184"/>
      <c r="QE12" s="184"/>
      <c r="QF12" s="184"/>
      <c r="QG12" s="184"/>
      <c r="QH12" s="184"/>
      <c r="QI12" s="184"/>
      <c r="QJ12" s="184"/>
      <c r="QK12" s="184"/>
      <c r="QL12" s="184"/>
      <c r="QM12" s="184"/>
      <c r="QN12" s="184"/>
      <c r="QO12" s="184"/>
      <c r="QP12" s="184"/>
      <c r="QQ12" s="184"/>
      <c r="QR12" s="184"/>
      <c r="QS12" s="184"/>
      <c r="QT12" s="184"/>
      <c r="QU12" s="184"/>
      <c r="QV12" s="184"/>
      <c r="QW12" s="184"/>
      <c r="QX12" s="184"/>
      <c r="QY12" s="184"/>
      <c r="QZ12" s="184"/>
      <c r="RA12" s="184"/>
      <c r="RB12" s="184"/>
      <c r="RC12" s="184"/>
      <c r="RD12" s="184"/>
      <c r="RE12" s="184"/>
      <c r="RF12" s="184"/>
      <c r="RG12" s="184"/>
      <c r="RH12" s="184"/>
      <c r="RI12" s="184"/>
      <c r="RJ12" s="184"/>
      <c r="RK12" s="184"/>
      <c r="RL12" s="184"/>
      <c r="RM12" s="184"/>
      <c r="RN12" s="184"/>
      <c r="RO12" s="184"/>
      <c r="RP12" s="184"/>
      <c r="RQ12" s="184"/>
      <c r="RR12" s="184" t="s">
        <v>48</v>
      </c>
      <c r="RS12" s="184"/>
      <c r="RT12" s="184"/>
      <c r="RU12" s="184"/>
      <c r="RV12" s="184"/>
      <c r="RW12" s="184"/>
      <c r="RX12" s="184"/>
      <c r="RY12" s="184"/>
      <c r="RZ12" s="184"/>
      <c r="SA12" s="184"/>
      <c r="SB12" s="184"/>
      <c r="SC12" s="184"/>
      <c r="SD12" s="184"/>
      <c r="SE12" s="184"/>
      <c r="SF12" s="184"/>
      <c r="SG12" s="184"/>
      <c r="SH12" s="184"/>
      <c r="SI12" s="184"/>
      <c r="SJ12" s="184"/>
      <c r="SK12" s="184"/>
      <c r="SL12" s="184"/>
      <c r="SM12" s="184"/>
      <c r="SN12" s="184"/>
      <c r="SO12" s="184"/>
      <c r="SP12" s="184"/>
      <c r="SQ12" s="184"/>
      <c r="SR12" s="184"/>
      <c r="SS12" s="184"/>
      <c r="ST12" s="184"/>
      <c r="SU12" s="184"/>
      <c r="SV12" s="184"/>
      <c r="SW12" s="184"/>
      <c r="SX12" s="184"/>
      <c r="SY12" s="184"/>
      <c r="SZ12" s="184"/>
      <c r="TA12" s="184"/>
      <c r="TB12" s="184"/>
      <c r="TC12" s="184"/>
      <c r="TD12" s="184"/>
      <c r="TE12" s="184"/>
      <c r="TF12" s="184"/>
      <c r="TG12" s="184"/>
      <c r="TH12" s="184"/>
      <c r="TI12" s="184"/>
      <c r="TJ12" s="184"/>
      <c r="TK12" s="184"/>
      <c r="TL12" s="184"/>
      <c r="TM12" s="184"/>
      <c r="TN12" s="184"/>
      <c r="TO12" s="184"/>
      <c r="TP12" s="184"/>
      <c r="TQ12" s="184"/>
      <c r="TR12" s="184"/>
      <c r="TS12" s="184"/>
      <c r="TT12" s="184"/>
      <c r="TU12" s="184"/>
      <c r="TV12" s="184"/>
      <c r="TW12" s="184"/>
      <c r="TX12" s="184"/>
      <c r="TY12" s="184"/>
      <c r="TZ12" s="184" t="s">
        <v>49</v>
      </c>
      <c r="UA12" s="184"/>
      <c r="UB12" s="184"/>
      <c r="UC12" s="184"/>
      <c r="UD12" s="184"/>
      <c r="UE12" s="184"/>
      <c r="UF12" s="184"/>
      <c r="UG12" s="184"/>
      <c r="UH12" s="184"/>
      <c r="UI12" s="184"/>
      <c r="UJ12" s="184"/>
      <c r="UK12" s="184"/>
      <c r="UL12" s="184"/>
      <c r="UM12" s="184"/>
      <c r="UN12" s="184"/>
      <c r="UO12" s="184"/>
      <c r="UP12" s="184"/>
      <c r="UQ12" s="184"/>
      <c r="UR12" s="184"/>
      <c r="US12" s="184"/>
      <c r="UT12" s="184"/>
      <c r="UU12" s="184"/>
      <c r="UV12" s="184"/>
      <c r="UW12" s="184"/>
      <c r="UX12" s="184"/>
      <c r="UY12" s="184"/>
      <c r="UZ12" s="184"/>
      <c r="VA12" s="184"/>
      <c r="VB12" s="184"/>
      <c r="VC12" s="184"/>
      <c r="VD12" s="184"/>
      <c r="VE12" s="184"/>
      <c r="VF12" s="184"/>
      <c r="VG12" s="184"/>
      <c r="VH12" s="184"/>
      <c r="VI12" s="184"/>
      <c r="VJ12" s="184"/>
      <c r="VK12" s="184"/>
      <c r="VL12" s="184"/>
      <c r="VM12" s="184"/>
      <c r="VN12" s="184"/>
      <c r="VO12" s="184"/>
      <c r="VP12" s="184"/>
      <c r="VQ12" s="184"/>
      <c r="VR12" s="184"/>
      <c r="VS12" s="184"/>
      <c r="VT12" s="184"/>
      <c r="VU12" s="184"/>
      <c r="VV12" s="184"/>
      <c r="VW12" s="184"/>
      <c r="VX12" s="184"/>
      <c r="VY12" s="184"/>
      <c r="VZ12" s="184"/>
      <c r="WA12" s="184"/>
      <c r="WB12" s="184"/>
      <c r="WC12" s="184"/>
      <c r="WD12" s="184"/>
      <c r="WE12" s="184"/>
      <c r="WF12" s="184"/>
      <c r="WG12" s="184"/>
      <c r="WH12" s="184" t="s">
        <v>48</v>
      </c>
      <c r="WI12" s="184"/>
      <c r="WJ12" s="184"/>
      <c r="WK12" s="184"/>
      <c r="WL12" s="184"/>
      <c r="WM12" s="184"/>
      <c r="WN12" s="184"/>
      <c r="WO12" s="184"/>
      <c r="WP12" s="184"/>
      <c r="WQ12" s="184"/>
      <c r="WR12" s="184"/>
      <c r="WS12" s="184"/>
      <c r="WT12" s="184"/>
      <c r="WU12" s="184"/>
      <c r="WV12" s="184"/>
      <c r="WW12" s="184"/>
      <c r="WX12" s="184"/>
      <c r="WY12" s="184"/>
      <c r="WZ12" s="184"/>
      <c r="XA12" s="184"/>
      <c r="XB12" s="184"/>
      <c r="XC12" s="184"/>
      <c r="XD12" s="184"/>
      <c r="XE12" s="184"/>
      <c r="XF12" s="184"/>
      <c r="XG12" s="184"/>
      <c r="XH12" s="184"/>
      <c r="XI12" s="184"/>
      <c r="XJ12" s="184"/>
      <c r="XK12" s="184"/>
      <c r="XL12" s="184"/>
      <c r="XM12" s="184"/>
      <c r="XN12" s="184"/>
      <c r="XO12" s="184"/>
      <c r="XP12" s="184"/>
      <c r="XQ12" s="184"/>
      <c r="XR12" s="184"/>
      <c r="XS12" s="184"/>
      <c r="XT12" s="184"/>
      <c r="XU12" s="184"/>
      <c r="XV12" s="184"/>
      <c r="XW12" s="184"/>
      <c r="XX12" s="184"/>
      <c r="XY12" s="184"/>
      <c r="XZ12" s="184"/>
      <c r="YA12" s="184"/>
      <c r="YB12" s="184"/>
      <c r="YC12" s="184"/>
      <c r="YD12" s="184"/>
      <c r="YE12" s="184"/>
      <c r="YF12" s="184"/>
      <c r="YG12" s="184"/>
      <c r="YH12" s="184"/>
      <c r="YI12" s="184"/>
      <c r="YJ12" s="184"/>
      <c r="YK12" s="184"/>
      <c r="YL12" s="184"/>
      <c r="YM12" s="184"/>
      <c r="YN12" s="184"/>
      <c r="YO12" s="184"/>
      <c r="YP12" s="184" t="s">
        <v>49</v>
      </c>
      <c r="YQ12" s="184"/>
      <c r="YR12" s="184"/>
      <c r="YS12" s="184"/>
      <c r="YT12" s="184"/>
      <c r="YU12" s="184"/>
      <c r="YV12" s="184"/>
      <c r="YW12" s="184"/>
      <c r="YX12" s="184"/>
      <c r="YY12" s="184"/>
      <c r="YZ12" s="184"/>
      <c r="ZA12" s="184"/>
      <c r="ZB12" s="184"/>
      <c r="ZC12" s="184"/>
      <c r="ZD12" s="184"/>
      <c r="ZE12" s="184"/>
      <c r="ZF12" s="184"/>
      <c r="ZG12" s="184"/>
      <c r="ZH12" s="184"/>
      <c r="ZI12" s="184"/>
      <c r="ZJ12" s="184"/>
      <c r="ZK12" s="184"/>
      <c r="ZL12" s="184"/>
      <c r="ZM12" s="184"/>
      <c r="ZN12" s="184"/>
      <c r="ZO12" s="184"/>
      <c r="ZP12" s="184"/>
      <c r="ZQ12" s="184"/>
      <c r="ZR12" s="184"/>
      <c r="ZS12" s="184"/>
      <c r="ZT12" s="184"/>
      <c r="ZU12" s="184"/>
      <c r="ZV12" s="184"/>
      <c r="ZW12" s="184"/>
      <c r="ZX12" s="184"/>
      <c r="ZY12" s="184"/>
      <c r="ZZ12" s="184"/>
      <c r="AAA12" s="184"/>
      <c r="AAB12" s="184"/>
      <c r="AAC12" s="184"/>
      <c r="AAD12" s="184"/>
      <c r="AAE12" s="184"/>
      <c r="AAF12" s="184"/>
      <c r="AAG12" s="184"/>
      <c r="AAH12" s="184"/>
      <c r="AAI12" s="184"/>
      <c r="AAJ12" s="184"/>
      <c r="AAK12" s="184"/>
      <c r="AAL12" s="184"/>
      <c r="AAM12" s="184"/>
      <c r="AAN12" s="184"/>
      <c r="AAO12" s="184"/>
      <c r="AAP12" s="184"/>
      <c r="AAQ12" s="184"/>
      <c r="AAR12" s="184"/>
      <c r="AAS12" s="184"/>
      <c r="AAT12" s="184"/>
      <c r="AAU12" s="184"/>
      <c r="AAV12" s="184"/>
      <c r="AAW12" s="184"/>
      <c r="AAX12" s="184" t="s">
        <v>49</v>
      </c>
      <c r="AAY12" s="184"/>
      <c r="AAZ12" s="184"/>
      <c r="ABA12" s="184"/>
      <c r="ABB12" s="184"/>
      <c r="ABC12" s="184"/>
      <c r="ABD12" s="184"/>
      <c r="ABE12" s="184"/>
      <c r="ABF12" s="184"/>
      <c r="ABG12" s="184"/>
      <c r="ABH12" s="184"/>
      <c r="ABI12" s="184"/>
      <c r="ABJ12" s="184"/>
      <c r="ABK12" s="184"/>
      <c r="ABL12" s="184"/>
      <c r="ABM12" s="184"/>
      <c r="ABN12" s="184"/>
      <c r="ABO12" s="184"/>
      <c r="ABP12" s="184"/>
      <c r="ABQ12" s="184"/>
      <c r="ABR12" s="184"/>
      <c r="ABS12" s="184"/>
      <c r="ABT12" s="184"/>
      <c r="ABU12" s="184"/>
      <c r="ABV12" s="184"/>
      <c r="ABW12" s="184"/>
      <c r="ABX12" s="184"/>
      <c r="ABY12" s="184"/>
      <c r="ABZ12" s="184"/>
      <c r="ACA12" s="184"/>
      <c r="ACB12" s="184"/>
      <c r="ACC12" s="184"/>
      <c r="ACD12" s="184"/>
      <c r="ACE12" s="184"/>
      <c r="ACF12" s="184"/>
      <c r="ACG12" s="184"/>
      <c r="ACH12" s="184"/>
      <c r="ACI12" s="184"/>
      <c r="ACJ12" s="184"/>
      <c r="ACK12" s="184"/>
      <c r="ACL12" s="184"/>
      <c r="ACM12" s="184"/>
      <c r="ACN12" s="184"/>
      <c r="ACO12" s="184"/>
      <c r="ACP12" s="184"/>
      <c r="ACQ12" s="184"/>
      <c r="ACR12" s="184"/>
      <c r="ACS12" s="184"/>
      <c r="ACT12" s="184"/>
      <c r="ACU12" s="184"/>
      <c r="ACV12" s="184"/>
      <c r="ACW12" s="184"/>
      <c r="ACX12" s="184"/>
      <c r="ACY12" s="184"/>
      <c r="ACZ12" s="184"/>
      <c r="ADA12" s="184"/>
      <c r="ADB12" s="184"/>
      <c r="ADC12" s="184"/>
      <c r="ADD12" s="184"/>
      <c r="ADE12" s="184"/>
      <c r="ADF12" s="184" t="s">
        <v>48</v>
      </c>
      <c r="ADG12" s="184"/>
      <c r="ADH12" s="184"/>
      <c r="ADI12" s="184"/>
      <c r="ADJ12" s="184"/>
      <c r="ADK12" s="184"/>
      <c r="ADL12" s="184"/>
      <c r="ADM12" s="184"/>
      <c r="ADN12" s="184"/>
      <c r="ADO12" s="184"/>
      <c r="ADP12" s="184"/>
      <c r="ADQ12" s="184"/>
      <c r="ADR12" s="184"/>
      <c r="ADS12" s="184"/>
      <c r="ADT12" s="184"/>
      <c r="ADU12" s="184"/>
      <c r="ADV12" s="184"/>
      <c r="ADW12" s="184"/>
      <c r="ADX12" s="184"/>
      <c r="ADY12" s="184"/>
      <c r="ADZ12" s="184"/>
      <c r="AEA12" s="184"/>
      <c r="AEB12" s="184"/>
      <c r="AEC12" s="184"/>
      <c r="AED12" s="184"/>
      <c r="AEE12" s="184"/>
      <c r="AEF12" s="184"/>
      <c r="AEG12" s="184"/>
      <c r="AEH12" s="184"/>
      <c r="AEI12" s="184"/>
      <c r="AEJ12" s="184"/>
      <c r="AEK12" s="184"/>
      <c r="AEL12" s="184"/>
      <c r="AEM12" s="184"/>
      <c r="AEN12" s="184"/>
      <c r="AEO12" s="184"/>
      <c r="AEP12" s="184"/>
      <c r="AEQ12" s="184"/>
      <c r="AER12" s="184"/>
      <c r="AES12" s="184"/>
      <c r="AET12" s="184"/>
      <c r="AEU12" s="184"/>
      <c r="AEV12" s="184"/>
      <c r="AEW12" s="184"/>
      <c r="AEX12" s="184"/>
      <c r="AEY12" s="184"/>
      <c r="AEZ12" s="184"/>
      <c r="AFA12" s="184"/>
      <c r="AFB12" s="184"/>
      <c r="AFC12" s="184"/>
      <c r="AFD12" s="184"/>
      <c r="AFE12" s="184"/>
      <c r="AFF12" s="184"/>
      <c r="AFG12" s="184"/>
      <c r="AFH12" s="184"/>
      <c r="AFI12" s="184"/>
      <c r="AFJ12" s="184"/>
      <c r="AFK12" s="184"/>
      <c r="AFL12" s="184"/>
      <c r="AFM12" s="184"/>
      <c r="AFN12" s="184" t="s">
        <v>49</v>
      </c>
      <c r="AFO12" s="184"/>
      <c r="AFP12" s="184"/>
      <c r="AFQ12" s="184"/>
      <c r="AFR12" s="184"/>
      <c r="AFS12" s="184"/>
      <c r="AFT12" s="184"/>
      <c r="AFU12" s="184"/>
      <c r="AFV12" s="184"/>
      <c r="AFW12" s="184"/>
      <c r="AFX12" s="184"/>
      <c r="AFY12" s="184"/>
      <c r="AFZ12" s="184"/>
      <c r="AGA12" s="184"/>
      <c r="AGB12" s="184"/>
      <c r="AGC12" s="184"/>
      <c r="AGD12" s="184"/>
      <c r="AGE12" s="184"/>
      <c r="AGF12" s="184"/>
      <c r="AGG12" s="184"/>
      <c r="AGH12" s="184"/>
      <c r="AGI12" s="184"/>
      <c r="AGJ12" s="184"/>
      <c r="AGK12" s="184"/>
      <c r="AGL12" s="184"/>
      <c r="AGM12" s="184"/>
      <c r="AGN12" s="184"/>
      <c r="AGO12" s="184"/>
      <c r="AGP12" s="184"/>
      <c r="AGQ12" s="184"/>
      <c r="AGR12" s="184"/>
      <c r="AGS12" s="184"/>
      <c r="AGT12" s="184"/>
      <c r="AGU12" s="184"/>
      <c r="AGV12" s="184"/>
      <c r="AGW12" s="184"/>
      <c r="AGX12" s="184"/>
      <c r="AGY12" s="184"/>
      <c r="AGZ12" s="184"/>
      <c r="AHA12" s="184"/>
      <c r="AHB12" s="184"/>
      <c r="AHC12" s="184"/>
      <c r="AHD12" s="184"/>
      <c r="AHE12" s="184"/>
      <c r="AHF12" s="184"/>
      <c r="AHG12" s="184"/>
      <c r="AHH12" s="184"/>
      <c r="AHI12" s="184"/>
      <c r="AHJ12" s="184"/>
      <c r="AHK12" s="184"/>
      <c r="AHL12" s="184"/>
      <c r="AHM12" s="184"/>
      <c r="AHN12" s="184"/>
      <c r="AHO12" s="184"/>
      <c r="AHP12" s="184"/>
      <c r="AHQ12" s="184"/>
      <c r="AHR12" s="184"/>
      <c r="AHS12" s="184"/>
      <c r="AHT12" s="184"/>
      <c r="AHU12" s="184"/>
      <c r="AHV12" s="184" t="s">
        <v>48</v>
      </c>
      <c r="AHW12" s="184"/>
      <c r="AHX12" s="184"/>
      <c r="AHY12" s="184"/>
      <c r="AHZ12" s="184"/>
      <c r="AIA12" s="184"/>
      <c r="AIB12" s="184"/>
      <c r="AIC12" s="184"/>
      <c r="AID12" s="184"/>
      <c r="AIE12" s="184"/>
      <c r="AIF12" s="184"/>
      <c r="AIG12" s="184"/>
      <c r="AIH12" s="184"/>
      <c r="AII12" s="184"/>
      <c r="AIJ12" s="184"/>
      <c r="AIK12" s="184"/>
      <c r="AIL12" s="184"/>
      <c r="AIM12" s="184"/>
      <c r="AIN12" s="184"/>
      <c r="AIO12" s="184"/>
      <c r="AIP12" s="184"/>
      <c r="AIQ12" s="184"/>
      <c r="AIR12" s="184"/>
      <c r="AIS12" s="184"/>
      <c r="AIT12" s="184"/>
      <c r="AIU12" s="184"/>
      <c r="AIV12" s="184"/>
      <c r="AIW12" s="184"/>
      <c r="AIX12" s="184"/>
      <c r="AIY12" s="184"/>
      <c r="AIZ12" s="184"/>
      <c r="AJA12" s="184"/>
      <c r="AJB12" s="184"/>
      <c r="AJC12" s="184"/>
      <c r="AJD12" s="184"/>
      <c r="AJE12" s="184"/>
      <c r="AJF12" s="184"/>
      <c r="AJG12" s="184"/>
      <c r="AJH12" s="184"/>
      <c r="AJI12" s="184"/>
      <c r="AJJ12" s="184"/>
      <c r="AJK12" s="184"/>
      <c r="AJL12" s="184"/>
      <c r="AJM12" s="184"/>
      <c r="AJN12" s="184"/>
      <c r="AJO12" s="184"/>
      <c r="AJP12" s="184"/>
      <c r="AJQ12" s="184"/>
      <c r="AJR12" s="184"/>
      <c r="AJS12" s="184"/>
      <c r="AJT12" s="184"/>
      <c r="AJU12" s="184"/>
      <c r="AJV12" s="184"/>
      <c r="AJW12" s="184"/>
      <c r="AJX12" s="184"/>
      <c r="AJY12" s="184"/>
      <c r="AJZ12" s="184"/>
      <c r="AKA12" s="184"/>
      <c r="AKB12" s="184"/>
      <c r="AKC12" s="184"/>
      <c r="AKD12" s="184" t="s">
        <v>49</v>
      </c>
      <c r="AKE12" s="184"/>
      <c r="AKF12" s="184"/>
      <c r="AKG12" s="184"/>
      <c r="AKH12" s="184"/>
      <c r="AKI12" s="184"/>
      <c r="AKJ12" s="184"/>
      <c r="AKK12" s="184"/>
      <c r="AKL12" s="184"/>
      <c r="AKM12" s="184"/>
      <c r="AKN12" s="184"/>
      <c r="AKO12" s="184"/>
      <c r="AKP12" s="184"/>
      <c r="AKQ12" s="184"/>
      <c r="AKR12" s="184"/>
      <c r="AKS12" s="184"/>
      <c r="AKT12" s="184"/>
      <c r="AKU12" s="184"/>
      <c r="AKV12" s="184"/>
      <c r="AKW12" s="184"/>
      <c r="AKX12" s="184"/>
      <c r="AKY12" s="184"/>
      <c r="AKZ12" s="184"/>
      <c r="ALA12" s="184"/>
      <c r="ALB12" s="184"/>
      <c r="ALC12" s="184"/>
      <c r="ALD12" s="184"/>
      <c r="ALE12" s="184"/>
      <c r="ALF12" s="184"/>
      <c r="ALG12" s="184"/>
      <c r="ALH12" s="184"/>
      <c r="ALI12" s="184"/>
      <c r="ALJ12" s="184"/>
      <c r="ALK12" s="184"/>
      <c r="ALL12" s="184"/>
      <c r="ALM12" s="184"/>
      <c r="ALN12" s="184"/>
      <c r="ALO12" s="184"/>
      <c r="ALP12" s="184"/>
      <c r="ALQ12" s="184"/>
      <c r="ALR12" s="184"/>
      <c r="ALS12" s="184"/>
      <c r="ALT12" s="184"/>
      <c r="ALU12" s="184"/>
      <c r="ALV12" s="184"/>
      <c r="ALW12" s="184"/>
      <c r="ALX12" s="184"/>
      <c r="ALY12" s="184"/>
      <c r="ALZ12" s="184"/>
      <c r="AMA12" s="184"/>
      <c r="AMB12" s="184"/>
      <c r="AMC12" s="184"/>
      <c r="AMD12" s="184"/>
      <c r="AME12" s="184"/>
      <c r="AMF12" s="184"/>
      <c r="AMG12" s="184"/>
      <c r="AMH12" s="184"/>
      <c r="AMI12" s="184"/>
      <c r="AMJ12" s="184"/>
      <c r="AMK12" s="184"/>
      <c r="AML12" s="184" t="s">
        <v>48</v>
      </c>
      <c r="AMM12" s="184"/>
      <c r="AMN12" s="184"/>
      <c r="AMO12" s="184"/>
      <c r="AMP12" s="184"/>
      <c r="AMQ12" s="184"/>
      <c r="AMR12" s="184"/>
      <c r="AMS12" s="184"/>
      <c r="AMT12" s="184"/>
      <c r="AMU12" s="184"/>
      <c r="AMV12" s="184"/>
      <c r="AMW12" s="184"/>
      <c r="AMX12" s="184"/>
      <c r="AMY12" s="184"/>
      <c r="AMZ12" s="184"/>
      <c r="ANA12" s="184"/>
      <c r="ANB12" s="184"/>
      <c r="ANC12" s="184"/>
      <c r="AND12" s="184"/>
      <c r="ANE12" s="184"/>
      <c r="ANF12" s="184"/>
      <c r="ANG12" s="184"/>
      <c r="ANH12" s="184"/>
      <c r="ANI12" s="184"/>
      <c r="ANJ12" s="184"/>
      <c r="ANK12" s="184"/>
      <c r="ANL12" s="184"/>
      <c r="ANM12" s="184"/>
      <c r="ANN12" s="184"/>
      <c r="ANO12" s="184"/>
      <c r="ANP12" s="184"/>
      <c r="ANQ12" s="184"/>
      <c r="ANR12" s="184"/>
      <c r="ANS12" s="184"/>
      <c r="ANT12" s="184"/>
      <c r="ANU12" s="184"/>
      <c r="ANV12" s="184"/>
      <c r="ANW12" s="184"/>
      <c r="ANX12" s="184"/>
      <c r="ANY12" s="184"/>
      <c r="ANZ12" s="184"/>
      <c r="AOA12" s="184"/>
      <c r="AOB12" s="184"/>
      <c r="AOC12" s="184"/>
      <c r="AOD12" s="184"/>
      <c r="AOE12" s="184"/>
      <c r="AOF12" s="184"/>
      <c r="AOG12" s="184"/>
      <c r="AOH12" s="184"/>
      <c r="AOI12" s="184"/>
      <c r="AOJ12" s="184"/>
      <c r="AOK12" s="184"/>
      <c r="AOL12" s="184"/>
      <c r="AOM12" s="184"/>
      <c r="AON12" s="184"/>
      <c r="AOO12" s="184"/>
      <c r="AOP12" s="184"/>
      <c r="AOQ12" s="184"/>
      <c r="AOR12" s="184"/>
      <c r="AOS12" s="184"/>
      <c r="AOT12" s="184" t="s">
        <v>49</v>
      </c>
      <c r="AOU12" s="184"/>
      <c r="AOV12" s="184"/>
      <c r="AOW12" s="184"/>
      <c r="AOX12" s="184"/>
      <c r="AOY12" s="184"/>
      <c r="AOZ12" s="184"/>
      <c r="APA12" s="184"/>
      <c r="APB12" s="184"/>
      <c r="APC12" s="184"/>
      <c r="APD12" s="184"/>
      <c r="APE12" s="184"/>
      <c r="APF12" s="184"/>
      <c r="APG12" s="184"/>
      <c r="APH12" s="184"/>
      <c r="API12" s="184"/>
      <c r="APJ12" s="184"/>
      <c r="APK12" s="184"/>
      <c r="APL12" s="184"/>
      <c r="APM12" s="184"/>
      <c r="APN12" s="184"/>
      <c r="APO12" s="184"/>
      <c r="APP12" s="184"/>
      <c r="APQ12" s="184"/>
      <c r="APR12" s="184"/>
      <c r="APS12" s="184"/>
      <c r="APT12" s="184"/>
      <c r="APU12" s="184"/>
      <c r="APV12" s="184"/>
      <c r="APW12" s="184"/>
      <c r="APX12" s="184"/>
      <c r="APY12" s="184"/>
      <c r="APZ12" s="184"/>
      <c r="AQA12" s="184"/>
      <c r="AQB12" s="184"/>
      <c r="AQC12" s="184"/>
      <c r="AQD12" s="184"/>
      <c r="AQE12" s="184"/>
      <c r="AQF12" s="184"/>
      <c r="AQG12" s="184"/>
      <c r="AQH12" s="184"/>
      <c r="AQI12" s="184"/>
      <c r="AQJ12" s="184"/>
      <c r="AQK12" s="184"/>
      <c r="AQL12" s="184"/>
      <c r="AQM12" s="184"/>
      <c r="AQN12" s="184"/>
      <c r="AQO12" s="184"/>
      <c r="AQP12" s="184"/>
      <c r="AQQ12" s="184"/>
      <c r="AQR12" s="184"/>
      <c r="AQS12" s="184"/>
      <c r="AQT12" s="184"/>
      <c r="AQU12" s="184"/>
      <c r="AQV12" s="184"/>
      <c r="AQW12" s="184"/>
      <c r="AQX12" s="184"/>
      <c r="AQY12" s="184"/>
      <c r="AQZ12" s="184"/>
      <c r="ARA12" s="184"/>
      <c r="ARB12" s="184" t="s">
        <v>48</v>
      </c>
      <c r="ARC12" s="184"/>
      <c r="ARD12" s="184"/>
      <c r="ARE12" s="184"/>
      <c r="ARF12" s="184"/>
      <c r="ARG12" s="184"/>
      <c r="ARH12" s="184"/>
      <c r="ARI12" s="184"/>
      <c r="ARJ12" s="184"/>
      <c r="ARK12" s="184"/>
      <c r="ARL12" s="184"/>
      <c r="ARM12" s="184"/>
      <c r="ARN12" s="184"/>
      <c r="ARO12" s="184"/>
      <c r="ARP12" s="184"/>
      <c r="ARQ12" s="184"/>
      <c r="ARR12" s="184"/>
      <c r="ARS12" s="184"/>
      <c r="ART12" s="184"/>
      <c r="ARU12" s="184"/>
      <c r="ARV12" s="184"/>
      <c r="ARW12" s="184"/>
      <c r="ARX12" s="184"/>
      <c r="ARY12" s="184"/>
      <c r="ARZ12" s="184"/>
      <c r="ASA12" s="184"/>
      <c r="ASB12" s="184"/>
      <c r="ASC12" s="184"/>
      <c r="ASD12" s="184"/>
      <c r="ASE12" s="184"/>
      <c r="ASF12" s="184"/>
      <c r="ASG12" s="184"/>
      <c r="ASH12" s="184"/>
      <c r="ASI12" s="184"/>
      <c r="ASJ12" s="184"/>
      <c r="ASK12" s="184"/>
      <c r="ASL12" s="184"/>
      <c r="ASM12" s="184"/>
      <c r="ASN12" s="184"/>
      <c r="ASO12" s="184"/>
      <c r="ASP12" s="184"/>
      <c r="ASQ12" s="184"/>
      <c r="ASR12" s="184"/>
      <c r="ASS12" s="184"/>
      <c r="AST12" s="184"/>
      <c r="ASU12" s="184"/>
      <c r="ASV12" s="184"/>
      <c r="ASW12" s="184"/>
      <c r="ASX12" s="184"/>
      <c r="ASY12" s="184"/>
      <c r="ASZ12" s="184"/>
      <c r="ATA12" s="184"/>
      <c r="ATB12" s="184"/>
      <c r="ATC12" s="184"/>
      <c r="ATD12" s="184"/>
      <c r="ATE12" s="184"/>
      <c r="ATF12" s="184"/>
      <c r="ATG12" s="184"/>
      <c r="ATH12" s="184"/>
      <c r="ATI12" s="184"/>
      <c r="ATJ12" s="184" t="s">
        <v>49</v>
      </c>
      <c r="ATK12" s="184"/>
      <c r="ATL12" s="184"/>
      <c r="ATM12" s="184"/>
      <c r="ATN12" s="184"/>
      <c r="ATO12" s="184"/>
      <c r="ATP12" s="184"/>
      <c r="ATQ12" s="184"/>
      <c r="ATR12" s="184"/>
      <c r="ATS12" s="184"/>
      <c r="ATT12" s="184"/>
      <c r="ATU12" s="184"/>
      <c r="ATV12" s="184"/>
      <c r="ATW12" s="184"/>
      <c r="ATX12" s="184"/>
      <c r="ATY12" s="184"/>
      <c r="ATZ12" s="184"/>
      <c r="AUA12" s="184"/>
      <c r="AUB12" s="184"/>
      <c r="AUC12" s="184"/>
      <c r="AUD12" s="184"/>
      <c r="AUE12" s="184"/>
      <c r="AUF12" s="184"/>
      <c r="AUG12" s="184"/>
      <c r="AUH12" s="184"/>
      <c r="AUI12" s="184"/>
      <c r="AUJ12" s="184"/>
      <c r="AUK12" s="184"/>
      <c r="AUL12" s="184"/>
      <c r="AUM12" s="184"/>
      <c r="AUN12" s="184"/>
      <c r="AUO12" s="184"/>
      <c r="AUP12" s="184"/>
      <c r="AUQ12" s="184"/>
      <c r="AUR12" s="184"/>
      <c r="AUS12" s="184"/>
      <c r="AUT12" s="184"/>
      <c r="AUU12" s="184"/>
      <c r="AUV12" s="184"/>
      <c r="AUW12" s="184"/>
      <c r="AUX12" s="184"/>
      <c r="AUY12" s="184"/>
      <c r="AUZ12" s="184"/>
      <c r="AVA12" s="184"/>
      <c r="AVB12" s="184"/>
      <c r="AVC12" s="184"/>
      <c r="AVD12" s="184"/>
      <c r="AVE12" s="184"/>
      <c r="AVF12" s="184"/>
      <c r="AVG12" s="184"/>
      <c r="AVH12" s="184"/>
      <c r="AVI12" s="184"/>
      <c r="AVJ12" s="184"/>
      <c r="AVK12" s="184"/>
      <c r="AVL12" s="184"/>
      <c r="AVM12" s="184"/>
      <c r="AVN12" s="184"/>
      <c r="AVO12" s="184"/>
      <c r="AVP12" s="184"/>
      <c r="AVQ12" s="184"/>
      <c r="AVR12" s="184" t="s">
        <v>49</v>
      </c>
      <c r="AVS12" s="184"/>
      <c r="AVT12" s="184"/>
      <c r="AVU12" s="184"/>
      <c r="AVV12" s="184"/>
      <c r="AVW12" s="184"/>
      <c r="AVX12" s="184"/>
      <c r="AVY12" s="184"/>
      <c r="AVZ12" s="184"/>
      <c r="AWA12" s="184"/>
      <c r="AWB12" s="184"/>
      <c r="AWC12" s="184"/>
      <c r="AWD12" s="184"/>
      <c r="AWE12" s="184"/>
      <c r="AWF12" s="184"/>
      <c r="AWG12" s="184"/>
      <c r="AWH12" s="184"/>
      <c r="AWI12" s="184"/>
      <c r="AWJ12" s="184"/>
      <c r="AWK12" s="184"/>
      <c r="AWL12" s="184"/>
      <c r="AWM12" s="184"/>
      <c r="AWN12" s="184"/>
      <c r="AWO12" s="184"/>
      <c r="AWP12" s="184"/>
      <c r="AWQ12" s="184"/>
      <c r="AWR12" s="184"/>
      <c r="AWS12" s="184"/>
      <c r="AWT12" s="184"/>
      <c r="AWU12" s="184"/>
      <c r="AWV12" s="184"/>
      <c r="AWW12" s="184"/>
      <c r="AWX12" s="184"/>
      <c r="AWY12" s="184"/>
      <c r="AWZ12" s="184"/>
      <c r="AXA12" s="184"/>
      <c r="AXB12" s="184"/>
      <c r="AXC12" s="184"/>
      <c r="AXD12" s="184"/>
      <c r="AXE12" s="184"/>
      <c r="AXF12" s="184"/>
      <c r="AXG12" s="184"/>
      <c r="AXH12" s="184"/>
      <c r="AXI12" s="184"/>
      <c r="AXJ12" s="184"/>
      <c r="AXK12" s="184"/>
      <c r="AXL12" s="184"/>
      <c r="AXM12" s="184"/>
      <c r="AXN12" s="184"/>
      <c r="AXO12" s="184"/>
      <c r="AXP12" s="184"/>
      <c r="AXQ12" s="184"/>
      <c r="AXR12" s="184"/>
      <c r="AXS12" s="184"/>
      <c r="AXT12" s="184"/>
      <c r="AXU12" s="184"/>
      <c r="AXV12" s="184"/>
      <c r="AXW12" s="184"/>
      <c r="AXX12" s="184"/>
      <c r="AXY12" s="184"/>
      <c r="AXZ12" s="184" t="s">
        <v>48</v>
      </c>
      <c r="AYA12" s="184"/>
      <c r="AYB12" s="184"/>
      <c r="AYC12" s="184"/>
      <c r="AYD12" s="184"/>
      <c r="AYE12" s="184"/>
      <c r="AYF12" s="184"/>
      <c r="AYG12" s="184"/>
      <c r="AYH12" s="184"/>
      <c r="AYI12" s="184"/>
      <c r="AYJ12" s="184"/>
      <c r="AYK12" s="184"/>
      <c r="AYL12" s="184"/>
      <c r="AYM12" s="184"/>
      <c r="AYN12" s="184"/>
      <c r="AYO12" s="184"/>
      <c r="AYP12" s="184"/>
      <c r="AYQ12" s="184"/>
      <c r="AYR12" s="184"/>
      <c r="AYS12" s="184"/>
      <c r="AYT12" s="184"/>
      <c r="AYU12" s="184"/>
      <c r="AYV12" s="184"/>
      <c r="AYW12" s="184"/>
      <c r="AYX12" s="184"/>
      <c r="AYY12" s="184"/>
      <c r="AYZ12" s="184"/>
      <c r="AZA12" s="184"/>
      <c r="AZB12" s="184"/>
      <c r="AZC12" s="184"/>
      <c r="AZD12" s="184"/>
      <c r="AZE12" s="184"/>
      <c r="AZF12" s="184"/>
      <c r="AZG12" s="184"/>
      <c r="AZH12" s="184"/>
      <c r="AZI12" s="184"/>
      <c r="AZJ12" s="184"/>
      <c r="AZK12" s="184"/>
      <c r="AZL12" s="184"/>
      <c r="AZM12" s="184"/>
      <c r="AZN12" s="184"/>
      <c r="AZO12" s="184"/>
      <c r="AZP12" s="184"/>
      <c r="AZQ12" s="184"/>
      <c r="AZR12" s="184"/>
      <c r="AZS12" s="184"/>
      <c r="AZT12" s="184"/>
      <c r="AZU12" s="184"/>
      <c r="AZV12" s="184"/>
      <c r="AZW12" s="184"/>
      <c r="AZX12" s="184"/>
      <c r="AZY12" s="184"/>
      <c r="AZZ12" s="184"/>
      <c r="BAA12" s="184"/>
      <c r="BAB12" s="184"/>
      <c r="BAC12" s="184"/>
      <c r="BAD12" s="184"/>
      <c r="BAE12" s="184"/>
      <c r="BAF12" s="184"/>
      <c r="BAG12" s="184"/>
      <c r="BAH12" s="184" t="s">
        <v>49</v>
      </c>
      <c r="BAI12" s="184"/>
      <c r="BAJ12" s="184"/>
      <c r="BAK12" s="184"/>
      <c r="BAL12" s="184"/>
      <c r="BAM12" s="184"/>
      <c r="BAN12" s="184"/>
      <c r="BAO12" s="184"/>
      <c r="BAP12" s="184"/>
      <c r="BAQ12" s="184"/>
      <c r="BAR12" s="184"/>
      <c r="BAS12" s="184"/>
      <c r="BAT12" s="184"/>
      <c r="BAU12" s="184"/>
      <c r="BAV12" s="184"/>
      <c r="BAW12" s="184"/>
      <c r="BAX12" s="184"/>
      <c r="BAY12" s="184"/>
      <c r="BAZ12" s="184"/>
      <c r="BBA12" s="184"/>
      <c r="BBB12" s="184"/>
      <c r="BBC12" s="184"/>
      <c r="BBD12" s="184"/>
      <c r="BBE12" s="184"/>
      <c r="BBF12" s="184"/>
      <c r="BBG12" s="184"/>
      <c r="BBH12" s="184"/>
      <c r="BBI12" s="184"/>
      <c r="BBJ12" s="184"/>
      <c r="BBK12" s="184"/>
      <c r="BBL12" s="184"/>
      <c r="BBM12" s="184"/>
      <c r="BBN12" s="184"/>
      <c r="BBO12" s="184"/>
      <c r="BBP12" s="184"/>
      <c r="BBQ12" s="184"/>
      <c r="BBR12" s="184"/>
      <c r="BBS12" s="184"/>
      <c r="BBT12" s="184"/>
      <c r="BBU12" s="184"/>
      <c r="BBV12" s="184"/>
      <c r="BBW12" s="184"/>
      <c r="BBX12" s="184"/>
      <c r="BBY12" s="184"/>
      <c r="BBZ12" s="184"/>
      <c r="BCA12" s="184"/>
      <c r="BCB12" s="184"/>
      <c r="BCC12" s="184"/>
      <c r="BCD12" s="184"/>
      <c r="BCE12" s="184"/>
      <c r="BCF12" s="184"/>
      <c r="BCG12" s="184"/>
      <c r="BCH12" s="184"/>
      <c r="BCI12" s="184"/>
      <c r="BCJ12" s="184"/>
      <c r="BCK12" s="184"/>
      <c r="BCL12" s="184"/>
      <c r="BCM12" s="184"/>
      <c r="BCN12" s="184"/>
      <c r="BCO12" s="184"/>
      <c r="BCP12" s="184" t="s">
        <v>48</v>
      </c>
      <c r="BCQ12" s="184"/>
      <c r="BCR12" s="184"/>
      <c r="BCS12" s="184"/>
      <c r="BCT12" s="184"/>
      <c r="BCU12" s="184"/>
      <c r="BCV12" s="184"/>
      <c r="BCW12" s="184"/>
      <c r="BCX12" s="184"/>
      <c r="BCY12" s="184"/>
      <c r="BCZ12" s="184"/>
      <c r="BDA12" s="184"/>
      <c r="BDB12" s="184"/>
      <c r="BDC12" s="184"/>
      <c r="BDD12" s="184"/>
      <c r="BDE12" s="184"/>
      <c r="BDF12" s="184"/>
      <c r="BDG12" s="184"/>
      <c r="BDH12" s="184"/>
      <c r="BDI12" s="184"/>
      <c r="BDJ12" s="184"/>
      <c r="BDK12" s="184"/>
      <c r="BDL12" s="184"/>
      <c r="BDM12" s="184"/>
      <c r="BDN12" s="184"/>
      <c r="BDO12" s="184"/>
      <c r="BDP12" s="184"/>
      <c r="BDQ12" s="184"/>
      <c r="BDR12" s="184"/>
      <c r="BDS12" s="184"/>
      <c r="BDT12" s="184"/>
      <c r="BDU12" s="184"/>
      <c r="BDV12" s="184"/>
      <c r="BDW12" s="184"/>
      <c r="BDX12" s="184"/>
      <c r="BDY12" s="184"/>
      <c r="BDZ12" s="184"/>
      <c r="BEA12" s="184"/>
      <c r="BEB12" s="184"/>
      <c r="BEC12" s="184"/>
      <c r="BED12" s="184"/>
      <c r="BEE12" s="184"/>
      <c r="BEF12" s="184"/>
      <c r="BEG12" s="184"/>
      <c r="BEH12" s="184"/>
      <c r="BEI12" s="184"/>
      <c r="BEJ12" s="184"/>
      <c r="BEK12" s="184"/>
      <c r="BEL12" s="184"/>
      <c r="BEM12" s="184"/>
      <c r="BEN12" s="184"/>
      <c r="BEO12" s="184"/>
      <c r="BEP12" s="184"/>
      <c r="BEQ12" s="184"/>
      <c r="BER12" s="184"/>
      <c r="BES12" s="184"/>
      <c r="BET12" s="184"/>
      <c r="BEU12" s="184"/>
      <c r="BEV12" s="184"/>
      <c r="BEW12" s="184"/>
      <c r="BEX12" s="184" t="s">
        <v>49</v>
      </c>
      <c r="BEY12" s="184"/>
      <c r="BEZ12" s="184"/>
      <c r="BFA12" s="184"/>
      <c r="BFB12" s="184"/>
      <c r="BFC12" s="184"/>
      <c r="BFD12" s="184"/>
      <c r="BFE12" s="184"/>
      <c r="BFF12" s="184"/>
      <c r="BFG12" s="184"/>
      <c r="BFH12" s="184"/>
      <c r="BFI12" s="184"/>
      <c r="BFJ12" s="184"/>
      <c r="BFK12" s="184"/>
      <c r="BFL12" s="184"/>
      <c r="BFM12" s="184"/>
      <c r="BFN12" s="184"/>
      <c r="BFO12" s="184"/>
      <c r="BFP12" s="184"/>
      <c r="BFQ12" s="184"/>
      <c r="BFR12" s="184"/>
      <c r="BFS12" s="184"/>
      <c r="BFT12" s="184"/>
      <c r="BFU12" s="184"/>
      <c r="BFV12" s="184"/>
      <c r="BFW12" s="184"/>
      <c r="BFX12" s="184"/>
      <c r="BFY12" s="184"/>
      <c r="BFZ12" s="184"/>
      <c r="BGA12" s="184"/>
      <c r="BGB12" s="184"/>
      <c r="BGC12" s="184"/>
      <c r="BGD12" s="184"/>
      <c r="BGE12" s="184"/>
      <c r="BGF12" s="184"/>
      <c r="BGG12" s="184"/>
      <c r="BGH12" s="184"/>
      <c r="BGI12" s="184"/>
      <c r="BGJ12" s="184"/>
      <c r="BGK12" s="184"/>
      <c r="BGL12" s="184"/>
      <c r="BGM12" s="184"/>
      <c r="BGN12" s="184"/>
      <c r="BGO12" s="184"/>
      <c r="BGP12" s="184"/>
      <c r="BGQ12" s="184"/>
      <c r="BGR12" s="184"/>
      <c r="BGS12" s="184"/>
      <c r="BGT12" s="184"/>
      <c r="BGU12" s="184"/>
      <c r="BGV12" s="184"/>
      <c r="BGW12" s="184"/>
      <c r="BGX12" s="184"/>
      <c r="BGY12" s="184"/>
      <c r="BGZ12" s="184"/>
      <c r="BHA12" s="184"/>
      <c r="BHB12" s="184"/>
      <c r="BHC12" s="184"/>
      <c r="BHD12" s="184"/>
      <c r="BHE12" s="184"/>
      <c r="BHF12" s="184" t="s">
        <v>48</v>
      </c>
      <c r="BHG12" s="184"/>
      <c r="BHH12" s="184"/>
      <c r="BHI12" s="184"/>
      <c r="BHJ12" s="184"/>
      <c r="BHK12" s="184"/>
      <c r="BHL12" s="184"/>
      <c r="BHM12" s="184"/>
      <c r="BHN12" s="184"/>
      <c r="BHO12" s="184"/>
      <c r="BHP12" s="184"/>
      <c r="BHQ12" s="184"/>
      <c r="BHR12" s="184"/>
      <c r="BHS12" s="184"/>
      <c r="BHT12" s="184"/>
      <c r="BHU12" s="184"/>
      <c r="BHV12" s="184"/>
      <c r="BHW12" s="184"/>
      <c r="BHX12" s="184"/>
      <c r="BHY12" s="184"/>
      <c r="BHZ12" s="184"/>
      <c r="BIA12" s="184"/>
      <c r="BIB12" s="184"/>
      <c r="BIC12" s="184"/>
      <c r="BID12" s="184"/>
      <c r="BIE12" s="184"/>
      <c r="BIF12" s="184"/>
      <c r="BIG12" s="184"/>
      <c r="BIH12" s="184"/>
      <c r="BII12" s="184"/>
      <c r="BIJ12" s="184"/>
      <c r="BIK12" s="184"/>
      <c r="BIL12" s="184"/>
      <c r="BIM12" s="184"/>
      <c r="BIN12" s="184"/>
      <c r="BIO12" s="184"/>
      <c r="BIP12" s="184"/>
      <c r="BIQ12" s="184"/>
      <c r="BIR12" s="184"/>
      <c r="BIS12" s="184"/>
      <c r="BIT12" s="184"/>
      <c r="BIU12" s="184"/>
      <c r="BIV12" s="184"/>
      <c r="BIW12" s="184"/>
      <c r="BIX12" s="184"/>
      <c r="BIY12" s="184"/>
      <c r="BIZ12" s="184"/>
      <c r="BJA12" s="184"/>
      <c r="BJB12" s="184"/>
      <c r="BJC12" s="184"/>
      <c r="BJD12" s="184"/>
      <c r="BJE12" s="184"/>
      <c r="BJF12" s="184"/>
      <c r="BJG12" s="184"/>
      <c r="BJH12" s="184"/>
      <c r="BJI12" s="184"/>
      <c r="BJJ12" s="184"/>
      <c r="BJK12" s="184"/>
      <c r="BJL12" s="184"/>
      <c r="BJM12" s="184"/>
      <c r="BJN12" s="184"/>
      <c r="BJO12" s="184"/>
      <c r="BJP12" s="184"/>
      <c r="BJQ12" s="184"/>
      <c r="BJR12" s="184"/>
      <c r="BJS12" s="184"/>
      <c r="BJT12" s="184"/>
      <c r="BJU12" s="184"/>
      <c r="BJV12" s="184"/>
      <c r="BJW12" s="184"/>
      <c r="BJX12" s="184"/>
      <c r="BJY12" s="184"/>
      <c r="BJZ12" s="184"/>
      <c r="BKA12" s="184"/>
      <c r="BKB12" s="184"/>
      <c r="BKC12" s="184"/>
      <c r="BKD12" s="184"/>
      <c r="BKE12" s="184"/>
      <c r="BKF12" s="184"/>
      <c r="BKG12" s="184"/>
      <c r="BKH12" s="184"/>
      <c r="BKI12" s="184"/>
      <c r="BKJ12" s="184"/>
      <c r="BKK12" s="184"/>
      <c r="BKL12" s="184"/>
      <c r="BKM12" s="184"/>
      <c r="BKN12" s="184"/>
      <c r="BKO12" s="184"/>
      <c r="BKP12" s="184"/>
      <c r="BKQ12" s="184"/>
      <c r="BKR12" s="184"/>
      <c r="BKS12" s="184"/>
      <c r="BKT12" s="184"/>
      <c r="BKU12" s="184"/>
      <c r="BKV12" s="184"/>
      <c r="BKW12" s="184"/>
      <c r="BKX12" s="184"/>
      <c r="BKY12" s="184"/>
      <c r="BKZ12" s="184"/>
      <c r="BLA12" s="184"/>
      <c r="BLB12" s="184"/>
      <c r="BLC12" s="184"/>
      <c r="BLD12" s="184"/>
      <c r="BLE12" s="184"/>
      <c r="BLF12" s="184"/>
      <c r="BLG12" s="184"/>
      <c r="BLH12" s="184"/>
      <c r="BLI12" s="184"/>
      <c r="BLJ12" s="184"/>
      <c r="BLK12" s="184"/>
      <c r="BLL12" s="184"/>
      <c r="BLM12" s="184"/>
      <c r="BLN12" s="184"/>
      <c r="BLO12" s="184"/>
      <c r="BLP12" s="184"/>
      <c r="BLQ12" s="184"/>
      <c r="BLR12" s="184"/>
      <c r="BLS12" s="184"/>
      <c r="BLT12" s="184"/>
      <c r="BLU12" s="184"/>
      <c r="BLV12" s="184"/>
      <c r="BLW12" s="184"/>
      <c r="BLX12" s="184"/>
      <c r="BLY12" s="184"/>
      <c r="BLZ12" s="184"/>
      <c r="BMA12" s="184"/>
      <c r="BMB12" s="184"/>
      <c r="BMC12" s="184"/>
      <c r="BMD12" s="184"/>
      <c r="BME12" s="184"/>
      <c r="BMF12" s="184"/>
      <c r="BMG12" s="184"/>
      <c r="BMH12" s="184"/>
      <c r="BMI12" s="184"/>
      <c r="BMJ12" s="184"/>
      <c r="BMK12" s="184"/>
      <c r="BML12" s="184"/>
      <c r="BMM12" s="184"/>
      <c r="BMN12" s="184"/>
      <c r="BMO12" s="184"/>
      <c r="BMP12" s="184"/>
      <c r="BMQ12" s="184"/>
      <c r="BMR12" s="184"/>
      <c r="BMS12" s="184"/>
      <c r="BMT12" s="184"/>
      <c r="BMU12" s="184"/>
      <c r="BMV12" s="184"/>
      <c r="BMW12" s="184"/>
      <c r="BMX12" s="184"/>
      <c r="BMY12" s="184"/>
      <c r="BMZ12" s="184"/>
      <c r="BNA12" s="184"/>
      <c r="BNB12" s="184"/>
      <c r="BNC12" s="184"/>
      <c r="BND12" s="184"/>
      <c r="BNE12" s="184"/>
      <c r="BNF12" s="184"/>
      <c r="BNG12" s="184"/>
      <c r="BNH12" s="184"/>
      <c r="BNI12" s="184"/>
      <c r="BNJ12" s="184"/>
      <c r="BNK12" s="184"/>
      <c r="BNL12" s="184"/>
      <c r="BNM12" s="184"/>
      <c r="BNN12" s="184"/>
      <c r="BNO12" s="184"/>
      <c r="BNP12" s="184"/>
      <c r="BNQ12" s="184"/>
      <c r="BNR12" s="184"/>
      <c r="BNS12" s="184"/>
      <c r="BNT12" s="184"/>
      <c r="BNU12" s="184"/>
      <c r="BNV12" s="184"/>
      <c r="BNW12" s="184"/>
      <c r="BNX12" s="184"/>
      <c r="BNY12" s="184"/>
      <c r="BNZ12" s="184"/>
      <c r="BOA12" s="184"/>
      <c r="BOB12" s="184"/>
      <c r="BOC12" s="184"/>
      <c r="BOD12" s="184"/>
      <c r="BOE12" s="184"/>
      <c r="BOF12" s="184"/>
      <c r="BOG12" s="184"/>
      <c r="BOH12" s="184"/>
      <c r="BOI12" s="184"/>
      <c r="BOJ12" s="184"/>
      <c r="BOK12" s="184"/>
      <c r="BOL12" s="184"/>
      <c r="BOM12" s="184"/>
      <c r="BON12" s="184"/>
      <c r="BOO12" s="184"/>
      <c r="BOP12" s="184"/>
      <c r="BOQ12" s="184"/>
      <c r="BOR12" s="184"/>
      <c r="BOS12" s="184"/>
      <c r="BOT12" s="184"/>
      <c r="BOU12" s="184"/>
      <c r="BOV12" s="184"/>
      <c r="BOW12" s="184"/>
      <c r="BOX12" s="184"/>
      <c r="BOY12" s="184"/>
      <c r="BOZ12" s="184"/>
      <c r="BPA12" s="184"/>
      <c r="BPB12" s="184"/>
      <c r="BPC12" s="184"/>
      <c r="BPD12" s="184"/>
      <c r="BPE12" s="184"/>
      <c r="BPF12" s="184"/>
      <c r="BPG12" s="184"/>
      <c r="BPH12" s="184"/>
      <c r="BPI12" s="184"/>
      <c r="BPJ12" s="184"/>
      <c r="BPK12" s="184"/>
      <c r="BPL12" s="184"/>
      <c r="BPM12" s="184"/>
      <c r="BPN12" s="184"/>
      <c r="BPO12" s="184"/>
      <c r="BPP12" s="184"/>
      <c r="BPQ12" s="184"/>
      <c r="BPR12" s="184"/>
      <c r="BPS12" s="184"/>
      <c r="BPT12" s="184"/>
      <c r="BPU12" s="184"/>
      <c r="BPV12" s="184"/>
      <c r="BPW12" s="184"/>
      <c r="BPX12" s="184"/>
      <c r="BPY12" s="184"/>
      <c r="BPZ12" s="184"/>
      <c r="BQA12" s="184"/>
      <c r="BQB12" s="184"/>
      <c r="BQC12" s="184"/>
      <c r="BQD12" s="184"/>
      <c r="BQE12" s="184"/>
      <c r="BQF12" s="184"/>
      <c r="BQG12" s="184"/>
      <c r="BQH12" s="184"/>
      <c r="BQI12" s="184"/>
      <c r="BQJ12" s="184"/>
      <c r="BQK12" s="184"/>
      <c r="BQL12" s="184"/>
      <c r="BQM12" s="184"/>
      <c r="BQN12" s="184"/>
      <c r="BQO12" s="184"/>
      <c r="BQP12" s="184"/>
      <c r="BQQ12" s="184"/>
      <c r="BQR12" s="184"/>
      <c r="BQS12" s="184"/>
      <c r="BQT12" s="184"/>
      <c r="BQU12" s="184"/>
      <c r="BQV12" s="184"/>
      <c r="BQW12" s="184"/>
      <c r="BQX12" s="184"/>
      <c r="BQY12" s="184"/>
      <c r="BQZ12" s="184"/>
      <c r="BRA12" s="184"/>
      <c r="BRB12" s="184"/>
      <c r="BRC12" s="184"/>
      <c r="BRD12" s="184"/>
      <c r="BRE12" s="184"/>
      <c r="BRF12" s="184"/>
      <c r="BRG12" s="184"/>
      <c r="BRH12" s="184"/>
      <c r="BRI12" s="184"/>
      <c r="BRJ12" s="184"/>
      <c r="BRK12" s="184"/>
      <c r="BRL12" s="184"/>
      <c r="BRM12" s="184"/>
      <c r="BRN12" s="184"/>
      <c r="BRO12" s="184"/>
      <c r="BRP12" s="184"/>
      <c r="BRQ12" s="184"/>
      <c r="BRR12" s="184"/>
      <c r="BRS12" s="184"/>
      <c r="BRT12" s="184"/>
      <c r="BRU12" s="184"/>
      <c r="BRV12" s="184"/>
      <c r="BRW12" s="184"/>
      <c r="BRX12" s="184"/>
      <c r="BRY12" s="184"/>
      <c r="BRZ12" s="184"/>
      <c r="BSA12" s="184"/>
      <c r="BSB12" s="184"/>
      <c r="BSC12" s="184"/>
      <c r="BSD12" s="184"/>
      <c r="BSE12" s="184"/>
      <c r="BSF12" s="184"/>
      <c r="BSG12" s="184"/>
      <c r="BSH12" s="184"/>
      <c r="BSI12" s="184"/>
      <c r="BSJ12" s="184"/>
      <c r="BSK12" s="184"/>
      <c r="BSL12" s="184"/>
      <c r="BSM12" s="184"/>
      <c r="BSN12" s="184"/>
      <c r="BSO12" s="184"/>
      <c r="BSP12" s="184"/>
      <c r="BSQ12" s="184"/>
      <c r="BSR12" s="184"/>
      <c r="BSS12" s="184"/>
      <c r="BST12" s="184"/>
      <c r="BSU12" s="184"/>
      <c r="BSV12" s="184"/>
      <c r="BSW12" s="184"/>
      <c r="BSX12" s="184"/>
      <c r="BSY12" s="184"/>
      <c r="BSZ12" s="184"/>
      <c r="BTA12" s="184"/>
      <c r="BTB12" s="184"/>
      <c r="BTC12" s="184"/>
      <c r="BTD12" s="184"/>
      <c r="BTE12" s="184"/>
      <c r="BTF12" s="184"/>
      <c r="BTG12" s="184"/>
      <c r="BTH12" s="184"/>
      <c r="BTI12" s="184"/>
      <c r="BTJ12" s="184"/>
      <c r="BTK12" s="184"/>
      <c r="BTL12" s="184"/>
      <c r="BTM12" s="184"/>
      <c r="BTN12" s="184"/>
      <c r="BTO12" s="184"/>
      <c r="BTP12" s="184"/>
      <c r="BTQ12" s="184"/>
      <c r="BTR12" s="184"/>
      <c r="BTS12" s="184"/>
      <c r="BTT12" s="184"/>
      <c r="BTU12" s="184"/>
      <c r="BTV12" s="184"/>
      <c r="BTW12" s="184"/>
      <c r="BTX12" s="184"/>
      <c r="BTY12" s="184"/>
      <c r="BTZ12" s="184"/>
      <c r="BUA12" s="184"/>
      <c r="BUB12" s="184"/>
      <c r="BUC12" s="184"/>
      <c r="BUD12" s="184"/>
      <c r="BUE12" s="184"/>
      <c r="BUF12" s="184"/>
      <c r="BUG12" s="184"/>
      <c r="BUH12" s="184"/>
      <c r="BUI12" s="184"/>
      <c r="BUJ12" s="184"/>
      <c r="BUK12" s="184"/>
      <c r="BUL12" s="184"/>
      <c r="BUM12" s="184"/>
      <c r="BUN12" s="184"/>
      <c r="BUO12" s="184"/>
      <c r="BUP12" s="184"/>
      <c r="BUQ12" s="184"/>
      <c r="BUR12" s="184"/>
      <c r="BUS12" s="184"/>
      <c r="BUT12" s="184"/>
      <c r="BUU12" s="184"/>
      <c r="BUV12" s="184"/>
      <c r="BUW12" s="184"/>
      <c r="BUX12" s="184"/>
      <c r="BUY12" s="184"/>
      <c r="BUZ12" s="184"/>
      <c r="BVA12" s="184"/>
      <c r="BVB12" s="90"/>
    </row>
    <row r="13" spans="1:1926" ht="42.75" customHeight="1" thickBot="1" x14ac:dyDescent="0.3">
      <c r="B13" s="96"/>
      <c r="C13" s="191" t="s">
        <v>7</v>
      </c>
      <c r="D13" s="144"/>
      <c r="E13" s="193" t="s">
        <v>41</v>
      </c>
      <c r="F13" s="168" t="s">
        <v>8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28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19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168" t="s">
        <v>134</v>
      </c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70"/>
      <c r="IL13" s="168" t="s">
        <v>132</v>
      </c>
      <c r="IM13" s="169"/>
      <c r="IN13" s="169"/>
      <c r="IO13" s="169"/>
      <c r="IP13" s="169"/>
      <c r="IQ13" s="169"/>
      <c r="IR13" s="169"/>
      <c r="IS13" s="169"/>
      <c r="IT13" s="169"/>
      <c r="IU13" s="169"/>
      <c r="IV13" s="169"/>
      <c r="IW13" s="169"/>
      <c r="IX13" s="169"/>
      <c r="IY13" s="169"/>
      <c r="IZ13" s="169"/>
      <c r="JA13" s="169"/>
      <c r="JB13" s="169"/>
      <c r="JC13" s="169"/>
      <c r="JD13" s="169"/>
      <c r="JE13" s="169"/>
      <c r="JF13" s="169"/>
      <c r="JG13" s="169"/>
      <c r="JH13" s="169"/>
      <c r="JI13" s="169"/>
      <c r="JJ13" s="169"/>
      <c r="JK13" s="169"/>
      <c r="JL13" s="169"/>
      <c r="JM13" s="169"/>
      <c r="JN13" s="169"/>
      <c r="JO13" s="169"/>
      <c r="JP13" s="169"/>
      <c r="JQ13" s="169"/>
      <c r="JR13" s="169"/>
      <c r="JS13" s="169"/>
      <c r="JT13" s="169"/>
      <c r="JU13" s="169"/>
      <c r="JV13" s="169"/>
      <c r="JW13" s="169"/>
      <c r="JX13" s="169"/>
      <c r="JY13" s="169"/>
      <c r="JZ13" s="169"/>
      <c r="KA13" s="169"/>
      <c r="KB13" s="169"/>
      <c r="KC13" s="169"/>
      <c r="KD13" s="169"/>
      <c r="KE13" s="169"/>
      <c r="KF13" s="169"/>
      <c r="KG13" s="169"/>
      <c r="KH13" s="169"/>
      <c r="KI13" s="169"/>
      <c r="KJ13" s="169"/>
      <c r="KK13" s="169"/>
      <c r="KL13" s="169"/>
      <c r="KM13" s="169"/>
      <c r="KN13" s="169"/>
      <c r="KO13" s="169"/>
      <c r="KP13" s="169"/>
      <c r="KQ13" s="169"/>
      <c r="KR13" s="169"/>
      <c r="KS13" s="170"/>
      <c r="KT13" s="168" t="s">
        <v>131</v>
      </c>
      <c r="KU13" s="169"/>
      <c r="KV13" s="169"/>
      <c r="KW13" s="169"/>
      <c r="KX13" s="169"/>
      <c r="KY13" s="169"/>
      <c r="KZ13" s="169"/>
      <c r="LA13" s="169"/>
      <c r="LB13" s="169"/>
      <c r="LC13" s="169"/>
      <c r="LD13" s="169"/>
      <c r="LE13" s="169"/>
      <c r="LF13" s="169"/>
      <c r="LG13" s="169"/>
      <c r="LH13" s="169"/>
      <c r="LI13" s="169"/>
      <c r="LJ13" s="169"/>
      <c r="LK13" s="169"/>
      <c r="LL13" s="169"/>
      <c r="LM13" s="169"/>
      <c r="LN13" s="169"/>
      <c r="LO13" s="169"/>
      <c r="LP13" s="169"/>
      <c r="LQ13" s="169"/>
      <c r="LR13" s="169"/>
      <c r="LS13" s="169"/>
      <c r="LT13" s="169"/>
      <c r="LU13" s="169"/>
      <c r="LV13" s="169"/>
      <c r="LW13" s="169"/>
      <c r="LX13" s="169"/>
      <c r="LY13" s="169"/>
      <c r="LZ13" s="169"/>
      <c r="MA13" s="169"/>
      <c r="MB13" s="169"/>
      <c r="MC13" s="169"/>
      <c r="MD13" s="169"/>
      <c r="ME13" s="169"/>
      <c r="MF13" s="169"/>
      <c r="MG13" s="169"/>
      <c r="MH13" s="169"/>
      <c r="MI13" s="169"/>
      <c r="MJ13" s="169"/>
      <c r="MK13" s="169"/>
      <c r="ML13" s="169"/>
      <c r="MM13" s="169"/>
      <c r="MN13" s="169"/>
      <c r="MO13" s="169"/>
      <c r="MP13" s="169"/>
      <c r="MQ13" s="169"/>
      <c r="MR13" s="169"/>
      <c r="MS13" s="169"/>
      <c r="MT13" s="169"/>
      <c r="MU13" s="169"/>
      <c r="MV13" s="169"/>
      <c r="MW13" s="169"/>
      <c r="MX13" s="169"/>
      <c r="MY13" s="169"/>
      <c r="MZ13" s="169"/>
      <c r="NA13" s="170"/>
      <c r="NB13" s="168" t="s">
        <v>129</v>
      </c>
      <c r="NC13" s="169"/>
      <c r="ND13" s="169"/>
      <c r="NE13" s="169"/>
      <c r="NF13" s="169"/>
      <c r="NG13" s="169"/>
      <c r="NH13" s="169"/>
      <c r="NI13" s="169"/>
      <c r="NJ13" s="169"/>
      <c r="NK13" s="169"/>
      <c r="NL13" s="169"/>
      <c r="NM13" s="169"/>
      <c r="NN13" s="169"/>
      <c r="NO13" s="169"/>
      <c r="NP13" s="169"/>
      <c r="NQ13" s="169"/>
      <c r="NR13" s="169"/>
      <c r="NS13" s="169"/>
      <c r="NT13" s="169"/>
      <c r="NU13" s="169"/>
      <c r="NV13" s="169"/>
      <c r="NW13" s="169"/>
      <c r="NX13" s="169"/>
      <c r="NY13" s="169"/>
      <c r="NZ13" s="169"/>
      <c r="OA13" s="169"/>
      <c r="OB13" s="169"/>
      <c r="OC13" s="169"/>
      <c r="OD13" s="169"/>
      <c r="OE13" s="169"/>
      <c r="OF13" s="169"/>
      <c r="OG13" s="169"/>
      <c r="OH13" s="169"/>
      <c r="OI13" s="169"/>
      <c r="OJ13" s="169"/>
      <c r="OK13" s="169"/>
      <c r="OL13" s="169"/>
      <c r="OM13" s="169"/>
      <c r="ON13" s="169"/>
      <c r="OO13" s="169"/>
      <c r="OP13" s="169"/>
      <c r="OQ13" s="169"/>
      <c r="OR13" s="169"/>
      <c r="OS13" s="169"/>
      <c r="OT13" s="169"/>
      <c r="OU13" s="169"/>
      <c r="OV13" s="169"/>
      <c r="OW13" s="169"/>
      <c r="OX13" s="169"/>
      <c r="OY13" s="169"/>
      <c r="OZ13" s="169"/>
      <c r="PA13" s="169"/>
      <c r="PB13" s="169"/>
      <c r="PC13" s="169"/>
      <c r="PD13" s="169"/>
      <c r="PE13" s="169"/>
      <c r="PF13" s="169"/>
      <c r="PG13" s="169"/>
      <c r="PH13" s="169"/>
      <c r="PI13" s="170"/>
      <c r="PJ13" s="168" t="s">
        <v>128</v>
      </c>
      <c r="PK13" s="169"/>
      <c r="PL13" s="169"/>
      <c r="PM13" s="169"/>
      <c r="PN13" s="169"/>
      <c r="PO13" s="169"/>
      <c r="PP13" s="169"/>
      <c r="PQ13" s="169"/>
      <c r="PR13" s="169"/>
      <c r="PS13" s="169"/>
      <c r="PT13" s="169"/>
      <c r="PU13" s="169"/>
      <c r="PV13" s="169"/>
      <c r="PW13" s="169"/>
      <c r="PX13" s="169"/>
      <c r="PY13" s="169"/>
      <c r="PZ13" s="169"/>
      <c r="QA13" s="169"/>
      <c r="QB13" s="169"/>
      <c r="QC13" s="169"/>
      <c r="QD13" s="169"/>
      <c r="QE13" s="169"/>
      <c r="QF13" s="169"/>
      <c r="QG13" s="169"/>
      <c r="QH13" s="169"/>
      <c r="QI13" s="169"/>
      <c r="QJ13" s="169"/>
      <c r="QK13" s="169"/>
      <c r="QL13" s="169"/>
      <c r="QM13" s="169"/>
      <c r="QN13" s="169"/>
      <c r="QO13" s="169"/>
      <c r="QP13" s="169"/>
      <c r="QQ13" s="169"/>
      <c r="QR13" s="169"/>
      <c r="QS13" s="169"/>
      <c r="QT13" s="169"/>
      <c r="QU13" s="169"/>
      <c r="QV13" s="169"/>
      <c r="QW13" s="169"/>
      <c r="QX13" s="169"/>
      <c r="QY13" s="169"/>
      <c r="QZ13" s="169"/>
      <c r="RA13" s="169"/>
      <c r="RB13" s="169"/>
      <c r="RC13" s="169"/>
      <c r="RD13" s="169"/>
      <c r="RE13" s="169"/>
      <c r="RF13" s="169"/>
      <c r="RG13" s="169"/>
      <c r="RH13" s="169"/>
      <c r="RI13" s="169"/>
      <c r="RJ13" s="169"/>
      <c r="RK13" s="169"/>
      <c r="RL13" s="169"/>
      <c r="RM13" s="169"/>
      <c r="RN13" s="169"/>
      <c r="RO13" s="169"/>
      <c r="RP13" s="169"/>
      <c r="RQ13" s="170"/>
      <c r="RR13" s="168" t="s">
        <v>126</v>
      </c>
      <c r="RS13" s="169"/>
      <c r="RT13" s="169"/>
      <c r="RU13" s="169"/>
      <c r="RV13" s="169"/>
      <c r="RW13" s="169"/>
      <c r="RX13" s="169"/>
      <c r="RY13" s="169"/>
      <c r="RZ13" s="169"/>
      <c r="SA13" s="169"/>
      <c r="SB13" s="169"/>
      <c r="SC13" s="169"/>
      <c r="SD13" s="169"/>
      <c r="SE13" s="169"/>
      <c r="SF13" s="169"/>
      <c r="SG13" s="169"/>
      <c r="SH13" s="169"/>
      <c r="SI13" s="169"/>
      <c r="SJ13" s="169"/>
      <c r="SK13" s="169"/>
      <c r="SL13" s="169"/>
      <c r="SM13" s="169"/>
      <c r="SN13" s="169"/>
      <c r="SO13" s="169"/>
      <c r="SP13" s="169"/>
      <c r="SQ13" s="169"/>
      <c r="SR13" s="169"/>
      <c r="SS13" s="169"/>
      <c r="ST13" s="169"/>
      <c r="SU13" s="169"/>
      <c r="SV13" s="169"/>
      <c r="SW13" s="169"/>
      <c r="SX13" s="169"/>
      <c r="SY13" s="169"/>
      <c r="SZ13" s="169"/>
      <c r="TA13" s="169"/>
      <c r="TB13" s="169"/>
      <c r="TC13" s="169"/>
      <c r="TD13" s="169"/>
      <c r="TE13" s="169"/>
      <c r="TF13" s="169"/>
      <c r="TG13" s="169"/>
      <c r="TH13" s="169"/>
      <c r="TI13" s="169"/>
      <c r="TJ13" s="169"/>
      <c r="TK13" s="169"/>
      <c r="TL13" s="169"/>
      <c r="TM13" s="169"/>
      <c r="TN13" s="169"/>
      <c r="TO13" s="169"/>
      <c r="TP13" s="169"/>
      <c r="TQ13" s="169"/>
      <c r="TR13" s="169"/>
      <c r="TS13" s="169"/>
      <c r="TT13" s="169"/>
      <c r="TU13" s="169"/>
      <c r="TV13" s="169"/>
      <c r="TW13" s="169"/>
      <c r="TX13" s="169"/>
      <c r="TY13" s="170"/>
      <c r="TZ13" s="168" t="s">
        <v>125</v>
      </c>
      <c r="UA13" s="169"/>
      <c r="UB13" s="169"/>
      <c r="UC13" s="169"/>
      <c r="UD13" s="169"/>
      <c r="UE13" s="169"/>
      <c r="UF13" s="169"/>
      <c r="UG13" s="169"/>
      <c r="UH13" s="169"/>
      <c r="UI13" s="169"/>
      <c r="UJ13" s="169"/>
      <c r="UK13" s="169"/>
      <c r="UL13" s="169"/>
      <c r="UM13" s="169"/>
      <c r="UN13" s="169"/>
      <c r="UO13" s="169"/>
      <c r="UP13" s="169"/>
      <c r="UQ13" s="169"/>
      <c r="UR13" s="169"/>
      <c r="US13" s="169"/>
      <c r="UT13" s="169"/>
      <c r="UU13" s="169"/>
      <c r="UV13" s="169"/>
      <c r="UW13" s="169"/>
      <c r="UX13" s="169"/>
      <c r="UY13" s="169"/>
      <c r="UZ13" s="169"/>
      <c r="VA13" s="169"/>
      <c r="VB13" s="169"/>
      <c r="VC13" s="169"/>
      <c r="VD13" s="169"/>
      <c r="VE13" s="169"/>
      <c r="VF13" s="169"/>
      <c r="VG13" s="169"/>
      <c r="VH13" s="169"/>
      <c r="VI13" s="169"/>
      <c r="VJ13" s="169"/>
      <c r="VK13" s="169"/>
      <c r="VL13" s="169"/>
      <c r="VM13" s="169"/>
      <c r="VN13" s="169"/>
      <c r="VO13" s="169"/>
      <c r="VP13" s="169"/>
      <c r="VQ13" s="169"/>
      <c r="VR13" s="169"/>
      <c r="VS13" s="169"/>
      <c r="VT13" s="169"/>
      <c r="VU13" s="169"/>
      <c r="VV13" s="169"/>
      <c r="VW13" s="169"/>
      <c r="VX13" s="169"/>
      <c r="VY13" s="169"/>
      <c r="VZ13" s="169"/>
      <c r="WA13" s="169"/>
      <c r="WB13" s="169"/>
      <c r="WC13" s="169"/>
      <c r="WD13" s="169"/>
      <c r="WE13" s="169"/>
      <c r="WF13" s="169"/>
      <c r="WG13" s="170"/>
      <c r="WH13" s="168" t="s">
        <v>123</v>
      </c>
      <c r="WI13" s="169"/>
      <c r="WJ13" s="169"/>
      <c r="WK13" s="169"/>
      <c r="WL13" s="169"/>
      <c r="WM13" s="169"/>
      <c r="WN13" s="169"/>
      <c r="WO13" s="169"/>
      <c r="WP13" s="169"/>
      <c r="WQ13" s="169"/>
      <c r="WR13" s="169"/>
      <c r="WS13" s="169"/>
      <c r="WT13" s="169"/>
      <c r="WU13" s="169"/>
      <c r="WV13" s="169"/>
      <c r="WW13" s="169"/>
      <c r="WX13" s="169"/>
      <c r="WY13" s="169"/>
      <c r="WZ13" s="169"/>
      <c r="XA13" s="169"/>
      <c r="XB13" s="169"/>
      <c r="XC13" s="169"/>
      <c r="XD13" s="169"/>
      <c r="XE13" s="169"/>
      <c r="XF13" s="169"/>
      <c r="XG13" s="169"/>
      <c r="XH13" s="169"/>
      <c r="XI13" s="169"/>
      <c r="XJ13" s="169"/>
      <c r="XK13" s="169"/>
      <c r="XL13" s="169"/>
      <c r="XM13" s="169"/>
      <c r="XN13" s="169"/>
      <c r="XO13" s="169"/>
      <c r="XP13" s="169"/>
      <c r="XQ13" s="169"/>
      <c r="XR13" s="169"/>
      <c r="XS13" s="169"/>
      <c r="XT13" s="169"/>
      <c r="XU13" s="169"/>
      <c r="XV13" s="169"/>
      <c r="XW13" s="169"/>
      <c r="XX13" s="169"/>
      <c r="XY13" s="169"/>
      <c r="XZ13" s="169"/>
      <c r="YA13" s="169"/>
      <c r="YB13" s="169"/>
      <c r="YC13" s="169"/>
      <c r="YD13" s="169"/>
      <c r="YE13" s="169"/>
      <c r="YF13" s="169"/>
      <c r="YG13" s="169"/>
      <c r="YH13" s="169"/>
      <c r="YI13" s="169"/>
      <c r="YJ13" s="169"/>
      <c r="YK13" s="169"/>
      <c r="YL13" s="169"/>
      <c r="YM13" s="169"/>
      <c r="YN13" s="169"/>
      <c r="YO13" s="170"/>
      <c r="YP13" s="168" t="s">
        <v>121</v>
      </c>
      <c r="YQ13" s="169"/>
      <c r="YR13" s="169"/>
      <c r="YS13" s="169"/>
      <c r="YT13" s="169"/>
      <c r="YU13" s="169"/>
      <c r="YV13" s="169"/>
      <c r="YW13" s="169"/>
      <c r="YX13" s="169"/>
      <c r="YY13" s="169"/>
      <c r="YZ13" s="169"/>
      <c r="ZA13" s="169"/>
      <c r="ZB13" s="169"/>
      <c r="ZC13" s="169"/>
      <c r="ZD13" s="169"/>
      <c r="ZE13" s="169"/>
      <c r="ZF13" s="169"/>
      <c r="ZG13" s="169"/>
      <c r="ZH13" s="169"/>
      <c r="ZI13" s="169"/>
      <c r="ZJ13" s="169"/>
      <c r="ZK13" s="169"/>
      <c r="ZL13" s="169"/>
      <c r="ZM13" s="169"/>
      <c r="ZN13" s="169"/>
      <c r="ZO13" s="169"/>
      <c r="ZP13" s="169"/>
      <c r="ZQ13" s="169"/>
      <c r="ZR13" s="169"/>
      <c r="ZS13" s="169"/>
      <c r="ZT13" s="169"/>
      <c r="ZU13" s="169"/>
      <c r="ZV13" s="169"/>
      <c r="ZW13" s="169"/>
      <c r="ZX13" s="169"/>
      <c r="ZY13" s="169"/>
      <c r="ZZ13" s="169"/>
      <c r="AAA13" s="169"/>
      <c r="AAB13" s="169"/>
      <c r="AAC13" s="169"/>
      <c r="AAD13" s="169"/>
      <c r="AAE13" s="169"/>
      <c r="AAF13" s="169"/>
      <c r="AAG13" s="169"/>
      <c r="AAH13" s="169"/>
      <c r="AAI13" s="169"/>
      <c r="AAJ13" s="169"/>
      <c r="AAK13" s="169"/>
      <c r="AAL13" s="169"/>
      <c r="AAM13" s="169"/>
      <c r="AAN13" s="169"/>
      <c r="AAO13" s="169"/>
      <c r="AAP13" s="169"/>
      <c r="AAQ13" s="169"/>
      <c r="AAR13" s="169"/>
      <c r="AAS13" s="169"/>
      <c r="AAT13" s="169"/>
      <c r="AAU13" s="169"/>
      <c r="AAV13" s="169"/>
      <c r="AAW13" s="170"/>
      <c r="AAX13" s="168" t="s">
        <v>120</v>
      </c>
      <c r="AAY13" s="169"/>
      <c r="AAZ13" s="169"/>
      <c r="ABA13" s="169"/>
      <c r="ABB13" s="169"/>
      <c r="ABC13" s="169"/>
      <c r="ABD13" s="169"/>
      <c r="ABE13" s="169"/>
      <c r="ABF13" s="169"/>
      <c r="ABG13" s="169"/>
      <c r="ABH13" s="169"/>
      <c r="ABI13" s="169"/>
      <c r="ABJ13" s="169"/>
      <c r="ABK13" s="169"/>
      <c r="ABL13" s="169"/>
      <c r="ABM13" s="169"/>
      <c r="ABN13" s="169"/>
      <c r="ABO13" s="169"/>
      <c r="ABP13" s="169"/>
      <c r="ABQ13" s="169"/>
      <c r="ABR13" s="169"/>
      <c r="ABS13" s="169"/>
      <c r="ABT13" s="169"/>
      <c r="ABU13" s="169"/>
      <c r="ABV13" s="169"/>
      <c r="ABW13" s="169"/>
      <c r="ABX13" s="169"/>
      <c r="ABY13" s="169"/>
      <c r="ABZ13" s="169"/>
      <c r="ACA13" s="169"/>
      <c r="ACB13" s="169"/>
      <c r="ACC13" s="169"/>
      <c r="ACD13" s="169"/>
      <c r="ACE13" s="169"/>
      <c r="ACF13" s="169"/>
      <c r="ACG13" s="169"/>
      <c r="ACH13" s="169"/>
      <c r="ACI13" s="169"/>
      <c r="ACJ13" s="169"/>
      <c r="ACK13" s="169"/>
      <c r="ACL13" s="169"/>
      <c r="ACM13" s="169"/>
      <c r="ACN13" s="169"/>
      <c r="ACO13" s="169"/>
      <c r="ACP13" s="169"/>
      <c r="ACQ13" s="169"/>
      <c r="ACR13" s="169"/>
      <c r="ACS13" s="169"/>
      <c r="ACT13" s="169"/>
      <c r="ACU13" s="169"/>
      <c r="ACV13" s="169"/>
      <c r="ACW13" s="169"/>
      <c r="ACX13" s="169"/>
      <c r="ACY13" s="169"/>
      <c r="ACZ13" s="169"/>
      <c r="ADA13" s="169"/>
      <c r="ADB13" s="169"/>
      <c r="ADC13" s="169"/>
      <c r="ADD13" s="169"/>
      <c r="ADE13" s="170"/>
      <c r="ADF13" s="168" t="s">
        <v>118</v>
      </c>
      <c r="ADG13" s="169"/>
      <c r="ADH13" s="169"/>
      <c r="ADI13" s="169"/>
      <c r="ADJ13" s="169"/>
      <c r="ADK13" s="169"/>
      <c r="ADL13" s="169"/>
      <c r="ADM13" s="169"/>
      <c r="ADN13" s="169"/>
      <c r="ADO13" s="169"/>
      <c r="ADP13" s="169"/>
      <c r="ADQ13" s="169"/>
      <c r="ADR13" s="169"/>
      <c r="ADS13" s="169"/>
      <c r="ADT13" s="169"/>
      <c r="ADU13" s="169"/>
      <c r="ADV13" s="169"/>
      <c r="ADW13" s="169"/>
      <c r="ADX13" s="169"/>
      <c r="ADY13" s="169"/>
      <c r="ADZ13" s="169"/>
      <c r="AEA13" s="169"/>
      <c r="AEB13" s="169"/>
      <c r="AEC13" s="169"/>
      <c r="AED13" s="169"/>
      <c r="AEE13" s="169"/>
      <c r="AEF13" s="169"/>
      <c r="AEG13" s="169"/>
      <c r="AEH13" s="169"/>
      <c r="AEI13" s="169"/>
      <c r="AEJ13" s="169"/>
      <c r="AEK13" s="169"/>
      <c r="AEL13" s="169"/>
      <c r="AEM13" s="169"/>
      <c r="AEN13" s="169"/>
      <c r="AEO13" s="169"/>
      <c r="AEP13" s="169"/>
      <c r="AEQ13" s="169"/>
      <c r="AER13" s="169"/>
      <c r="AES13" s="169"/>
      <c r="AET13" s="169"/>
      <c r="AEU13" s="169"/>
      <c r="AEV13" s="169"/>
      <c r="AEW13" s="169"/>
      <c r="AEX13" s="169"/>
      <c r="AEY13" s="169"/>
      <c r="AEZ13" s="169"/>
      <c r="AFA13" s="169"/>
      <c r="AFB13" s="169"/>
      <c r="AFC13" s="169"/>
      <c r="AFD13" s="169"/>
      <c r="AFE13" s="169"/>
      <c r="AFF13" s="169"/>
      <c r="AFG13" s="169"/>
      <c r="AFH13" s="169"/>
      <c r="AFI13" s="169"/>
      <c r="AFJ13" s="169"/>
      <c r="AFK13" s="169"/>
      <c r="AFL13" s="169"/>
      <c r="AFM13" s="170"/>
      <c r="AFN13" s="168" t="s">
        <v>117</v>
      </c>
      <c r="AFO13" s="169"/>
      <c r="AFP13" s="169"/>
      <c r="AFQ13" s="169"/>
      <c r="AFR13" s="169"/>
      <c r="AFS13" s="169"/>
      <c r="AFT13" s="169"/>
      <c r="AFU13" s="169"/>
      <c r="AFV13" s="169"/>
      <c r="AFW13" s="169"/>
      <c r="AFX13" s="169"/>
      <c r="AFY13" s="169"/>
      <c r="AFZ13" s="169"/>
      <c r="AGA13" s="169"/>
      <c r="AGB13" s="169"/>
      <c r="AGC13" s="169"/>
      <c r="AGD13" s="169"/>
      <c r="AGE13" s="169"/>
      <c r="AGF13" s="169"/>
      <c r="AGG13" s="169"/>
      <c r="AGH13" s="169"/>
      <c r="AGI13" s="169"/>
      <c r="AGJ13" s="169"/>
      <c r="AGK13" s="169"/>
      <c r="AGL13" s="169"/>
      <c r="AGM13" s="169"/>
      <c r="AGN13" s="169"/>
      <c r="AGO13" s="169"/>
      <c r="AGP13" s="169"/>
      <c r="AGQ13" s="169"/>
      <c r="AGR13" s="169"/>
      <c r="AGS13" s="169"/>
      <c r="AGT13" s="169"/>
      <c r="AGU13" s="169"/>
      <c r="AGV13" s="169"/>
      <c r="AGW13" s="169"/>
      <c r="AGX13" s="169"/>
      <c r="AGY13" s="169"/>
      <c r="AGZ13" s="169"/>
      <c r="AHA13" s="169"/>
      <c r="AHB13" s="169"/>
      <c r="AHC13" s="169"/>
      <c r="AHD13" s="169"/>
      <c r="AHE13" s="169"/>
      <c r="AHF13" s="169"/>
      <c r="AHG13" s="169"/>
      <c r="AHH13" s="169"/>
      <c r="AHI13" s="169"/>
      <c r="AHJ13" s="169"/>
      <c r="AHK13" s="169"/>
      <c r="AHL13" s="169"/>
      <c r="AHM13" s="169"/>
      <c r="AHN13" s="169"/>
      <c r="AHO13" s="169"/>
      <c r="AHP13" s="169"/>
      <c r="AHQ13" s="169"/>
      <c r="AHR13" s="169"/>
      <c r="AHS13" s="169"/>
      <c r="AHT13" s="169"/>
      <c r="AHU13" s="170"/>
      <c r="AHV13" s="168" t="s">
        <v>115</v>
      </c>
      <c r="AHW13" s="169"/>
      <c r="AHX13" s="169"/>
      <c r="AHY13" s="169"/>
      <c r="AHZ13" s="169"/>
      <c r="AIA13" s="169"/>
      <c r="AIB13" s="169"/>
      <c r="AIC13" s="169"/>
      <c r="AID13" s="169"/>
      <c r="AIE13" s="169"/>
      <c r="AIF13" s="169"/>
      <c r="AIG13" s="169"/>
      <c r="AIH13" s="169"/>
      <c r="AII13" s="169"/>
      <c r="AIJ13" s="169"/>
      <c r="AIK13" s="169"/>
      <c r="AIL13" s="169"/>
      <c r="AIM13" s="169"/>
      <c r="AIN13" s="169"/>
      <c r="AIO13" s="169"/>
      <c r="AIP13" s="169"/>
      <c r="AIQ13" s="169"/>
      <c r="AIR13" s="169"/>
      <c r="AIS13" s="169"/>
      <c r="AIT13" s="169"/>
      <c r="AIU13" s="169"/>
      <c r="AIV13" s="169"/>
      <c r="AIW13" s="169"/>
      <c r="AIX13" s="169"/>
      <c r="AIY13" s="169"/>
      <c r="AIZ13" s="169"/>
      <c r="AJA13" s="169"/>
      <c r="AJB13" s="169"/>
      <c r="AJC13" s="169"/>
      <c r="AJD13" s="169"/>
      <c r="AJE13" s="169"/>
      <c r="AJF13" s="169"/>
      <c r="AJG13" s="169"/>
      <c r="AJH13" s="169"/>
      <c r="AJI13" s="169"/>
      <c r="AJJ13" s="169"/>
      <c r="AJK13" s="169"/>
      <c r="AJL13" s="169"/>
      <c r="AJM13" s="169"/>
      <c r="AJN13" s="169"/>
      <c r="AJO13" s="169"/>
      <c r="AJP13" s="169"/>
      <c r="AJQ13" s="169"/>
      <c r="AJR13" s="169"/>
      <c r="AJS13" s="169"/>
      <c r="AJT13" s="169"/>
      <c r="AJU13" s="169"/>
      <c r="AJV13" s="169"/>
      <c r="AJW13" s="169"/>
      <c r="AJX13" s="169"/>
      <c r="AJY13" s="169"/>
      <c r="AJZ13" s="169"/>
      <c r="AKA13" s="169"/>
      <c r="AKB13" s="169"/>
      <c r="AKC13" s="170"/>
      <c r="AKD13" s="168" t="s">
        <v>114</v>
      </c>
      <c r="AKE13" s="169"/>
      <c r="AKF13" s="169"/>
      <c r="AKG13" s="169"/>
      <c r="AKH13" s="169"/>
      <c r="AKI13" s="169"/>
      <c r="AKJ13" s="169"/>
      <c r="AKK13" s="169"/>
      <c r="AKL13" s="169"/>
      <c r="AKM13" s="169"/>
      <c r="AKN13" s="169"/>
      <c r="AKO13" s="169"/>
      <c r="AKP13" s="169"/>
      <c r="AKQ13" s="169"/>
      <c r="AKR13" s="169"/>
      <c r="AKS13" s="169"/>
      <c r="AKT13" s="169"/>
      <c r="AKU13" s="169"/>
      <c r="AKV13" s="169"/>
      <c r="AKW13" s="169"/>
      <c r="AKX13" s="169"/>
      <c r="AKY13" s="169"/>
      <c r="AKZ13" s="169"/>
      <c r="ALA13" s="169"/>
      <c r="ALB13" s="169"/>
      <c r="ALC13" s="169"/>
      <c r="ALD13" s="169"/>
      <c r="ALE13" s="169"/>
      <c r="ALF13" s="169"/>
      <c r="ALG13" s="169"/>
      <c r="ALH13" s="169"/>
      <c r="ALI13" s="169"/>
      <c r="ALJ13" s="169"/>
      <c r="ALK13" s="169"/>
      <c r="ALL13" s="169"/>
      <c r="ALM13" s="169"/>
      <c r="ALN13" s="169"/>
      <c r="ALO13" s="169"/>
      <c r="ALP13" s="169"/>
      <c r="ALQ13" s="169"/>
      <c r="ALR13" s="169"/>
      <c r="ALS13" s="169"/>
      <c r="ALT13" s="169"/>
      <c r="ALU13" s="169"/>
      <c r="ALV13" s="169"/>
      <c r="ALW13" s="169"/>
      <c r="ALX13" s="169"/>
      <c r="ALY13" s="169"/>
      <c r="ALZ13" s="169"/>
      <c r="AMA13" s="169"/>
      <c r="AMB13" s="169"/>
      <c r="AMC13" s="169"/>
      <c r="AMD13" s="169"/>
      <c r="AME13" s="169"/>
      <c r="AMF13" s="169"/>
      <c r="AMG13" s="169"/>
      <c r="AMH13" s="169"/>
      <c r="AMI13" s="169"/>
      <c r="AMJ13" s="169"/>
      <c r="AMK13" s="170"/>
      <c r="AML13" s="168" t="s">
        <v>112</v>
      </c>
      <c r="AMM13" s="169"/>
      <c r="AMN13" s="169"/>
      <c r="AMO13" s="169"/>
      <c r="AMP13" s="169"/>
      <c r="AMQ13" s="169"/>
      <c r="AMR13" s="169"/>
      <c r="AMS13" s="169"/>
      <c r="AMT13" s="169"/>
      <c r="AMU13" s="169"/>
      <c r="AMV13" s="169"/>
      <c r="AMW13" s="169"/>
      <c r="AMX13" s="169"/>
      <c r="AMY13" s="169"/>
      <c r="AMZ13" s="169"/>
      <c r="ANA13" s="169"/>
      <c r="ANB13" s="169"/>
      <c r="ANC13" s="169"/>
      <c r="AND13" s="169"/>
      <c r="ANE13" s="169"/>
      <c r="ANF13" s="169"/>
      <c r="ANG13" s="169"/>
      <c r="ANH13" s="169"/>
      <c r="ANI13" s="169"/>
      <c r="ANJ13" s="169"/>
      <c r="ANK13" s="169"/>
      <c r="ANL13" s="169"/>
      <c r="ANM13" s="169"/>
      <c r="ANN13" s="169"/>
      <c r="ANO13" s="169"/>
      <c r="ANP13" s="169"/>
      <c r="ANQ13" s="169"/>
      <c r="ANR13" s="169"/>
      <c r="ANS13" s="169"/>
      <c r="ANT13" s="169"/>
      <c r="ANU13" s="169"/>
      <c r="ANV13" s="169"/>
      <c r="ANW13" s="169"/>
      <c r="ANX13" s="169"/>
      <c r="ANY13" s="169"/>
      <c r="ANZ13" s="169"/>
      <c r="AOA13" s="169"/>
      <c r="AOB13" s="169"/>
      <c r="AOC13" s="169"/>
      <c r="AOD13" s="169"/>
      <c r="AOE13" s="169"/>
      <c r="AOF13" s="169"/>
      <c r="AOG13" s="169"/>
      <c r="AOH13" s="169"/>
      <c r="AOI13" s="169"/>
      <c r="AOJ13" s="169"/>
      <c r="AOK13" s="169"/>
      <c r="AOL13" s="169"/>
      <c r="AOM13" s="169"/>
      <c r="AON13" s="169"/>
      <c r="AOO13" s="169"/>
      <c r="AOP13" s="169"/>
      <c r="AOQ13" s="169"/>
      <c r="AOR13" s="169"/>
      <c r="AOS13" s="170"/>
      <c r="AOT13" s="168" t="s">
        <v>111</v>
      </c>
      <c r="AOU13" s="169"/>
      <c r="AOV13" s="169"/>
      <c r="AOW13" s="169"/>
      <c r="AOX13" s="169"/>
      <c r="AOY13" s="169"/>
      <c r="AOZ13" s="169"/>
      <c r="APA13" s="169"/>
      <c r="APB13" s="169"/>
      <c r="APC13" s="169"/>
      <c r="APD13" s="169"/>
      <c r="APE13" s="169"/>
      <c r="APF13" s="169"/>
      <c r="APG13" s="169"/>
      <c r="APH13" s="169"/>
      <c r="API13" s="169"/>
      <c r="APJ13" s="169"/>
      <c r="APK13" s="169"/>
      <c r="APL13" s="169"/>
      <c r="APM13" s="169"/>
      <c r="APN13" s="169"/>
      <c r="APO13" s="169"/>
      <c r="APP13" s="169"/>
      <c r="APQ13" s="169"/>
      <c r="APR13" s="169"/>
      <c r="APS13" s="169"/>
      <c r="APT13" s="169"/>
      <c r="APU13" s="169"/>
      <c r="APV13" s="169"/>
      <c r="APW13" s="169"/>
      <c r="APX13" s="169"/>
      <c r="APY13" s="169"/>
      <c r="APZ13" s="169"/>
      <c r="AQA13" s="169"/>
      <c r="AQB13" s="169"/>
      <c r="AQC13" s="169"/>
      <c r="AQD13" s="169"/>
      <c r="AQE13" s="169"/>
      <c r="AQF13" s="169"/>
      <c r="AQG13" s="169"/>
      <c r="AQH13" s="169"/>
      <c r="AQI13" s="169"/>
      <c r="AQJ13" s="169"/>
      <c r="AQK13" s="169"/>
      <c r="AQL13" s="169"/>
      <c r="AQM13" s="169"/>
      <c r="AQN13" s="169"/>
      <c r="AQO13" s="169"/>
      <c r="AQP13" s="169"/>
      <c r="AQQ13" s="169"/>
      <c r="AQR13" s="169"/>
      <c r="AQS13" s="169"/>
      <c r="AQT13" s="169"/>
      <c r="AQU13" s="169"/>
      <c r="AQV13" s="169"/>
      <c r="AQW13" s="169"/>
      <c r="AQX13" s="169"/>
      <c r="AQY13" s="169"/>
      <c r="AQZ13" s="169"/>
      <c r="ARA13" s="170"/>
      <c r="ARB13" s="168" t="s">
        <v>109</v>
      </c>
      <c r="ARC13" s="169"/>
      <c r="ARD13" s="169"/>
      <c r="ARE13" s="169"/>
      <c r="ARF13" s="169"/>
      <c r="ARG13" s="169"/>
      <c r="ARH13" s="169"/>
      <c r="ARI13" s="169"/>
      <c r="ARJ13" s="169"/>
      <c r="ARK13" s="169"/>
      <c r="ARL13" s="169"/>
      <c r="ARM13" s="169"/>
      <c r="ARN13" s="169"/>
      <c r="ARO13" s="169"/>
      <c r="ARP13" s="169"/>
      <c r="ARQ13" s="169"/>
      <c r="ARR13" s="169"/>
      <c r="ARS13" s="169"/>
      <c r="ART13" s="169"/>
      <c r="ARU13" s="169"/>
      <c r="ARV13" s="169"/>
      <c r="ARW13" s="169"/>
      <c r="ARX13" s="169"/>
      <c r="ARY13" s="169"/>
      <c r="ARZ13" s="169"/>
      <c r="ASA13" s="169"/>
      <c r="ASB13" s="169"/>
      <c r="ASC13" s="169"/>
      <c r="ASD13" s="169"/>
      <c r="ASE13" s="169"/>
      <c r="ASF13" s="169"/>
      <c r="ASG13" s="169"/>
      <c r="ASH13" s="169"/>
      <c r="ASI13" s="169"/>
      <c r="ASJ13" s="169"/>
      <c r="ASK13" s="169"/>
      <c r="ASL13" s="169"/>
      <c r="ASM13" s="169"/>
      <c r="ASN13" s="169"/>
      <c r="ASO13" s="169"/>
      <c r="ASP13" s="169"/>
      <c r="ASQ13" s="169"/>
      <c r="ASR13" s="169"/>
      <c r="ASS13" s="169"/>
      <c r="AST13" s="169"/>
      <c r="ASU13" s="169"/>
      <c r="ASV13" s="169"/>
      <c r="ASW13" s="169"/>
      <c r="ASX13" s="169"/>
      <c r="ASY13" s="169"/>
      <c r="ASZ13" s="169"/>
      <c r="ATA13" s="169"/>
      <c r="ATB13" s="169"/>
      <c r="ATC13" s="169"/>
      <c r="ATD13" s="169"/>
      <c r="ATE13" s="169"/>
      <c r="ATF13" s="169"/>
      <c r="ATG13" s="169"/>
      <c r="ATH13" s="169"/>
      <c r="ATI13" s="170"/>
      <c r="ATJ13" s="168" t="s">
        <v>107</v>
      </c>
      <c r="ATK13" s="169"/>
      <c r="ATL13" s="169"/>
      <c r="ATM13" s="169"/>
      <c r="ATN13" s="169"/>
      <c r="ATO13" s="169"/>
      <c r="ATP13" s="169"/>
      <c r="ATQ13" s="169"/>
      <c r="ATR13" s="169"/>
      <c r="ATS13" s="169"/>
      <c r="ATT13" s="169"/>
      <c r="ATU13" s="169"/>
      <c r="ATV13" s="169"/>
      <c r="ATW13" s="169"/>
      <c r="ATX13" s="169"/>
      <c r="ATY13" s="169"/>
      <c r="ATZ13" s="169"/>
      <c r="AUA13" s="169"/>
      <c r="AUB13" s="169"/>
      <c r="AUC13" s="169"/>
      <c r="AUD13" s="169"/>
      <c r="AUE13" s="169"/>
      <c r="AUF13" s="169"/>
      <c r="AUG13" s="169"/>
      <c r="AUH13" s="169"/>
      <c r="AUI13" s="169"/>
      <c r="AUJ13" s="169"/>
      <c r="AUK13" s="169"/>
      <c r="AUL13" s="169"/>
      <c r="AUM13" s="169"/>
      <c r="AUN13" s="169"/>
      <c r="AUO13" s="169"/>
      <c r="AUP13" s="169"/>
      <c r="AUQ13" s="169"/>
      <c r="AUR13" s="169"/>
      <c r="AUS13" s="169"/>
      <c r="AUT13" s="169"/>
      <c r="AUU13" s="169"/>
      <c r="AUV13" s="169"/>
      <c r="AUW13" s="169"/>
      <c r="AUX13" s="169"/>
      <c r="AUY13" s="169"/>
      <c r="AUZ13" s="169"/>
      <c r="AVA13" s="169"/>
      <c r="AVB13" s="169"/>
      <c r="AVC13" s="169"/>
      <c r="AVD13" s="169"/>
      <c r="AVE13" s="169"/>
      <c r="AVF13" s="169"/>
      <c r="AVG13" s="169"/>
      <c r="AVH13" s="169"/>
      <c r="AVI13" s="169"/>
      <c r="AVJ13" s="169"/>
      <c r="AVK13" s="169"/>
      <c r="AVL13" s="169"/>
      <c r="AVM13" s="169"/>
      <c r="AVN13" s="169"/>
      <c r="AVO13" s="169"/>
      <c r="AVP13" s="169"/>
      <c r="AVQ13" s="170"/>
      <c r="AVR13" s="168" t="s">
        <v>106</v>
      </c>
      <c r="AVS13" s="169"/>
      <c r="AVT13" s="169"/>
      <c r="AVU13" s="169"/>
      <c r="AVV13" s="169"/>
      <c r="AVW13" s="169"/>
      <c r="AVX13" s="169"/>
      <c r="AVY13" s="169"/>
      <c r="AVZ13" s="169"/>
      <c r="AWA13" s="169"/>
      <c r="AWB13" s="169"/>
      <c r="AWC13" s="169"/>
      <c r="AWD13" s="169"/>
      <c r="AWE13" s="169"/>
      <c r="AWF13" s="169"/>
      <c r="AWG13" s="169"/>
      <c r="AWH13" s="169"/>
      <c r="AWI13" s="169"/>
      <c r="AWJ13" s="169"/>
      <c r="AWK13" s="169"/>
      <c r="AWL13" s="169"/>
      <c r="AWM13" s="169"/>
      <c r="AWN13" s="169"/>
      <c r="AWO13" s="169"/>
      <c r="AWP13" s="169"/>
      <c r="AWQ13" s="169"/>
      <c r="AWR13" s="169"/>
      <c r="AWS13" s="169"/>
      <c r="AWT13" s="169"/>
      <c r="AWU13" s="169"/>
      <c r="AWV13" s="169"/>
      <c r="AWW13" s="169"/>
      <c r="AWX13" s="169"/>
      <c r="AWY13" s="169"/>
      <c r="AWZ13" s="169"/>
      <c r="AXA13" s="169"/>
      <c r="AXB13" s="169"/>
      <c r="AXC13" s="169"/>
      <c r="AXD13" s="169"/>
      <c r="AXE13" s="169"/>
      <c r="AXF13" s="169"/>
      <c r="AXG13" s="169"/>
      <c r="AXH13" s="169"/>
      <c r="AXI13" s="169"/>
      <c r="AXJ13" s="169"/>
      <c r="AXK13" s="169"/>
      <c r="AXL13" s="169"/>
      <c r="AXM13" s="169"/>
      <c r="AXN13" s="169"/>
      <c r="AXO13" s="169"/>
      <c r="AXP13" s="169"/>
      <c r="AXQ13" s="169"/>
      <c r="AXR13" s="169"/>
      <c r="AXS13" s="169"/>
      <c r="AXT13" s="169"/>
      <c r="AXU13" s="169"/>
      <c r="AXV13" s="169"/>
      <c r="AXW13" s="169"/>
      <c r="AXX13" s="169"/>
      <c r="AXY13" s="170"/>
      <c r="AXZ13" s="168" t="s">
        <v>104</v>
      </c>
      <c r="AYA13" s="169"/>
      <c r="AYB13" s="169"/>
      <c r="AYC13" s="169"/>
      <c r="AYD13" s="169"/>
      <c r="AYE13" s="169"/>
      <c r="AYF13" s="169"/>
      <c r="AYG13" s="169"/>
      <c r="AYH13" s="169"/>
      <c r="AYI13" s="169"/>
      <c r="AYJ13" s="169"/>
      <c r="AYK13" s="169"/>
      <c r="AYL13" s="169"/>
      <c r="AYM13" s="169"/>
      <c r="AYN13" s="169"/>
      <c r="AYO13" s="169"/>
      <c r="AYP13" s="169"/>
      <c r="AYQ13" s="169"/>
      <c r="AYR13" s="169"/>
      <c r="AYS13" s="169"/>
      <c r="AYT13" s="169"/>
      <c r="AYU13" s="169"/>
      <c r="AYV13" s="169"/>
      <c r="AYW13" s="169"/>
      <c r="AYX13" s="169"/>
      <c r="AYY13" s="169"/>
      <c r="AYZ13" s="169"/>
      <c r="AZA13" s="169"/>
      <c r="AZB13" s="169"/>
      <c r="AZC13" s="169"/>
      <c r="AZD13" s="169"/>
      <c r="AZE13" s="169"/>
      <c r="AZF13" s="169"/>
      <c r="AZG13" s="169"/>
      <c r="AZH13" s="169"/>
      <c r="AZI13" s="169"/>
      <c r="AZJ13" s="169"/>
      <c r="AZK13" s="169"/>
      <c r="AZL13" s="169"/>
      <c r="AZM13" s="169"/>
      <c r="AZN13" s="169"/>
      <c r="AZO13" s="169"/>
      <c r="AZP13" s="169"/>
      <c r="AZQ13" s="169"/>
      <c r="AZR13" s="169"/>
      <c r="AZS13" s="169"/>
      <c r="AZT13" s="169"/>
      <c r="AZU13" s="169"/>
      <c r="AZV13" s="169"/>
      <c r="AZW13" s="169"/>
      <c r="AZX13" s="169"/>
      <c r="AZY13" s="169"/>
      <c r="AZZ13" s="169"/>
      <c r="BAA13" s="169"/>
      <c r="BAB13" s="169"/>
      <c r="BAC13" s="169"/>
      <c r="BAD13" s="169"/>
      <c r="BAE13" s="169"/>
      <c r="BAF13" s="169"/>
      <c r="BAG13" s="170"/>
      <c r="BAH13" s="168" t="s">
        <v>103</v>
      </c>
      <c r="BAI13" s="169"/>
      <c r="BAJ13" s="169"/>
      <c r="BAK13" s="169"/>
      <c r="BAL13" s="169"/>
      <c r="BAM13" s="169"/>
      <c r="BAN13" s="169"/>
      <c r="BAO13" s="169"/>
      <c r="BAP13" s="169"/>
      <c r="BAQ13" s="169"/>
      <c r="BAR13" s="169"/>
      <c r="BAS13" s="169"/>
      <c r="BAT13" s="169"/>
      <c r="BAU13" s="169"/>
      <c r="BAV13" s="169"/>
      <c r="BAW13" s="169"/>
      <c r="BAX13" s="169"/>
      <c r="BAY13" s="169"/>
      <c r="BAZ13" s="169"/>
      <c r="BBA13" s="169"/>
      <c r="BBB13" s="169"/>
      <c r="BBC13" s="169"/>
      <c r="BBD13" s="169"/>
      <c r="BBE13" s="169"/>
      <c r="BBF13" s="169"/>
      <c r="BBG13" s="169"/>
      <c r="BBH13" s="169"/>
      <c r="BBI13" s="169"/>
      <c r="BBJ13" s="169"/>
      <c r="BBK13" s="169"/>
      <c r="BBL13" s="169"/>
      <c r="BBM13" s="169"/>
      <c r="BBN13" s="169"/>
      <c r="BBO13" s="169"/>
      <c r="BBP13" s="169"/>
      <c r="BBQ13" s="169"/>
      <c r="BBR13" s="169"/>
      <c r="BBS13" s="169"/>
      <c r="BBT13" s="169"/>
      <c r="BBU13" s="169"/>
      <c r="BBV13" s="169"/>
      <c r="BBW13" s="169"/>
      <c r="BBX13" s="169"/>
      <c r="BBY13" s="169"/>
      <c r="BBZ13" s="169"/>
      <c r="BCA13" s="169"/>
      <c r="BCB13" s="169"/>
      <c r="BCC13" s="169"/>
      <c r="BCD13" s="169"/>
      <c r="BCE13" s="169"/>
      <c r="BCF13" s="169"/>
      <c r="BCG13" s="169"/>
      <c r="BCH13" s="169"/>
      <c r="BCI13" s="169"/>
      <c r="BCJ13" s="169"/>
      <c r="BCK13" s="169"/>
      <c r="BCL13" s="169"/>
      <c r="BCM13" s="169"/>
      <c r="BCN13" s="169"/>
      <c r="BCO13" s="170"/>
      <c r="BCP13" s="168" t="s">
        <v>101</v>
      </c>
      <c r="BCQ13" s="169"/>
      <c r="BCR13" s="169"/>
      <c r="BCS13" s="169"/>
      <c r="BCT13" s="169"/>
      <c r="BCU13" s="169"/>
      <c r="BCV13" s="169"/>
      <c r="BCW13" s="169"/>
      <c r="BCX13" s="169"/>
      <c r="BCY13" s="169"/>
      <c r="BCZ13" s="169"/>
      <c r="BDA13" s="169"/>
      <c r="BDB13" s="169"/>
      <c r="BDC13" s="169"/>
      <c r="BDD13" s="169"/>
      <c r="BDE13" s="169"/>
      <c r="BDF13" s="169"/>
      <c r="BDG13" s="169"/>
      <c r="BDH13" s="169"/>
      <c r="BDI13" s="169"/>
      <c r="BDJ13" s="169"/>
      <c r="BDK13" s="169"/>
      <c r="BDL13" s="169"/>
      <c r="BDM13" s="169"/>
      <c r="BDN13" s="169"/>
      <c r="BDO13" s="169"/>
      <c r="BDP13" s="169"/>
      <c r="BDQ13" s="169"/>
      <c r="BDR13" s="169"/>
      <c r="BDS13" s="169"/>
      <c r="BDT13" s="169"/>
      <c r="BDU13" s="169"/>
      <c r="BDV13" s="169"/>
      <c r="BDW13" s="169"/>
      <c r="BDX13" s="169"/>
      <c r="BDY13" s="169"/>
      <c r="BDZ13" s="169"/>
      <c r="BEA13" s="169"/>
      <c r="BEB13" s="169"/>
      <c r="BEC13" s="169"/>
      <c r="BED13" s="169"/>
      <c r="BEE13" s="169"/>
      <c r="BEF13" s="169"/>
      <c r="BEG13" s="169"/>
      <c r="BEH13" s="169"/>
      <c r="BEI13" s="169"/>
      <c r="BEJ13" s="169"/>
      <c r="BEK13" s="169"/>
      <c r="BEL13" s="169"/>
      <c r="BEM13" s="169"/>
      <c r="BEN13" s="169"/>
      <c r="BEO13" s="169"/>
      <c r="BEP13" s="169"/>
      <c r="BEQ13" s="169"/>
      <c r="BER13" s="169"/>
      <c r="BES13" s="169"/>
      <c r="BET13" s="169"/>
      <c r="BEU13" s="169"/>
      <c r="BEV13" s="169"/>
      <c r="BEW13" s="170"/>
      <c r="BEX13" s="168" t="s">
        <v>100</v>
      </c>
      <c r="BEY13" s="169"/>
      <c r="BEZ13" s="169"/>
      <c r="BFA13" s="169"/>
      <c r="BFB13" s="169"/>
      <c r="BFC13" s="169"/>
      <c r="BFD13" s="169"/>
      <c r="BFE13" s="169"/>
      <c r="BFF13" s="169"/>
      <c r="BFG13" s="169"/>
      <c r="BFH13" s="169"/>
      <c r="BFI13" s="169"/>
      <c r="BFJ13" s="169"/>
      <c r="BFK13" s="169"/>
      <c r="BFL13" s="169"/>
      <c r="BFM13" s="169"/>
      <c r="BFN13" s="169"/>
      <c r="BFO13" s="169"/>
      <c r="BFP13" s="169"/>
      <c r="BFQ13" s="169"/>
      <c r="BFR13" s="169"/>
      <c r="BFS13" s="169"/>
      <c r="BFT13" s="169"/>
      <c r="BFU13" s="169"/>
      <c r="BFV13" s="169"/>
      <c r="BFW13" s="169"/>
      <c r="BFX13" s="169"/>
      <c r="BFY13" s="169"/>
      <c r="BFZ13" s="169"/>
      <c r="BGA13" s="169"/>
      <c r="BGB13" s="169"/>
      <c r="BGC13" s="169"/>
      <c r="BGD13" s="169"/>
      <c r="BGE13" s="169"/>
      <c r="BGF13" s="169"/>
      <c r="BGG13" s="169"/>
      <c r="BGH13" s="169"/>
      <c r="BGI13" s="169"/>
      <c r="BGJ13" s="169"/>
      <c r="BGK13" s="169"/>
      <c r="BGL13" s="169"/>
      <c r="BGM13" s="169"/>
      <c r="BGN13" s="169"/>
      <c r="BGO13" s="169"/>
      <c r="BGP13" s="169"/>
      <c r="BGQ13" s="169"/>
      <c r="BGR13" s="169"/>
      <c r="BGS13" s="169"/>
      <c r="BGT13" s="169"/>
      <c r="BGU13" s="169"/>
      <c r="BGV13" s="169"/>
      <c r="BGW13" s="169"/>
      <c r="BGX13" s="169"/>
      <c r="BGY13" s="169"/>
      <c r="BGZ13" s="169"/>
      <c r="BHA13" s="169"/>
      <c r="BHB13" s="169"/>
      <c r="BHC13" s="169"/>
      <c r="BHD13" s="169"/>
      <c r="BHE13" s="170"/>
      <c r="BHF13" s="168" t="s">
        <v>98</v>
      </c>
      <c r="BHG13" s="169"/>
      <c r="BHH13" s="169"/>
      <c r="BHI13" s="169"/>
      <c r="BHJ13" s="169"/>
      <c r="BHK13" s="169"/>
      <c r="BHL13" s="169"/>
      <c r="BHM13" s="169"/>
      <c r="BHN13" s="169"/>
      <c r="BHO13" s="169"/>
      <c r="BHP13" s="169"/>
      <c r="BHQ13" s="169"/>
      <c r="BHR13" s="169"/>
      <c r="BHS13" s="169"/>
      <c r="BHT13" s="169"/>
      <c r="BHU13" s="169"/>
      <c r="BHV13" s="169"/>
      <c r="BHW13" s="169"/>
      <c r="BHX13" s="169"/>
      <c r="BHY13" s="169"/>
      <c r="BHZ13" s="169"/>
      <c r="BIA13" s="169"/>
      <c r="BIB13" s="169"/>
      <c r="BIC13" s="169"/>
      <c r="BID13" s="169"/>
      <c r="BIE13" s="169"/>
      <c r="BIF13" s="169"/>
      <c r="BIG13" s="169"/>
      <c r="BIH13" s="169"/>
      <c r="BII13" s="169"/>
      <c r="BIJ13" s="169"/>
      <c r="BIK13" s="169"/>
      <c r="BIL13" s="169"/>
      <c r="BIM13" s="169"/>
      <c r="BIN13" s="169"/>
      <c r="BIO13" s="169"/>
      <c r="BIP13" s="169"/>
      <c r="BIQ13" s="169"/>
      <c r="BIR13" s="169"/>
      <c r="BIS13" s="169"/>
      <c r="BIT13" s="169"/>
      <c r="BIU13" s="169"/>
      <c r="BIV13" s="169"/>
      <c r="BIW13" s="169"/>
      <c r="BIX13" s="169"/>
      <c r="BIY13" s="169"/>
      <c r="BIZ13" s="169"/>
      <c r="BJA13" s="169"/>
      <c r="BJB13" s="169"/>
      <c r="BJC13" s="169"/>
      <c r="BJD13" s="169"/>
      <c r="BJE13" s="169"/>
      <c r="BJF13" s="169"/>
      <c r="BJG13" s="169"/>
      <c r="BJH13" s="169"/>
      <c r="BJI13" s="169"/>
      <c r="BJJ13" s="169"/>
      <c r="BJK13" s="169"/>
      <c r="BJL13" s="169"/>
      <c r="BJM13" s="170"/>
      <c r="BJN13" s="168" t="s">
        <v>12</v>
      </c>
      <c r="BJO13" s="169"/>
      <c r="BJP13" s="169"/>
      <c r="BJQ13" s="169"/>
      <c r="BJR13" s="169"/>
      <c r="BJS13" s="169"/>
      <c r="BJT13" s="169"/>
      <c r="BJU13" s="169"/>
      <c r="BJV13" s="169"/>
      <c r="BJW13" s="169"/>
      <c r="BJX13" s="169"/>
      <c r="BJY13" s="169"/>
      <c r="BJZ13" s="169"/>
      <c r="BKA13" s="169"/>
      <c r="BKB13" s="169"/>
      <c r="BKC13" s="169"/>
      <c r="BKD13" s="169"/>
      <c r="BKE13" s="169"/>
      <c r="BKF13" s="169"/>
      <c r="BKG13" s="169"/>
      <c r="BKH13" s="169"/>
      <c r="BKI13" s="169"/>
      <c r="BKJ13" s="169"/>
      <c r="BKK13" s="169"/>
      <c r="BKL13" s="169"/>
      <c r="BKM13" s="169"/>
      <c r="BKN13" s="169"/>
      <c r="BKO13" s="169"/>
      <c r="BKP13" s="169"/>
      <c r="BKQ13" s="169"/>
      <c r="BKR13" s="169"/>
      <c r="BKS13" s="169"/>
      <c r="BKT13" s="169"/>
      <c r="BKU13" s="169"/>
      <c r="BKV13" s="169"/>
      <c r="BKW13" s="169"/>
      <c r="BKX13" s="169"/>
      <c r="BKY13" s="169"/>
      <c r="BKZ13" s="169"/>
      <c r="BLA13" s="169"/>
      <c r="BLB13" s="169"/>
      <c r="BLC13" s="169"/>
      <c r="BLD13" s="169"/>
      <c r="BLE13" s="169"/>
      <c r="BLF13" s="169"/>
      <c r="BLG13" s="169"/>
      <c r="BLH13" s="169"/>
      <c r="BLI13" s="169"/>
      <c r="BLJ13" s="169"/>
      <c r="BLK13" s="169"/>
      <c r="BLL13" s="169"/>
      <c r="BLM13" s="169"/>
      <c r="BLN13" s="169"/>
      <c r="BLO13" s="169"/>
      <c r="BLP13" s="169"/>
      <c r="BLQ13" s="169"/>
      <c r="BLR13" s="169"/>
      <c r="BLS13" s="169"/>
      <c r="BLT13" s="169"/>
      <c r="BLU13" s="170"/>
      <c r="BLV13" s="168" t="s">
        <v>12</v>
      </c>
      <c r="BLW13" s="169"/>
      <c r="BLX13" s="169"/>
      <c r="BLY13" s="169"/>
      <c r="BLZ13" s="169"/>
      <c r="BMA13" s="169"/>
      <c r="BMB13" s="169"/>
      <c r="BMC13" s="169"/>
      <c r="BMD13" s="169"/>
      <c r="BME13" s="169"/>
      <c r="BMF13" s="169"/>
      <c r="BMG13" s="169"/>
      <c r="BMH13" s="169"/>
      <c r="BMI13" s="169"/>
      <c r="BMJ13" s="169"/>
      <c r="BMK13" s="169"/>
      <c r="BML13" s="169"/>
      <c r="BMM13" s="169"/>
      <c r="BMN13" s="169"/>
      <c r="BMO13" s="169"/>
      <c r="BMP13" s="169"/>
      <c r="BMQ13" s="169"/>
      <c r="BMR13" s="169"/>
      <c r="BMS13" s="169"/>
      <c r="BMT13" s="169"/>
      <c r="BMU13" s="169"/>
      <c r="BMV13" s="169"/>
      <c r="BMW13" s="169"/>
      <c r="BMX13" s="169"/>
      <c r="BMY13" s="169"/>
      <c r="BMZ13" s="169"/>
      <c r="BNA13" s="169"/>
      <c r="BNB13" s="169"/>
      <c r="BNC13" s="169"/>
      <c r="BND13" s="169"/>
      <c r="BNE13" s="169"/>
      <c r="BNF13" s="169"/>
      <c r="BNG13" s="169"/>
      <c r="BNH13" s="169"/>
      <c r="BNI13" s="169"/>
      <c r="BNJ13" s="169"/>
      <c r="BNK13" s="169"/>
      <c r="BNL13" s="169"/>
      <c r="BNM13" s="169"/>
      <c r="BNN13" s="169"/>
      <c r="BNO13" s="169"/>
      <c r="BNP13" s="169"/>
      <c r="BNQ13" s="169"/>
      <c r="BNR13" s="169"/>
      <c r="BNS13" s="169"/>
      <c r="BNT13" s="169"/>
      <c r="BNU13" s="169"/>
      <c r="BNV13" s="169"/>
      <c r="BNW13" s="169"/>
      <c r="BNX13" s="169"/>
      <c r="BNY13" s="169"/>
      <c r="BNZ13" s="169"/>
      <c r="BOA13" s="169"/>
      <c r="BOB13" s="169"/>
      <c r="BOC13" s="170"/>
      <c r="BOD13" s="168" t="s">
        <v>12</v>
      </c>
      <c r="BOE13" s="169"/>
      <c r="BOF13" s="169"/>
      <c r="BOG13" s="169"/>
      <c r="BOH13" s="169"/>
      <c r="BOI13" s="169"/>
      <c r="BOJ13" s="169"/>
      <c r="BOK13" s="169"/>
      <c r="BOL13" s="169"/>
      <c r="BOM13" s="169"/>
      <c r="BON13" s="169"/>
      <c r="BOO13" s="169"/>
      <c r="BOP13" s="169"/>
      <c r="BOQ13" s="169"/>
      <c r="BOR13" s="169"/>
      <c r="BOS13" s="169"/>
      <c r="BOT13" s="169"/>
      <c r="BOU13" s="169"/>
      <c r="BOV13" s="169"/>
      <c r="BOW13" s="169"/>
      <c r="BOX13" s="169"/>
      <c r="BOY13" s="169"/>
      <c r="BOZ13" s="169"/>
      <c r="BPA13" s="169"/>
      <c r="BPB13" s="169"/>
      <c r="BPC13" s="169"/>
      <c r="BPD13" s="169"/>
      <c r="BPE13" s="169"/>
      <c r="BPF13" s="169"/>
      <c r="BPG13" s="169"/>
      <c r="BPH13" s="169"/>
      <c r="BPI13" s="169"/>
      <c r="BPJ13" s="169"/>
      <c r="BPK13" s="169"/>
      <c r="BPL13" s="169"/>
      <c r="BPM13" s="169"/>
      <c r="BPN13" s="169"/>
      <c r="BPO13" s="169"/>
      <c r="BPP13" s="169"/>
      <c r="BPQ13" s="169"/>
      <c r="BPR13" s="169"/>
      <c r="BPS13" s="169"/>
      <c r="BPT13" s="169"/>
      <c r="BPU13" s="169"/>
      <c r="BPV13" s="169"/>
      <c r="BPW13" s="169"/>
      <c r="BPX13" s="169"/>
      <c r="BPY13" s="169"/>
      <c r="BPZ13" s="169"/>
      <c r="BQA13" s="169"/>
      <c r="BQB13" s="169"/>
      <c r="BQC13" s="169"/>
      <c r="BQD13" s="169"/>
      <c r="BQE13" s="169"/>
      <c r="BQF13" s="169"/>
      <c r="BQG13" s="169"/>
      <c r="BQH13" s="169"/>
      <c r="BQI13" s="169"/>
      <c r="BQJ13" s="169"/>
      <c r="BQK13" s="170"/>
      <c r="BQL13" s="168" t="s">
        <v>12</v>
      </c>
      <c r="BQM13" s="169"/>
      <c r="BQN13" s="169"/>
      <c r="BQO13" s="169"/>
      <c r="BQP13" s="169"/>
      <c r="BQQ13" s="169"/>
      <c r="BQR13" s="169"/>
      <c r="BQS13" s="169"/>
      <c r="BQT13" s="169"/>
      <c r="BQU13" s="169"/>
      <c r="BQV13" s="169"/>
      <c r="BQW13" s="169"/>
      <c r="BQX13" s="169"/>
      <c r="BQY13" s="169"/>
      <c r="BQZ13" s="169"/>
      <c r="BRA13" s="169"/>
      <c r="BRB13" s="169"/>
      <c r="BRC13" s="169"/>
      <c r="BRD13" s="169"/>
      <c r="BRE13" s="169"/>
      <c r="BRF13" s="169"/>
      <c r="BRG13" s="169"/>
      <c r="BRH13" s="169"/>
      <c r="BRI13" s="169"/>
      <c r="BRJ13" s="169"/>
      <c r="BRK13" s="169"/>
      <c r="BRL13" s="169"/>
      <c r="BRM13" s="169"/>
      <c r="BRN13" s="169"/>
      <c r="BRO13" s="169"/>
      <c r="BRP13" s="169"/>
      <c r="BRQ13" s="169"/>
      <c r="BRR13" s="169"/>
      <c r="BRS13" s="169"/>
      <c r="BRT13" s="169"/>
      <c r="BRU13" s="169"/>
      <c r="BRV13" s="169"/>
      <c r="BRW13" s="169"/>
      <c r="BRX13" s="169"/>
      <c r="BRY13" s="169"/>
      <c r="BRZ13" s="169"/>
      <c r="BSA13" s="169"/>
      <c r="BSB13" s="169"/>
      <c r="BSC13" s="169"/>
      <c r="BSD13" s="169"/>
      <c r="BSE13" s="169"/>
      <c r="BSF13" s="169"/>
      <c r="BSG13" s="169"/>
      <c r="BSH13" s="169"/>
      <c r="BSI13" s="169"/>
      <c r="BSJ13" s="169"/>
      <c r="BSK13" s="169"/>
      <c r="BSL13" s="169"/>
      <c r="BSM13" s="169"/>
      <c r="BSN13" s="169"/>
      <c r="BSO13" s="169"/>
      <c r="BSP13" s="169"/>
      <c r="BSQ13" s="169"/>
      <c r="BSR13" s="169"/>
      <c r="BSS13" s="170"/>
      <c r="BST13" s="168" t="s">
        <v>12</v>
      </c>
      <c r="BSU13" s="169"/>
      <c r="BSV13" s="169"/>
      <c r="BSW13" s="169"/>
      <c r="BSX13" s="169"/>
      <c r="BSY13" s="169"/>
      <c r="BSZ13" s="169"/>
      <c r="BTA13" s="169"/>
      <c r="BTB13" s="169"/>
      <c r="BTC13" s="169"/>
      <c r="BTD13" s="169"/>
      <c r="BTE13" s="169"/>
      <c r="BTF13" s="169"/>
      <c r="BTG13" s="169"/>
      <c r="BTH13" s="169"/>
      <c r="BTI13" s="169"/>
      <c r="BTJ13" s="169"/>
      <c r="BTK13" s="169"/>
      <c r="BTL13" s="169"/>
      <c r="BTM13" s="169"/>
      <c r="BTN13" s="169"/>
      <c r="BTO13" s="169"/>
      <c r="BTP13" s="169"/>
      <c r="BTQ13" s="169"/>
      <c r="BTR13" s="169"/>
      <c r="BTS13" s="169"/>
      <c r="BTT13" s="169"/>
      <c r="BTU13" s="169"/>
      <c r="BTV13" s="169"/>
      <c r="BTW13" s="169"/>
      <c r="BTX13" s="169"/>
      <c r="BTY13" s="169"/>
      <c r="BTZ13" s="169"/>
      <c r="BUA13" s="169"/>
      <c r="BUB13" s="169"/>
      <c r="BUC13" s="169"/>
      <c r="BUD13" s="169"/>
      <c r="BUE13" s="169"/>
      <c r="BUF13" s="169"/>
      <c r="BUG13" s="169"/>
      <c r="BUH13" s="169"/>
      <c r="BUI13" s="169"/>
      <c r="BUJ13" s="169"/>
      <c r="BUK13" s="169"/>
      <c r="BUL13" s="169"/>
      <c r="BUM13" s="169"/>
      <c r="BUN13" s="169"/>
      <c r="BUO13" s="169"/>
      <c r="BUP13" s="169"/>
      <c r="BUQ13" s="169"/>
      <c r="BUR13" s="169"/>
      <c r="BUS13" s="169"/>
      <c r="BUT13" s="169"/>
      <c r="BUU13" s="169"/>
      <c r="BUV13" s="169"/>
      <c r="BUW13" s="169"/>
      <c r="BUX13" s="169"/>
      <c r="BUY13" s="169"/>
      <c r="BUZ13" s="169"/>
      <c r="BVA13" s="170"/>
      <c r="BVB13" s="90"/>
    </row>
    <row r="14" spans="1:1926" ht="12.75" customHeight="1" thickBot="1" x14ac:dyDescent="0.35">
      <c r="B14" s="96"/>
      <c r="C14" s="192"/>
      <c r="D14" s="145"/>
      <c r="E14" s="194"/>
      <c r="F14" s="103"/>
      <c r="G14" s="104"/>
      <c r="H14" s="104"/>
      <c r="I14" s="104"/>
      <c r="J14" s="171" t="s">
        <v>36</v>
      </c>
      <c r="K14" s="171"/>
      <c r="L14" s="171"/>
      <c r="M14" s="171"/>
      <c r="N14" s="104"/>
      <c r="O14" s="104"/>
      <c r="P14" s="167" t="s">
        <v>24</v>
      </c>
      <c r="Q14" s="167"/>
      <c r="R14" s="167"/>
      <c r="S14" s="167"/>
      <c r="T14" s="129"/>
      <c r="U14" s="129"/>
      <c r="V14" s="171" t="s">
        <v>37</v>
      </c>
      <c r="W14" s="171"/>
      <c r="X14" s="171"/>
      <c r="Y14" s="171"/>
      <c r="Z14" s="104"/>
      <c r="AA14" s="104"/>
      <c r="AB14" s="167" t="s">
        <v>25</v>
      </c>
      <c r="AC14" s="167"/>
      <c r="AD14" s="167"/>
      <c r="AE14" s="167"/>
      <c r="AF14" s="129"/>
      <c r="AG14" s="129"/>
      <c r="AH14" s="171" t="s">
        <v>38</v>
      </c>
      <c r="AI14" s="171"/>
      <c r="AJ14" s="171"/>
      <c r="AK14" s="171"/>
      <c r="AL14" s="104"/>
      <c r="AM14" s="104"/>
      <c r="AN14" s="167" t="s">
        <v>26</v>
      </c>
      <c r="AO14" s="167"/>
      <c r="AP14" s="167"/>
      <c r="AQ14" s="167"/>
      <c r="AR14" s="129"/>
      <c r="AS14" s="129"/>
      <c r="AT14" s="171" t="s">
        <v>39</v>
      </c>
      <c r="AU14" s="171"/>
      <c r="AV14" s="171"/>
      <c r="AW14" s="171"/>
      <c r="AX14" s="104"/>
      <c r="AY14" s="104"/>
      <c r="AZ14" s="167" t="s">
        <v>27</v>
      </c>
      <c r="BA14" s="167"/>
      <c r="BB14" s="167"/>
      <c r="BC14" s="167"/>
      <c r="BD14" s="129"/>
      <c r="BE14" s="129"/>
      <c r="BF14" s="171" t="s">
        <v>40</v>
      </c>
      <c r="BG14" s="171"/>
      <c r="BH14" s="171"/>
      <c r="BI14" s="171"/>
      <c r="BJ14" s="104"/>
      <c r="BK14" s="104"/>
      <c r="BL14" s="104"/>
      <c r="BM14" s="105"/>
      <c r="BN14" s="103"/>
      <c r="BO14" s="104"/>
      <c r="BP14" s="104"/>
      <c r="BQ14" s="104"/>
      <c r="BR14" s="171" t="s">
        <v>36</v>
      </c>
      <c r="BS14" s="171"/>
      <c r="BT14" s="171"/>
      <c r="BU14" s="171"/>
      <c r="BV14" s="104"/>
      <c r="BW14" s="104"/>
      <c r="BX14" s="167" t="s">
        <v>24</v>
      </c>
      <c r="BY14" s="167"/>
      <c r="BZ14" s="167"/>
      <c r="CA14" s="167"/>
      <c r="CB14" s="129"/>
      <c r="CC14" s="129"/>
      <c r="CD14" s="171" t="s">
        <v>37</v>
      </c>
      <c r="CE14" s="171"/>
      <c r="CF14" s="171"/>
      <c r="CG14" s="171"/>
      <c r="CH14" s="104"/>
      <c r="CI14" s="104"/>
      <c r="CJ14" s="167" t="s">
        <v>25</v>
      </c>
      <c r="CK14" s="167"/>
      <c r="CL14" s="167"/>
      <c r="CM14" s="167"/>
      <c r="CN14" s="129"/>
      <c r="CO14" s="129"/>
      <c r="CP14" s="171" t="s">
        <v>38</v>
      </c>
      <c r="CQ14" s="171"/>
      <c r="CR14" s="171"/>
      <c r="CS14" s="171"/>
      <c r="CT14" s="104"/>
      <c r="CU14" s="104"/>
      <c r="CV14" s="167" t="s">
        <v>26</v>
      </c>
      <c r="CW14" s="167"/>
      <c r="CX14" s="167"/>
      <c r="CY14" s="167"/>
      <c r="CZ14" s="129"/>
      <c r="DA14" s="129"/>
      <c r="DB14" s="171" t="s">
        <v>39</v>
      </c>
      <c r="DC14" s="171"/>
      <c r="DD14" s="171"/>
      <c r="DE14" s="171"/>
      <c r="DF14" s="104"/>
      <c r="DG14" s="104"/>
      <c r="DH14" s="167" t="s">
        <v>27</v>
      </c>
      <c r="DI14" s="167"/>
      <c r="DJ14" s="167"/>
      <c r="DK14" s="167"/>
      <c r="DL14" s="129"/>
      <c r="DM14" s="129"/>
      <c r="DN14" s="171" t="s">
        <v>40</v>
      </c>
      <c r="DO14" s="171"/>
      <c r="DP14" s="171"/>
      <c r="DQ14" s="171"/>
      <c r="DR14" s="104"/>
      <c r="DS14" s="104"/>
      <c r="DT14" s="104"/>
      <c r="DU14" s="105"/>
      <c r="DV14" s="103"/>
      <c r="DW14" s="104"/>
      <c r="DX14" s="104"/>
      <c r="DY14" s="104"/>
      <c r="DZ14" s="171" t="s">
        <v>36</v>
      </c>
      <c r="EA14" s="171"/>
      <c r="EB14" s="171"/>
      <c r="EC14" s="171"/>
      <c r="ED14" s="104"/>
      <c r="EE14" s="104"/>
      <c r="EF14" s="167" t="s">
        <v>24</v>
      </c>
      <c r="EG14" s="167"/>
      <c r="EH14" s="167"/>
      <c r="EI14" s="167"/>
      <c r="EJ14" s="129"/>
      <c r="EK14" s="129"/>
      <c r="EL14" s="171" t="s">
        <v>37</v>
      </c>
      <c r="EM14" s="171"/>
      <c r="EN14" s="171"/>
      <c r="EO14" s="171"/>
      <c r="EP14" s="104"/>
      <c r="EQ14" s="104"/>
      <c r="ER14" s="167" t="s">
        <v>25</v>
      </c>
      <c r="ES14" s="167"/>
      <c r="ET14" s="167"/>
      <c r="EU14" s="167"/>
      <c r="EV14" s="129"/>
      <c r="EW14" s="129"/>
      <c r="EX14" s="171" t="s">
        <v>38</v>
      </c>
      <c r="EY14" s="171"/>
      <c r="EZ14" s="171"/>
      <c r="FA14" s="171"/>
      <c r="FB14" s="104"/>
      <c r="FC14" s="104"/>
      <c r="FD14" s="167" t="s">
        <v>26</v>
      </c>
      <c r="FE14" s="167"/>
      <c r="FF14" s="167"/>
      <c r="FG14" s="167"/>
      <c r="FH14" s="129"/>
      <c r="FI14" s="129"/>
      <c r="FJ14" s="171" t="s">
        <v>39</v>
      </c>
      <c r="FK14" s="171"/>
      <c r="FL14" s="171"/>
      <c r="FM14" s="171"/>
      <c r="FN14" s="104"/>
      <c r="FO14" s="104"/>
      <c r="FP14" s="167" t="s">
        <v>27</v>
      </c>
      <c r="FQ14" s="167"/>
      <c r="FR14" s="167"/>
      <c r="FS14" s="167"/>
      <c r="FT14" s="129"/>
      <c r="FU14" s="129"/>
      <c r="FV14" s="171" t="s">
        <v>40</v>
      </c>
      <c r="FW14" s="171"/>
      <c r="FX14" s="171"/>
      <c r="FY14" s="171"/>
      <c r="FZ14" s="104"/>
      <c r="GA14" s="104"/>
      <c r="GB14" s="104"/>
      <c r="GC14" s="105"/>
      <c r="GD14" s="103"/>
      <c r="GE14" s="104"/>
      <c r="GF14" s="104"/>
      <c r="GG14" s="104"/>
      <c r="GH14" s="171" t="s">
        <v>36</v>
      </c>
      <c r="GI14" s="171"/>
      <c r="GJ14" s="171"/>
      <c r="GK14" s="171"/>
      <c r="GL14" s="104"/>
      <c r="GM14" s="104"/>
      <c r="GN14" s="167" t="s">
        <v>24</v>
      </c>
      <c r="GO14" s="167"/>
      <c r="GP14" s="167"/>
      <c r="GQ14" s="167"/>
      <c r="GR14" s="129"/>
      <c r="GS14" s="129"/>
      <c r="GT14" s="171" t="s">
        <v>37</v>
      </c>
      <c r="GU14" s="171"/>
      <c r="GV14" s="171"/>
      <c r="GW14" s="171"/>
      <c r="GX14" s="104"/>
      <c r="GY14" s="104"/>
      <c r="GZ14" s="167" t="s">
        <v>25</v>
      </c>
      <c r="HA14" s="167"/>
      <c r="HB14" s="167"/>
      <c r="HC14" s="167"/>
      <c r="HD14" s="129"/>
      <c r="HE14" s="129"/>
      <c r="HF14" s="171" t="s">
        <v>38</v>
      </c>
      <c r="HG14" s="171"/>
      <c r="HH14" s="171"/>
      <c r="HI14" s="171"/>
      <c r="HJ14" s="104"/>
      <c r="HK14" s="104"/>
      <c r="HL14" s="167" t="s">
        <v>26</v>
      </c>
      <c r="HM14" s="167"/>
      <c r="HN14" s="167"/>
      <c r="HO14" s="167"/>
      <c r="HP14" s="129"/>
      <c r="HQ14" s="129"/>
      <c r="HR14" s="171" t="s">
        <v>39</v>
      </c>
      <c r="HS14" s="171"/>
      <c r="HT14" s="171"/>
      <c r="HU14" s="171"/>
      <c r="HV14" s="104"/>
      <c r="HW14" s="104"/>
      <c r="HX14" s="167" t="s">
        <v>27</v>
      </c>
      <c r="HY14" s="167"/>
      <c r="HZ14" s="167"/>
      <c r="IA14" s="167"/>
      <c r="IB14" s="129"/>
      <c r="IC14" s="129"/>
      <c r="ID14" s="171" t="s">
        <v>40</v>
      </c>
      <c r="IE14" s="171"/>
      <c r="IF14" s="171"/>
      <c r="IG14" s="171"/>
      <c r="IH14" s="104"/>
      <c r="II14" s="104"/>
      <c r="IJ14" s="104"/>
      <c r="IK14" s="105"/>
      <c r="IL14" s="103"/>
      <c r="IM14" s="104"/>
      <c r="IN14" s="104"/>
      <c r="IO14" s="104"/>
      <c r="IP14" s="171" t="s">
        <v>36</v>
      </c>
      <c r="IQ14" s="171"/>
      <c r="IR14" s="171"/>
      <c r="IS14" s="171"/>
      <c r="IT14" s="104"/>
      <c r="IU14" s="104"/>
      <c r="IV14" s="167" t="s">
        <v>24</v>
      </c>
      <c r="IW14" s="167"/>
      <c r="IX14" s="167"/>
      <c r="IY14" s="167"/>
      <c r="IZ14" s="129"/>
      <c r="JA14" s="129"/>
      <c r="JB14" s="171" t="s">
        <v>37</v>
      </c>
      <c r="JC14" s="171"/>
      <c r="JD14" s="171"/>
      <c r="JE14" s="171"/>
      <c r="JF14" s="104"/>
      <c r="JG14" s="104"/>
      <c r="JH14" s="167" t="s">
        <v>25</v>
      </c>
      <c r="JI14" s="167"/>
      <c r="JJ14" s="167"/>
      <c r="JK14" s="167"/>
      <c r="JL14" s="129"/>
      <c r="JM14" s="129"/>
      <c r="JN14" s="171" t="s">
        <v>38</v>
      </c>
      <c r="JO14" s="171"/>
      <c r="JP14" s="171"/>
      <c r="JQ14" s="171"/>
      <c r="JR14" s="104"/>
      <c r="JS14" s="104"/>
      <c r="JT14" s="167" t="s">
        <v>26</v>
      </c>
      <c r="JU14" s="167"/>
      <c r="JV14" s="167"/>
      <c r="JW14" s="167"/>
      <c r="JX14" s="129"/>
      <c r="JY14" s="129"/>
      <c r="JZ14" s="171" t="s">
        <v>39</v>
      </c>
      <c r="KA14" s="171"/>
      <c r="KB14" s="171"/>
      <c r="KC14" s="171"/>
      <c r="KD14" s="104"/>
      <c r="KE14" s="104"/>
      <c r="KF14" s="167" t="s">
        <v>27</v>
      </c>
      <c r="KG14" s="167"/>
      <c r="KH14" s="167"/>
      <c r="KI14" s="167"/>
      <c r="KJ14" s="129"/>
      <c r="KK14" s="129"/>
      <c r="KL14" s="171" t="s">
        <v>40</v>
      </c>
      <c r="KM14" s="171"/>
      <c r="KN14" s="171"/>
      <c r="KO14" s="171"/>
      <c r="KP14" s="104"/>
      <c r="KQ14" s="104"/>
      <c r="KR14" s="104"/>
      <c r="KS14" s="105"/>
      <c r="KT14" s="103"/>
      <c r="KU14" s="104"/>
      <c r="KV14" s="104"/>
      <c r="KW14" s="104"/>
      <c r="KX14" s="171" t="s">
        <v>36</v>
      </c>
      <c r="KY14" s="171"/>
      <c r="KZ14" s="171"/>
      <c r="LA14" s="171"/>
      <c r="LB14" s="104"/>
      <c r="LC14" s="104"/>
      <c r="LD14" s="167" t="s">
        <v>24</v>
      </c>
      <c r="LE14" s="167"/>
      <c r="LF14" s="167"/>
      <c r="LG14" s="167"/>
      <c r="LH14" s="129"/>
      <c r="LI14" s="129"/>
      <c r="LJ14" s="171" t="s">
        <v>37</v>
      </c>
      <c r="LK14" s="171"/>
      <c r="LL14" s="171"/>
      <c r="LM14" s="171"/>
      <c r="LN14" s="104"/>
      <c r="LO14" s="104"/>
      <c r="LP14" s="167" t="s">
        <v>25</v>
      </c>
      <c r="LQ14" s="167"/>
      <c r="LR14" s="167"/>
      <c r="LS14" s="167"/>
      <c r="LT14" s="129"/>
      <c r="LU14" s="129"/>
      <c r="LV14" s="171" t="s">
        <v>38</v>
      </c>
      <c r="LW14" s="171"/>
      <c r="LX14" s="171"/>
      <c r="LY14" s="171"/>
      <c r="LZ14" s="104"/>
      <c r="MA14" s="104"/>
      <c r="MB14" s="167" t="s">
        <v>26</v>
      </c>
      <c r="MC14" s="167"/>
      <c r="MD14" s="167"/>
      <c r="ME14" s="167"/>
      <c r="MF14" s="129"/>
      <c r="MG14" s="129"/>
      <c r="MH14" s="171" t="s">
        <v>39</v>
      </c>
      <c r="MI14" s="171"/>
      <c r="MJ14" s="171"/>
      <c r="MK14" s="171"/>
      <c r="ML14" s="104"/>
      <c r="MM14" s="104"/>
      <c r="MN14" s="167" t="s">
        <v>27</v>
      </c>
      <c r="MO14" s="167"/>
      <c r="MP14" s="167"/>
      <c r="MQ14" s="167"/>
      <c r="MR14" s="129"/>
      <c r="MS14" s="129"/>
      <c r="MT14" s="171" t="s">
        <v>40</v>
      </c>
      <c r="MU14" s="171"/>
      <c r="MV14" s="171"/>
      <c r="MW14" s="171"/>
      <c r="MX14" s="104"/>
      <c r="MY14" s="104"/>
      <c r="MZ14" s="104"/>
      <c r="NA14" s="105"/>
      <c r="NB14" s="103"/>
      <c r="NC14" s="104"/>
      <c r="ND14" s="104"/>
      <c r="NE14" s="104"/>
      <c r="NF14" s="171" t="s">
        <v>36</v>
      </c>
      <c r="NG14" s="171"/>
      <c r="NH14" s="171"/>
      <c r="NI14" s="171"/>
      <c r="NJ14" s="104"/>
      <c r="NK14" s="104"/>
      <c r="NL14" s="167" t="s">
        <v>24</v>
      </c>
      <c r="NM14" s="167"/>
      <c r="NN14" s="167"/>
      <c r="NO14" s="167"/>
      <c r="NP14" s="129"/>
      <c r="NQ14" s="129"/>
      <c r="NR14" s="171" t="s">
        <v>37</v>
      </c>
      <c r="NS14" s="171"/>
      <c r="NT14" s="171"/>
      <c r="NU14" s="171"/>
      <c r="NV14" s="104"/>
      <c r="NW14" s="104"/>
      <c r="NX14" s="167" t="s">
        <v>25</v>
      </c>
      <c r="NY14" s="167"/>
      <c r="NZ14" s="167"/>
      <c r="OA14" s="167"/>
      <c r="OB14" s="129"/>
      <c r="OC14" s="129"/>
      <c r="OD14" s="171" t="s">
        <v>38</v>
      </c>
      <c r="OE14" s="171"/>
      <c r="OF14" s="171"/>
      <c r="OG14" s="171"/>
      <c r="OH14" s="104"/>
      <c r="OI14" s="104"/>
      <c r="OJ14" s="167" t="s">
        <v>26</v>
      </c>
      <c r="OK14" s="167"/>
      <c r="OL14" s="167"/>
      <c r="OM14" s="167"/>
      <c r="ON14" s="129"/>
      <c r="OO14" s="129"/>
      <c r="OP14" s="171" t="s">
        <v>39</v>
      </c>
      <c r="OQ14" s="171"/>
      <c r="OR14" s="171"/>
      <c r="OS14" s="171"/>
      <c r="OT14" s="104"/>
      <c r="OU14" s="104"/>
      <c r="OV14" s="167" t="s">
        <v>27</v>
      </c>
      <c r="OW14" s="167"/>
      <c r="OX14" s="167"/>
      <c r="OY14" s="167"/>
      <c r="OZ14" s="129"/>
      <c r="PA14" s="129"/>
      <c r="PB14" s="171" t="s">
        <v>40</v>
      </c>
      <c r="PC14" s="171"/>
      <c r="PD14" s="171"/>
      <c r="PE14" s="171"/>
      <c r="PF14" s="104"/>
      <c r="PG14" s="104"/>
      <c r="PH14" s="104"/>
      <c r="PI14" s="105"/>
      <c r="PJ14" s="103"/>
      <c r="PK14" s="104"/>
      <c r="PL14" s="104"/>
      <c r="PM14" s="104"/>
      <c r="PN14" s="171" t="s">
        <v>36</v>
      </c>
      <c r="PO14" s="171"/>
      <c r="PP14" s="171"/>
      <c r="PQ14" s="171"/>
      <c r="PR14" s="104"/>
      <c r="PS14" s="104"/>
      <c r="PT14" s="167" t="s">
        <v>24</v>
      </c>
      <c r="PU14" s="167"/>
      <c r="PV14" s="167"/>
      <c r="PW14" s="167"/>
      <c r="PX14" s="129"/>
      <c r="PY14" s="129"/>
      <c r="PZ14" s="171" t="s">
        <v>37</v>
      </c>
      <c r="QA14" s="171"/>
      <c r="QB14" s="171"/>
      <c r="QC14" s="171"/>
      <c r="QD14" s="104"/>
      <c r="QE14" s="104"/>
      <c r="QF14" s="167" t="s">
        <v>25</v>
      </c>
      <c r="QG14" s="167"/>
      <c r="QH14" s="167"/>
      <c r="QI14" s="167"/>
      <c r="QJ14" s="129"/>
      <c r="QK14" s="129"/>
      <c r="QL14" s="171" t="s">
        <v>38</v>
      </c>
      <c r="QM14" s="171"/>
      <c r="QN14" s="171"/>
      <c r="QO14" s="171"/>
      <c r="QP14" s="104"/>
      <c r="QQ14" s="104"/>
      <c r="QR14" s="167" t="s">
        <v>26</v>
      </c>
      <c r="QS14" s="167"/>
      <c r="QT14" s="167"/>
      <c r="QU14" s="167"/>
      <c r="QV14" s="129"/>
      <c r="QW14" s="129"/>
      <c r="QX14" s="171" t="s">
        <v>39</v>
      </c>
      <c r="QY14" s="171"/>
      <c r="QZ14" s="171"/>
      <c r="RA14" s="171"/>
      <c r="RB14" s="104"/>
      <c r="RC14" s="104"/>
      <c r="RD14" s="167" t="s">
        <v>27</v>
      </c>
      <c r="RE14" s="167"/>
      <c r="RF14" s="167"/>
      <c r="RG14" s="167"/>
      <c r="RH14" s="129"/>
      <c r="RI14" s="129"/>
      <c r="RJ14" s="171" t="s">
        <v>40</v>
      </c>
      <c r="RK14" s="171"/>
      <c r="RL14" s="171"/>
      <c r="RM14" s="171"/>
      <c r="RN14" s="104"/>
      <c r="RO14" s="104"/>
      <c r="RP14" s="104"/>
      <c r="RQ14" s="105"/>
      <c r="RR14" s="103"/>
      <c r="RS14" s="104"/>
      <c r="RT14" s="104"/>
      <c r="RU14" s="104"/>
      <c r="RV14" s="171" t="s">
        <v>36</v>
      </c>
      <c r="RW14" s="171"/>
      <c r="RX14" s="171"/>
      <c r="RY14" s="171"/>
      <c r="RZ14" s="104"/>
      <c r="SA14" s="104"/>
      <c r="SB14" s="167" t="s">
        <v>24</v>
      </c>
      <c r="SC14" s="167"/>
      <c r="SD14" s="167"/>
      <c r="SE14" s="167"/>
      <c r="SF14" s="129"/>
      <c r="SG14" s="129"/>
      <c r="SH14" s="171" t="s">
        <v>37</v>
      </c>
      <c r="SI14" s="171"/>
      <c r="SJ14" s="171"/>
      <c r="SK14" s="171"/>
      <c r="SL14" s="104"/>
      <c r="SM14" s="104"/>
      <c r="SN14" s="167" t="s">
        <v>25</v>
      </c>
      <c r="SO14" s="167"/>
      <c r="SP14" s="167"/>
      <c r="SQ14" s="167"/>
      <c r="SR14" s="129"/>
      <c r="SS14" s="129"/>
      <c r="ST14" s="171" t="s">
        <v>38</v>
      </c>
      <c r="SU14" s="171"/>
      <c r="SV14" s="171"/>
      <c r="SW14" s="171"/>
      <c r="SX14" s="104"/>
      <c r="SY14" s="104"/>
      <c r="SZ14" s="167" t="s">
        <v>26</v>
      </c>
      <c r="TA14" s="167"/>
      <c r="TB14" s="167"/>
      <c r="TC14" s="167"/>
      <c r="TD14" s="129"/>
      <c r="TE14" s="129"/>
      <c r="TF14" s="171" t="s">
        <v>39</v>
      </c>
      <c r="TG14" s="171"/>
      <c r="TH14" s="171"/>
      <c r="TI14" s="171"/>
      <c r="TJ14" s="104"/>
      <c r="TK14" s="104"/>
      <c r="TL14" s="167" t="s">
        <v>27</v>
      </c>
      <c r="TM14" s="167"/>
      <c r="TN14" s="167"/>
      <c r="TO14" s="167"/>
      <c r="TP14" s="129"/>
      <c r="TQ14" s="129"/>
      <c r="TR14" s="171" t="s">
        <v>40</v>
      </c>
      <c r="TS14" s="171"/>
      <c r="TT14" s="171"/>
      <c r="TU14" s="171"/>
      <c r="TV14" s="104"/>
      <c r="TW14" s="104"/>
      <c r="TX14" s="104"/>
      <c r="TY14" s="105"/>
      <c r="TZ14" s="103"/>
      <c r="UA14" s="104"/>
      <c r="UB14" s="104"/>
      <c r="UC14" s="104"/>
      <c r="UD14" s="171" t="s">
        <v>36</v>
      </c>
      <c r="UE14" s="171"/>
      <c r="UF14" s="171"/>
      <c r="UG14" s="171"/>
      <c r="UH14" s="104"/>
      <c r="UI14" s="104"/>
      <c r="UJ14" s="167" t="s">
        <v>24</v>
      </c>
      <c r="UK14" s="167"/>
      <c r="UL14" s="167"/>
      <c r="UM14" s="167"/>
      <c r="UN14" s="129"/>
      <c r="UO14" s="129"/>
      <c r="UP14" s="171" t="s">
        <v>37</v>
      </c>
      <c r="UQ14" s="171"/>
      <c r="UR14" s="171"/>
      <c r="US14" s="171"/>
      <c r="UT14" s="104"/>
      <c r="UU14" s="104"/>
      <c r="UV14" s="167" t="s">
        <v>25</v>
      </c>
      <c r="UW14" s="167"/>
      <c r="UX14" s="167"/>
      <c r="UY14" s="167"/>
      <c r="UZ14" s="129"/>
      <c r="VA14" s="129"/>
      <c r="VB14" s="171" t="s">
        <v>38</v>
      </c>
      <c r="VC14" s="171"/>
      <c r="VD14" s="171"/>
      <c r="VE14" s="171"/>
      <c r="VF14" s="104"/>
      <c r="VG14" s="104"/>
      <c r="VH14" s="167" t="s">
        <v>26</v>
      </c>
      <c r="VI14" s="167"/>
      <c r="VJ14" s="167"/>
      <c r="VK14" s="167"/>
      <c r="VL14" s="129"/>
      <c r="VM14" s="129"/>
      <c r="VN14" s="171" t="s">
        <v>39</v>
      </c>
      <c r="VO14" s="171"/>
      <c r="VP14" s="171"/>
      <c r="VQ14" s="171"/>
      <c r="VR14" s="104"/>
      <c r="VS14" s="104"/>
      <c r="VT14" s="167" t="s">
        <v>27</v>
      </c>
      <c r="VU14" s="167"/>
      <c r="VV14" s="167"/>
      <c r="VW14" s="167"/>
      <c r="VX14" s="129"/>
      <c r="VY14" s="129"/>
      <c r="VZ14" s="171" t="s">
        <v>40</v>
      </c>
      <c r="WA14" s="171"/>
      <c r="WB14" s="171"/>
      <c r="WC14" s="171"/>
      <c r="WD14" s="104"/>
      <c r="WE14" s="104"/>
      <c r="WF14" s="104"/>
      <c r="WG14" s="105"/>
      <c r="WH14" s="103"/>
      <c r="WI14" s="104"/>
      <c r="WJ14" s="104"/>
      <c r="WK14" s="104"/>
      <c r="WL14" s="171" t="s">
        <v>36</v>
      </c>
      <c r="WM14" s="171"/>
      <c r="WN14" s="171"/>
      <c r="WO14" s="171"/>
      <c r="WP14" s="104"/>
      <c r="WQ14" s="104"/>
      <c r="WR14" s="167" t="s">
        <v>24</v>
      </c>
      <c r="WS14" s="167"/>
      <c r="WT14" s="167"/>
      <c r="WU14" s="167"/>
      <c r="WV14" s="129"/>
      <c r="WW14" s="129"/>
      <c r="WX14" s="171" t="s">
        <v>37</v>
      </c>
      <c r="WY14" s="171"/>
      <c r="WZ14" s="171"/>
      <c r="XA14" s="171"/>
      <c r="XB14" s="104"/>
      <c r="XC14" s="104"/>
      <c r="XD14" s="167" t="s">
        <v>25</v>
      </c>
      <c r="XE14" s="167"/>
      <c r="XF14" s="167"/>
      <c r="XG14" s="167"/>
      <c r="XH14" s="129"/>
      <c r="XI14" s="129"/>
      <c r="XJ14" s="171" t="s">
        <v>38</v>
      </c>
      <c r="XK14" s="171"/>
      <c r="XL14" s="171"/>
      <c r="XM14" s="171"/>
      <c r="XN14" s="104"/>
      <c r="XO14" s="104"/>
      <c r="XP14" s="167" t="s">
        <v>26</v>
      </c>
      <c r="XQ14" s="167"/>
      <c r="XR14" s="167"/>
      <c r="XS14" s="167"/>
      <c r="XT14" s="129"/>
      <c r="XU14" s="129"/>
      <c r="XV14" s="171" t="s">
        <v>39</v>
      </c>
      <c r="XW14" s="171"/>
      <c r="XX14" s="171"/>
      <c r="XY14" s="171"/>
      <c r="XZ14" s="104"/>
      <c r="YA14" s="104"/>
      <c r="YB14" s="167" t="s">
        <v>27</v>
      </c>
      <c r="YC14" s="167"/>
      <c r="YD14" s="167"/>
      <c r="YE14" s="167"/>
      <c r="YF14" s="129"/>
      <c r="YG14" s="129"/>
      <c r="YH14" s="171" t="s">
        <v>40</v>
      </c>
      <c r="YI14" s="171"/>
      <c r="YJ14" s="171"/>
      <c r="YK14" s="171"/>
      <c r="YL14" s="104"/>
      <c r="YM14" s="104"/>
      <c r="YN14" s="104"/>
      <c r="YO14" s="105"/>
      <c r="YP14" s="103"/>
      <c r="YQ14" s="104"/>
      <c r="YR14" s="104"/>
      <c r="YS14" s="104"/>
      <c r="YT14" s="171" t="s">
        <v>36</v>
      </c>
      <c r="YU14" s="171"/>
      <c r="YV14" s="171"/>
      <c r="YW14" s="171"/>
      <c r="YX14" s="104"/>
      <c r="YY14" s="104"/>
      <c r="YZ14" s="167" t="s">
        <v>24</v>
      </c>
      <c r="ZA14" s="167"/>
      <c r="ZB14" s="167"/>
      <c r="ZC14" s="167"/>
      <c r="ZD14" s="129"/>
      <c r="ZE14" s="129"/>
      <c r="ZF14" s="171" t="s">
        <v>37</v>
      </c>
      <c r="ZG14" s="171"/>
      <c r="ZH14" s="171"/>
      <c r="ZI14" s="171"/>
      <c r="ZJ14" s="104"/>
      <c r="ZK14" s="104"/>
      <c r="ZL14" s="167" t="s">
        <v>25</v>
      </c>
      <c r="ZM14" s="167"/>
      <c r="ZN14" s="167"/>
      <c r="ZO14" s="167"/>
      <c r="ZP14" s="129"/>
      <c r="ZQ14" s="129"/>
      <c r="ZR14" s="171" t="s">
        <v>38</v>
      </c>
      <c r="ZS14" s="171"/>
      <c r="ZT14" s="171"/>
      <c r="ZU14" s="171"/>
      <c r="ZV14" s="104"/>
      <c r="ZW14" s="104"/>
      <c r="ZX14" s="167" t="s">
        <v>26</v>
      </c>
      <c r="ZY14" s="167"/>
      <c r="ZZ14" s="167"/>
      <c r="AAA14" s="167"/>
      <c r="AAB14" s="129"/>
      <c r="AAC14" s="129"/>
      <c r="AAD14" s="171" t="s">
        <v>39</v>
      </c>
      <c r="AAE14" s="171"/>
      <c r="AAF14" s="171"/>
      <c r="AAG14" s="171"/>
      <c r="AAH14" s="104"/>
      <c r="AAI14" s="104"/>
      <c r="AAJ14" s="167" t="s">
        <v>27</v>
      </c>
      <c r="AAK14" s="167"/>
      <c r="AAL14" s="167"/>
      <c r="AAM14" s="167"/>
      <c r="AAN14" s="129"/>
      <c r="AAO14" s="129"/>
      <c r="AAP14" s="171" t="s">
        <v>40</v>
      </c>
      <c r="AAQ14" s="171"/>
      <c r="AAR14" s="171"/>
      <c r="AAS14" s="171"/>
      <c r="AAT14" s="104"/>
      <c r="AAU14" s="104"/>
      <c r="AAV14" s="104"/>
      <c r="AAW14" s="105"/>
      <c r="AAX14" s="103"/>
      <c r="AAY14" s="104"/>
      <c r="AAZ14" s="104"/>
      <c r="ABA14" s="104"/>
      <c r="ABB14" s="171" t="s">
        <v>36</v>
      </c>
      <c r="ABC14" s="171"/>
      <c r="ABD14" s="171"/>
      <c r="ABE14" s="171"/>
      <c r="ABF14" s="104"/>
      <c r="ABG14" s="104"/>
      <c r="ABH14" s="167" t="s">
        <v>24</v>
      </c>
      <c r="ABI14" s="167"/>
      <c r="ABJ14" s="167"/>
      <c r="ABK14" s="167"/>
      <c r="ABL14" s="129"/>
      <c r="ABM14" s="129"/>
      <c r="ABN14" s="171" t="s">
        <v>37</v>
      </c>
      <c r="ABO14" s="171"/>
      <c r="ABP14" s="171"/>
      <c r="ABQ14" s="171"/>
      <c r="ABR14" s="104"/>
      <c r="ABS14" s="104"/>
      <c r="ABT14" s="167" t="s">
        <v>25</v>
      </c>
      <c r="ABU14" s="167"/>
      <c r="ABV14" s="167"/>
      <c r="ABW14" s="167"/>
      <c r="ABX14" s="129"/>
      <c r="ABY14" s="129"/>
      <c r="ABZ14" s="171" t="s">
        <v>38</v>
      </c>
      <c r="ACA14" s="171"/>
      <c r="ACB14" s="171"/>
      <c r="ACC14" s="171"/>
      <c r="ACD14" s="104"/>
      <c r="ACE14" s="104"/>
      <c r="ACF14" s="167" t="s">
        <v>26</v>
      </c>
      <c r="ACG14" s="167"/>
      <c r="ACH14" s="167"/>
      <c r="ACI14" s="167"/>
      <c r="ACJ14" s="129"/>
      <c r="ACK14" s="129"/>
      <c r="ACL14" s="171" t="s">
        <v>39</v>
      </c>
      <c r="ACM14" s="171"/>
      <c r="ACN14" s="171"/>
      <c r="ACO14" s="171"/>
      <c r="ACP14" s="104"/>
      <c r="ACQ14" s="104"/>
      <c r="ACR14" s="167" t="s">
        <v>27</v>
      </c>
      <c r="ACS14" s="167"/>
      <c r="ACT14" s="167"/>
      <c r="ACU14" s="167"/>
      <c r="ACV14" s="129"/>
      <c r="ACW14" s="129"/>
      <c r="ACX14" s="171" t="s">
        <v>40</v>
      </c>
      <c r="ACY14" s="171"/>
      <c r="ACZ14" s="171"/>
      <c r="ADA14" s="171"/>
      <c r="ADB14" s="104"/>
      <c r="ADC14" s="104"/>
      <c r="ADD14" s="104"/>
      <c r="ADE14" s="105"/>
      <c r="ADF14" s="103"/>
      <c r="ADG14" s="104"/>
      <c r="ADH14" s="104"/>
      <c r="ADI14" s="104"/>
      <c r="ADJ14" s="171" t="s">
        <v>36</v>
      </c>
      <c r="ADK14" s="171"/>
      <c r="ADL14" s="171"/>
      <c r="ADM14" s="171"/>
      <c r="ADN14" s="104"/>
      <c r="ADO14" s="104"/>
      <c r="ADP14" s="167" t="s">
        <v>24</v>
      </c>
      <c r="ADQ14" s="167"/>
      <c r="ADR14" s="167"/>
      <c r="ADS14" s="167"/>
      <c r="ADT14" s="129"/>
      <c r="ADU14" s="129"/>
      <c r="ADV14" s="171" t="s">
        <v>37</v>
      </c>
      <c r="ADW14" s="171"/>
      <c r="ADX14" s="171"/>
      <c r="ADY14" s="171"/>
      <c r="ADZ14" s="104"/>
      <c r="AEA14" s="104"/>
      <c r="AEB14" s="167" t="s">
        <v>25</v>
      </c>
      <c r="AEC14" s="167"/>
      <c r="AED14" s="167"/>
      <c r="AEE14" s="167"/>
      <c r="AEF14" s="129"/>
      <c r="AEG14" s="129"/>
      <c r="AEH14" s="171" t="s">
        <v>38</v>
      </c>
      <c r="AEI14" s="171"/>
      <c r="AEJ14" s="171"/>
      <c r="AEK14" s="171"/>
      <c r="AEL14" s="104"/>
      <c r="AEM14" s="104"/>
      <c r="AEN14" s="167" t="s">
        <v>26</v>
      </c>
      <c r="AEO14" s="167"/>
      <c r="AEP14" s="167"/>
      <c r="AEQ14" s="167"/>
      <c r="AER14" s="129"/>
      <c r="AES14" s="129"/>
      <c r="AET14" s="171" t="s">
        <v>39</v>
      </c>
      <c r="AEU14" s="171"/>
      <c r="AEV14" s="171"/>
      <c r="AEW14" s="171"/>
      <c r="AEX14" s="104"/>
      <c r="AEY14" s="104"/>
      <c r="AEZ14" s="167" t="s">
        <v>27</v>
      </c>
      <c r="AFA14" s="167"/>
      <c r="AFB14" s="167"/>
      <c r="AFC14" s="167"/>
      <c r="AFD14" s="129"/>
      <c r="AFE14" s="129"/>
      <c r="AFF14" s="171" t="s">
        <v>40</v>
      </c>
      <c r="AFG14" s="171"/>
      <c r="AFH14" s="171"/>
      <c r="AFI14" s="171"/>
      <c r="AFJ14" s="104"/>
      <c r="AFK14" s="104"/>
      <c r="AFL14" s="104"/>
      <c r="AFM14" s="105"/>
      <c r="AFN14" s="103"/>
      <c r="AFO14" s="104"/>
      <c r="AFP14" s="104"/>
      <c r="AFQ14" s="104"/>
      <c r="AFR14" s="171" t="s">
        <v>36</v>
      </c>
      <c r="AFS14" s="171"/>
      <c r="AFT14" s="171"/>
      <c r="AFU14" s="171"/>
      <c r="AFV14" s="104"/>
      <c r="AFW14" s="104"/>
      <c r="AFX14" s="167" t="s">
        <v>24</v>
      </c>
      <c r="AFY14" s="167"/>
      <c r="AFZ14" s="167"/>
      <c r="AGA14" s="167"/>
      <c r="AGB14" s="129"/>
      <c r="AGC14" s="129"/>
      <c r="AGD14" s="171" t="s">
        <v>37</v>
      </c>
      <c r="AGE14" s="171"/>
      <c r="AGF14" s="171"/>
      <c r="AGG14" s="171"/>
      <c r="AGH14" s="104"/>
      <c r="AGI14" s="104"/>
      <c r="AGJ14" s="167" t="s">
        <v>25</v>
      </c>
      <c r="AGK14" s="167"/>
      <c r="AGL14" s="167"/>
      <c r="AGM14" s="167"/>
      <c r="AGN14" s="129"/>
      <c r="AGO14" s="129"/>
      <c r="AGP14" s="171" t="s">
        <v>38</v>
      </c>
      <c r="AGQ14" s="171"/>
      <c r="AGR14" s="171"/>
      <c r="AGS14" s="171"/>
      <c r="AGT14" s="104"/>
      <c r="AGU14" s="104"/>
      <c r="AGV14" s="167" t="s">
        <v>26</v>
      </c>
      <c r="AGW14" s="167"/>
      <c r="AGX14" s="167"/>
      <c r="AGY14" s="167"/>
      <c r="AGZ14" s="129"/>
      <c r="AHA14" s="129"/>
      <c r="AHB14" s="171" t="s">
        <v>39</v>
      </c>
      <c r="AHC14" s="171"/>
      <c r="AHD14" s="171"/>
      <c r="AHE14" s="171"/>
      <c r="AHF14" s="104"/>
      <c r="AHG14" s="104"/>
      <c r="AHH14" s="167" t="s">
        <v>27</v>
      </c>
      <c r="AHI14" s="167"/>
      <c r="AHJ14" s="167"/>
      <c r="AHK14" s="167"/>
      <c r="AHL14" s="129"/>
      <c r="AHM14" s="129"/>
      <c r="AHN14" s="171" t="s">
        <v>40</v>
      </c>
      <c r="AHO14" s="171"/>
      <c r="AHP14" s="171"/>
      <c r="AHQ14" s="171"/>
      <c r="AHR14" s="104"/>
      <c r="AHS14" s="104"/>
      <c r="AHT14" s="104"/>
      <c r="AHU14" s="105"/>
      <c r="AHV14" s="103"/>
      <c r="AHW14" s="104"/>
      <c r="AHX14" s="104"/>
      <c r="AHY14" s="104"/>
      <c r="AHZ14" s="171" t="s">
        <v>36</v>
      </c>
      <c r="AIA14" s="171"/>
      <c r="AIB14" s="171"/>
      <c r="AIC14" s="171"/>
      <c r="AID14" s="104"/>
      <c r="AIE14" s="104"/>
      <c r="AIF14" s="167" t="s">
        <v>24</v>
      </c>
      <c r="AIG14" s="167"/>
      <c r="AIH14" s="167"/>
      <c r="AII14" s="167"/>
      <c r="AIJ14" s="129"/>
      <c r="AIK14" s="129"/>
      <c r="AIL14" s="171" t="s">
        <v>37</v>
      </c>
      <c r="AIM14" s="171"/>
      <c r="AIN14" s="171"/>
      <c r="AIO14" s="171"/>
      <c r="AIP14" s="104"/>
      <c r="AIQ14" s="104"/>
      <c r="AIR14" s="167" t="s">
        <v>25</v>
      </c>
      <c r="AIS14" s="167"/>
      <c r="AIT14" s="167"/>
      <c r="AIU14" s="167"/>
      <c r="AIV14" s="129"/>
      <c r="AIW14" s="129"/>
      <c r="AIX14" s="171" t="s">
        <v>38</v>
      </c>
      <c r="AIY14" s="171"/>
      <c r="AIZ14" s="171"/>
      <c r="AJA14" s="171"/>
      <c r="AJB14" s="104"/>
      <c r="AJC14" s="104"/>
      <c r="AJD14" s="167" t="s">
        <v>26</v>
      </c>
      <c r="AJE14" s="167"/>
      <c r="AJF14" s="167"/>
      <c r="AJG14" s="167"/>
      <c r="AJH14" s="129"/>
      <c r="AJI14" s="129"/>
      <c r="AJJ14" s="171" t="s">
        <v>39</v>
      </c>
      <c r="AJK14" s="171"/>
      <c r="AJL14" s="171"/>
      <c r="AJM14" s="171"/>
      <c r="AJN14" s="104"/>
      <c r="AJO14" s="104"/>
      <c r="AJP14" s="167" t="s">
        <v>27</v>
      </c>
      <c r="AJQ14" s="167"/>
      <c r="AJR14" s="167"/>
      <c r="AJS14" s="167"/>
      <c r="AJT14" s="129"/>
      <c r="AJU14" s="129"/>
      <c r="AJV14" s="171" t="s">
        <v>40</v>
      </c>
      <c r="AJW14" s="171"/>
      <c r="AJX14" s="171"/>
      <c r="AJY14" s="171"/>
      <c r="AJZ14" s="104"/>
      <c r="AKA14" s="104"/>
      <c r="AKB14" s="104"/>
      <c r="AKC14" s="105"/>
      <c r="AKD14" s="103"/>
      <c r="AKE14" s="104"/>
      <c r="AKF14" s="104"/>
      <c r="AKG14" s="104"/>
      <c r="AKH14" s="171" t="s">
        <v>36</v>
      </c>
      <c r="AKI14" s="171"/>
      <c r="AKJ14" s="171"/>
      <c r="AKK14" s="171"/>
      <c r="AKL14" s="104"/>
      <c r="AKM14" s="104"/>
      <c r="AKN14" s="167" t="s">
        <v>24</v>
      </c>
      <c r="AKO14" s="167"/>
      <c r="AKP14" s="167"/>
      <c r="AKQ14" s="167"/>
      <c r="AKR14" s="129"/>
      <c r="AKS14" s="129"/>
      <c r="AKT14" s="171" t="s">
        <v>37</v>
      </c>
      <c r="AKU14" s="171"/>
      <c r="AKV14" s="171"/>
      <c r="AKW14" s="171"/>
      <c r="AKX14" s="104"/>
      <c r="AKY14" s="104"/>
      <c r="AKZ14" s="167" t="s">
        <v>25</v>
      </c>
      <c r="ALA14" s="167"/>
      <c r="ALB14" s="167"/>
      <c r="ALC14" s="167"/>
      <c r="ALD14" s="129"/>
      <c r="ALE14" s="129"/>
      <c r="ALF14" s="171" t="s">
        <v>38</v>
      </c>
      <c r="ALG14" s="171"/>
      <c r="ALH14" s="171"/>
      <c r="ALI14" s="171"/>
      <c r="ALJ14" s="104"/>
      <c r="ALK14" s="104"/>
      <c r="ALL14" s="167" t="s">
        <v>26</v>
      </c>
      <c r="ALM14" s="167"/>
      <c r="ALN14" s="167"/>
      <c r="ALO14" s="167"/>
      <c r="ALP14" s="129"/>
      <c r="ALQ14" s="129"/>
      <c r="ALR14" s="171" t="s">
        <v>39</v>
      </c>
      <c r="ALS14" s="171"/>
      <c r="ALT14" s="171"/>
      <c r="ALU14" s="171"/>
      <c r="ALV14" s="104"/>
      <c r="ALW14" s="104"/>
      <c r="ALX14" s="167" t="s">
        <v>27</v>
      </c>
      <c r="ALY14" s="167"/>
      <c r="ALZ14" s="167"/>
      <c r="AMA14" s="167"/>
      <c r="AMB14" s="129"/>
      <c r="AMC14" s="129"/>
      <c r="AMD14" s="171" t="s">
        <v>40</v>
      </c>
      <c r="AME14" s="171"/>
      <c r="AMF14" s="171"/>
      <c r="AMG14" s="171"/>
      <c r="AMH14" s="104"/>
      <c r="AMI14" s="104"/>
      <c r="AMJ14" s="104"/>
      <c r="AMK14" s="105"/>
      <c r="AML14" s="103"/>
      <c r="AMM14" s="104"/>
      <c r="AMN14" s="104"/>
      <c r="AMO14" s="104"/>
      <c r="AMP14" s="171" t="s">
        <v>36</v>
      </c>
      <c r="AMQ14" s="171"/>
      <c r="AMR14" s="171"/>
      <c r="AMS14" s="171"/>
      <c r="AMT14" s="104"/>
      <c r="AMU14" s="104"/>
      <c r="AMV14" s="167" t="s">
        <v>24</v>
      </c>
      <c r="AMW14" s="167"/>
      <c r="AMX14" s="167"/>
      <c r="AMY14" s="167"/>
      <c r="AMZ14" s="129"/>
      <c r="ANA14" s="129"/>
      <c r="ANB14" s="171" t="s">
        <v>37</v>
      </c>
      <c r="ANC14" s="171"/>
      <c r="AND14" s="171"/>
      <c r="ANE14" s="171"/>
      <c r="ANF14" s="104"/>
      <c r="ANG14" s="104"/>
      <c r="ANH14" s="167" t="s">
        <v>25</v>
      </c>
      <c r="ANI14" s="167"/>
      <c r="ANJ14" s="167"/>
      <c r="ANK14" s="167"/>
      <c r="ANL14" s="129"/>
      <c r="ANM14" s="129"/>
      <c r="ANN14" s="171" t="s">
        <v>38</v>
      </c>
      <c r="ANO14" s="171"/>
      <c r="ANP14" s="171"/>
      <c r="ANQ14" s="171"/>
      <c r="ANR14" s="104"/>
      <c r="ANS14" s="104"/>
      <c r="ANT14" s="167" t="s">
        <v>26</v>
      </c>
      <c r="ANU14" s="167"/>
      <c r="ANV14" s="167"/>
      <c r="ANW14" s="167"/>
      <c r="ANX14" s="129"/>
      <c r="ANY14" s="129"/>
      <c r="ANZ14" s="171" t="s">
        <v>39</v>
      </c>
      <c r="AOA14" s="171"/>
      <c r="AOB14" s="171"/>
      <c r="AOC14" s="171"/>
      <c r="AOD14" s="104"/>
      <c r="AOE14" s="104"/>
      <c r="AOF14" s="167" t="s">
        <v>27</v>
      </c>
      <c r="AOG14" s="167"/>
      <c r="AOH14" s="167"/>
      <c r="AOI14" s="167"/>
      <c r="AOJ14" s="129"/>
      <c r="AOK14" s="129"/>
      <c r="AOL14" s="171" t="s">
        <v>40</v>
      </c>
      <c r="AOM14" s="171"/>
      <c r="AON14" s="171"/>
      <c r="AOO14" s="171"/>
      <c r="AOP14" s="104"/>
      <c r="AOQ14" s="104"/>
      <c r="AOR14" s="104"/>
      <c r="AOS14" s="105"/>
      <c r="AOT14" s="103"/>
      <c r="AOU14" s="104"/>
      <c r="AOV14" s="104"/>
      <c r="AOW14" s="104"/>
      <c r="AOX14" s="171" t="s">
        <v>36</v>
      </c>
      <c r="AOY14" s="171"/>
      <c r="AOZ14" s="171"/>
      <c r="APA14" s="171"/>
      <c r="APB14" s="104"/>
      <c r="APC14" s="104"/>
      <c r="APD14" s="167" t="s">
        <v>24</v>
      </c>
      <c r="APE14" s="167"/>
      <c r="APF14" s="167"/>
      <c r="APG14" s="167"/>
      <c r="APH14" s="129"/>
      <c r="API14" s="129"/>
      <c r="APJ14" s="171" t="s">
        <v>37</v>
      </c>
      <c r="APK14" s="171"/>
      <c r="APL14" s="171"/>
      <c r="APM14" s="171"/>
      <c r="APN14" s="104"/>
      <c r="APO14" s="104"/>
      <c r="APP14" s="167" t="s">
        <v>25</v>
      </c>
      <c r="APQ14" s="167"/>
      <c r="APR14" s="167"/>
      <c r="APS14" s="167"/>
      <c r="APT14" s="129"/>
      <c r="APU14" s="129"/>
      <c r="APV14" s="171" t="s">
        <v>38</v>
      </c>
      <c r="APW14" s="171"/>
      <c r="APX14" s="171"/>
      <c r="APY14" s="171"/>
      <c r="APZ14" s="104"/>
      <c r="AQA14" s="104"/>
      <c r="AQB14" s="167" t="s">
        <v>26</v>
      </c>
      <c r="AQC14" s="167"/>
      <c r="AQD14" s="167"/>
      <c r="AQE14" s="167"/>
      <c r="AQF14" s="129"/>
      <c r="AQG14" s="129"/>
      <c r="AQH14" s="171" t="s">
        <v>39</v>
      </c>
      <c r="AQI14" s="171"/>
      <c r="AQJ14" s="171"/>
      <c r="AQK14" s="171"/>
      <c r="AQL14" s="104"/>
      <c r="AQM14" s="104"/>
      <c r="AQN14" s="167" t="s">
        <v>27</v>
      </c>
      <c r="AQO14" s="167"/>
      <c r="AQP14" s="167"/>
      <c r="AQQ14" s="167"/>
      <c r="AQR14" s="129"/>
      <c r="AQS14" s="129"/>
      <c r="AQT14" s="171" t="s">
        <v>40</v>
      </c>
      <c r="AQU14" s="171"/>
      <c r="AQV14" s="171"/>
      <c r="AQW14" s="171"/>
      <c r="AQX14" s="104"/>
      <c r="AQY14" s="104"/>
      <c r="AQZ14" s="104"/>
      <c r="ARA14" s="105"/>
      <c r="ARB14" s="103"/>
      <c r="ARC14" s="104"/>
      <c r="ARD14" s="104"/>
      <c r="ARE14" s="104"/>
      <c r="ARF14" s="171" t="s">
        <v>36</v>
      </c>
      <c r="ARG14" s="171"/>
      <c r="ARH14" s="171"/>
      <c r="ARI14" s="171"/>
      <c r="ARJ14" s="104"/>
      <c r="ARK14" s="104"/>
      <c r="ARL14" s="167" t="s">
        <v>24</v>
      </c>
      <c r="ARM14" s="167"/>
      <c r="ARN14" s="167"/>
      <c r="ARO14" s="167"/>
      <c r="ARP14" s="129"/>
      <c r="ARQ14" s="129"/>
      <c r="ARR14" s="171" t="s">
        <v>37</v>
      </c>
      <c r="ARS14" s="171"/>
      <c r="ART14" s="171"/>
      <c r="ARU14" s="171"/>
      <c r="ARV14" s="104"/>
      <c r="ARW14" s="104"/>
      <c r="ARX14" s="167" t="s">
        <v>25</v>
      </c>
      <c r="ARY14" s="167"/>
      <c r="ARZ14" s="167"/>
      <c r="ASA14" s="167"/>
      <c r="ASB14" s="129"/>
      <c r="ASC14" s="129"/>
      <c r="ASD14" s="171" t="s">
        <v>38</v>
      </c>
      <c r="ASE14" s="171"/>
      <c r="ASF14" s="171"/>
      <c r="ASG14" s="171"/>
      <c r="ASH14" s="104"/>
      <c r="ASI14" s="104"/>
      <c r="ASJ14" s="167" t="s">
        <v>26</v>
      </c>
      <c r="ASK14" s="167"/>
      <c r="ASL14" s="167"/>
      <c r="ASM14" s="167"/>
      <c r="ASN14" s="129"/>
      <c r="ASO14" s="129"/>
      <c r="ASP14" s="171" t="s">
        <v>39</v>
      </c>
      <c r="ASQ14" s="171"/>
      <c r="ASR14" s="171"/>
      <c r="ASS14" s="171"/>
      <c r="AST14" s="104"/>
      <c r="ASU14" s="104"/>
      <c r="ASV14" s="167" t="s">
        <v>27</v>
      </c>
      <c r="ASW14" s="167"/>
      <c r="ASX14" s="167"/>
      <c r="ASY14" s="167"/>
      <c r="ASZ14" s="129"/>
      <c r="ATA14" s="129"/>
      <c r="ATB14" s="171" t="s">
        <v>40</v>
      </c>
      <c r="ATC14" s="171"/>
      <c r="ATD14" s="171"/>
      <c r="ATE14" s="171"/>
      <c r="ATF14" s="104"/>
      <c r="ATG14" s="104"/>
      <c r="ATH14" s="104"/>
      <c r="ATI14" s="105"/>
      <c r="ATJ14" s="103"/>
      <c r="ATK14" s="104"/>
      <c r="ATL14" s="104"/>
      <c r="ATM14" s="104"/>
      <c r="ATN14" s="171" t="s">
        <v>36</v>
      </c>
      <c r="ATO14" s="171"/>
      <c r="ATP14" s="171"/>
      <c r="ATQ14" s="171"/>
      <c r="ATR14" s="104"/>
      <c r="ATS14" s="104"/>
      <c r="ATT14" s="167" t="s">
        <v>24</v>
      </c>
      <c r="ATU14" s="167"/>
      <c r="ATV14" s="167"/>
      <c r="ATW14" s="167"/>
      <c r="ATX14" s="129"/>
      <c r="ATY14" s="129"/>
      <c r="ATZ14" s="171" t="s">
        <v>37</v>
      </c>
      <c r="AUA14" s="171"/>
      <c r="AUB14" s="171"/>
      <c r="AUC14" s="171"/>
      <c r="AUD14" s="104"/>
      <c r="AUE14" s="104"/>
      <c r="AUF14" s="167" t="s">
        <v>25</v>
      </c>
      <c r="AUG14" s="167"/>
      <c r="AUH14" s="167"/>
      <c r="AUI14" s="167"/>
      <c r="AUJ14" s="129"/>
      <c r="AUK14" s="129"/>
      <c r="AUL14" s="171" t="s">
        <v>38</v>
      </c>
      <c r="AUM14" s="171"/>
      <c r="AUN14" s="171"/>
      <c r="AUO14" s="171"/>
      <c r="AUP14" s="104"/>
      <c r="AUQ14" s="104"/>
      <c r="AUR14" s="167" t="s">
        <v>26</v>
      </c>
      <c r="AUS14" s="167"/>
      <c r="AUT14" s="167"/>
      <c r="AUU14" s="167"/>
      <c r="AUV14" s="129"/>
      <c r="AUW14" s="129"/>
      <c r="AUX14" s="171" t="s">
        <v>39</v>
      </c>
      <c r="AUY14" s="171"/>
      <c r="AUZ14" s="171"/>
      <c r="AVA14" s="171"/>
      <c r="AVB14" s="104"/>
      <c r="AVC14" s="104"/>
      <c r="AVD14" s="167" t="s">
        <v>27</v>
      </c>
      <c r="AVE14" s="167"/>
      <c r="AVF14" s="167"/>
      <c r="AVG14" s="167"/>
      <c r="AVH14" s="129"/>
      <c r="AVI14" s="129"/>
      <c r="AVJ14" s="171" t="s">
        <v>40</v>
      </c>
      <c r="AVK14" s="171"/>
      <c r="AVL14" s="171"/>
      <c r="AVM14" s="171"/>
      <c r="AVN14" s="104"/>
      <c r="AVO14" s="104"/>
      <c r="AVP14" s="104"/>
      <c r="AVQ14" s="105"/>
      <c r="AVR14" s="103"/>
      <c r="AVS14" s="104"/>
      <c r="AVT14" s="104"/>
      <c r="AVU14" s="104"/>
      <c r="AVV14" s="171" t="s">
        <v>36</v>
      </c>
      <c r="AVW14" s="171"/>
      <c r="AVX14" s="171"/>
      <c r="AVY14" s="171"/>
      <c r="AVZ14" s="104"/>
      <c r="AWA14" s="104"/>
      <c r="AWB14" s="167" t="s">
        <v>24</v>
      </c>
      <c r="AWC14" s="167"/>
      <c r="AWD14" s="167"/>
      <c r="AWE14" s="167"/>
      <c r="AWF14" s="129"/>
      <c r="AWG14" s="129"/>
      <c r="AWH14" s="171" t="s">
        <v>37</v>
      </c>
      <c r="AWI14" s="171"/>
      <c r="AWJ14" s="171"/>
      <c r="AWK14" s="171"/>
      <c r="AWL14" s="104"/>
      <c r="AWM14" s="104"/>
      <c r="AWN14" s="167" t="s">
        <v>25</v>
      </c>
      <c r="AWO14" s="167"/>
      <c r="AWP14" s="167"/>
      <c r="AWQ14" s="167"/>
      <c r="AWR14" s="129"/>
      <c r="AWS14" s="129"/>
      <c r="AWT14" s="171" t="s">
        <v>38</v>
      </c>
      <c r="AWU14" s="171"/>
      <c r="AWV14" s="171"/>
      <c r="AWW14" s="171"/>
      <c r="AWX14" s="104"/>
      <c r="AWY14" s="104"/>
      <c r="AWZ14" s="167" t="s">
        <v>26</v>
      </c>
      <c r="AXA14" s="167"/>
      <c r="AXB14" s="167"/>
      <c r="AXC14" s="167"/>
      <c r="AXD14" s="129"/>
      <c r="AXE14" s="129"/>
      <c r="AXF14" s="171" t="s">
        <v>39</v>
      </c>
      <c r="AXG14" s="171"/>
      <c r="AXH14" s="171"/>
      <c r="AXI14" s="171"/>
      <c r="AXJ14" s="104"/>
      <c r="AXK14" s="104"/>
      <c r="AXL14" s="167" t="s">
        <v>27</v>
      </c>
      <c r="AXM14" s="167"/>
      <c r="AXN14" s="167"/>
      <c r="AXO14" s="167"/>
      <c r="AXP14" s="129"/>
      <c r="AXQ14" s="129"/>
      <c r="AXR14" s="171" t="s">
        <v>40</v>
      </c>
      <c r="AXS14" s="171"/>
      <c r="AXT14" s="171"/>
      <c r="AXU14" s="171"/>
      <c r="AXV14" s="104"/>
      <c r="AXW14" s="104"/>
      <c r="AXX14" s="104"/>
      <c r="AXY14" s="105"/>
      <c r="AXZ14" s="103"/>
      <c r="AYA14" s="104"/>
      <c r="AYB14" s="104"/>
      <c r="AYC14" s="104"/>
      <c r="AYD14" s="171" t="s">
        <v>36</v>
      </c>
      <c r="AYE14" s="171"/>
      <c r="AYF14" s="171"/>
      <c r="AYG14" s="171"/>
      <c r="AYH14" s="104"/>
      <c r="AYI14" s="104"/>
      <c r="AYJ14" s="167" t="s">
        <v>24</v>
      </c>
      <c r="AYK14" s="167"/>
      <c r="AYL14" s="167"/>
      <c r="AYM14" s="167"/>
      <c r="AYN14" s="129"/>
      <c r="AYO14" s="129"/>
      <c r="AYP14" s="171" t="s">
        <v>37</v>
      </c>
      <c r="AYQ14" s="171"/>
      <c r="AYR14" s="171"/>
      <c r="AYS14" s="171"/>
      <c r="AYT14" s="104"/>
      <c r="AYU14" s="104"/>
      <c r="AYV14" s="167" t="s">
        <v>25</v>
      </c>
      <c r="AYW14" s="167"/>
      <c r="AYX14" s="167"/>
      <c r="AYY14" s="167"/>
      <c r="AYZ14" s="129"/>
      <c r="AZA14" s="129"/>
      <c r="AZB14" s="171" t="s">
        <v>38</v>
      </c>
      <c r="AZC14" s="171"/>
      <c r="AZD14" s="171"/>
      <c r="AZE14" s="171"/>
      <c r="AZF14" s="104"/>
      <c r="AZG14" s="104"/>
      <c r="AZH14" s="167" t="s">
        <v>26</v>
      </c>
      <c r="AZI14" s="167"/>
      <c r="AZJ14" s="167"/>
      <c r="AZK14" s="167"/>
      <c r="AZL14" s="129"/>
      <c r="AZM14" s="129"/>
      <c r="AZN14" s="171" t="s">
        <v>39</v>
      </c>
      <c r="AZO14" s="171"/>
      <c r="AZP14" s="171"/>
      <c r="AZQ14" s="171"/>
      <c r="AZR14" s="104"/>
      <c r="AZS14" s="104"/>
      <c r="AZT14" s="167" t="s">
        <v>27</v>
      </c>
      <c r="AZU14" s="167"/>
      <c r="AZV14" s="167"/>
      <c r="AZW14" s="167"/>
      <c r="AZX14" s="129"/>
      <c r="AZY14" s="129"/>
      <c r="AZZ14" s="171" t="s">
        <v>40</v>
      </c>
      <c r="BAA14" s="171"/>
      <c r="BAB14" s="171"/>
      <c r="BAC14" s="171"/>
      <c r="BAD14" s="104"/>
      <c r="BAE14" s="104"/>
      <c r="BAF14" s="104"/>
      <c r="BAG14" s="105"/>
      <c r="BAH14" s="103"/>
      <c r="BAI14" s="104"/>
      <c r="BAJ14" s="104"/>
      <c r="BAK14" s="104"/>
      <c r="BAL14" s="171" t="s">
        <v>36</v>
      </c>
      <c r="BAM14" s="171"/>
      <c r="BAN14" s="171"/>
      <c r="BAO14" s="171"/>
      <c r="BAP14" s="104"/>
      <c r="BAQ14" s="104"/>
      <c r="BAR14" s="167" t="s">
        <v>24</v>
      </c>
      <c r="BAS14" s="167"/>
      <c r="BAT14" s="167"/>
      <c r="BAU14" s="167"/>
      <c r="BAV14" s="129"/>
      <c r="BAW14" s="129"/>
      <c r="BAX14" s="171" t="s">
        <v>37</v>
      </c>
      <c r="BAY14" s="171"/>
      <c r="BAZ14" s="171"/>
      <c r="BBA14" s="171"/>
      <c r="BBB14" s="104"/>
      <c r="BBC14" s="104"/>
      <c r="BBD14" s="167" t="s">
        <v>25</v>
      </c>
      <c r="BBE14" s="167"/>
      <c r="BBF14" s="167"/>
      <c r="BBG14" s="167"/>
      <c r="BBH14" s="129"/>
      <c r="BBI14" s="129"/>
      <c r="BBJ14" s="171" t="s">
        <v>38</v>
      </c>
      <c r="BBK14" s="171"/>
      <c r="BBL14" s="171"/>
      <c r="BBM14" s="171"/>
      <c r="BBN14" s="104"/>
      <c r="BBO14" s="104"/>
      <c r="BBP14" s="167" t="s">
        <v>26</v>
      </c>
      <c r="BBQ14" s="167"/>
      <c r="BBR14" s="167"/>
      <c r="BBS14" s="167"/>
      <c r="BBT14" s="129"/>
      <c r="BBU14" s="129"/>
      <c r="BBV14" s="171" t="s">
        <v>39</v>
      </c>
      <c r="BBW14" s="171"/>
      <c r="BBX14" s="171"/>
      <c r="BBY14" s="171"/>
      <c r="BBZ14" s="104"/>
      <c r="BCA14" s="104"/>
      <c r="BCB14" s="167" t="s">
        <v>27</v>
      </c>
      <c r="BCC14" s="167"/>
      <c r="BCD14" s="167"/>
      <c r="BCE14" s="167"/>
      <c r="BCF14" s="129"/>
      <c r="BCG14" s="129"/>
      <c r="BCH14" s="171" t="s">
        <v>40</v>
      </c>
      <c r="BCI14" s="171"/>
      <c r="BCJ14" s="171"/>
      <c r="BCK14" s="171"/>
      <c r="BCL14" s="104"/>
      <c r="BCM14" s="104"/>
      <c r="BCN14" s="104"/>
      <c r="BCO14" s="105"/>
      <c r="BCP14" s="103"/>
      <c r="BCQ14" s="104"/>
      <c r="BCR14" s="104"/>
      <c r="BCS14" s="104"/>
      <c r="BCT14" s="171" t="s">
        <v>36</v>
      </c>
      <c r="BCU14" s="171"/>
      <c r="BCV14" s="171"/>
      <c r="BCW14" s="171"/>
      <c r="BCX14" s="104"/>
      <c r="BCY14" s="104"/>
      <c r="BCZ14" s="167" t="s">
        <v>24</v>
      </c>
      <c r="BDA14" s="167"/>
      <c r="BDB14" s="167"/>
      <c r="BDC14" s="167"/>
      <c r="BDD14" s="129"/>
      <c r="BDE14" s="129"/>
      <c r="BDF14" s="171" t="s">
        <v>37</v>
      </c>
      <c r="BDG14" s="171"/>
      <c r="BDH14" s="171"/>
      <c r="BDI14" s="171"/>
      <c r="BDJ14" s="104"/>
      <c r="BDK14" s="104"/>
      <c r="BDL14" s="167" t="s">
        <v>25</v>
      </c>
      <c r="BDM14" s="167"/>
      <c r="BDN14" s="167"/>
      <c r="BDO14" s="167"/>
      <c r="BDP14" s="129"/>
      <c r="BDQ14" s="129"/>
      <c r="BDR14" s="171" t="s">
        <v>38</v>
      </c>
      <c r="BDS14" s="171"/>
      <c r="BDT14" s="171"/>
      <c r="BDU14" s="171"/>
      <c r="BDV14" s="104"/>
      <c r="BDW14" s="104"/>
      <c r="BDX14" s="167" t="s">
        <v>26</v>
      </c>
      <c r="BDY14" s="167"/>
      <c r="BDZ14" s="167"/>
      <c r="BEA14" s="167"/>
      <c r="BEB14" s="129"/>
      <c r="BEC14" s="129"/>
      <c r="BED14" s="171" t="s">
        <v>39</v>
      </c>
      <c r="BEE14" s="171"/>
      <c r="BEF14" s="171"/>
      <c r="BEG14" s="171"/>
      <c r="BEH14" s="104"/>
      <c r="BEI14" s="104"/>
      <c r="BEJ14" s="167" t="s">
        <v>27</v>
      </c>
      <c r="BEK14" s="167"/>
      <c r="BEL14" s="167"/>
      <c r="BEM14" s="167"/>
      <c r="BEN14" s="129"/>
      <c r="BEO14" s="129"/>
      <c r="BEP14" s="171" t="s">
        <v>40</v>
      </c>
      <c r="BEQ14" s="171"/>
      <c r="BER14" s="171"/>
      <c r="BES14" s="171"/>
      <c r="BET14" s="104"/>
      <c r="BEU14" s="104"/>
      <c r="BEV14" s="104"/>
      <c r="BEW14" s="105"/>
      <c r="BEX14" s="103"/>
      <c r="BEY14" s="104"/>
      <c r="BEZ14" s="104"/>
      <c r="BFA14" s="104"/>
      <c r="BFB14" s="171" t="s">
        <v>36</v>
      </c>
      <c r="BFC14" s="171"/>
      <c r="BFD14" s="171"/>
      <c r="BFE14" s="171"/>
      <c r="BFF14" s="104"/>
      <c r="BFG14" s="104"/>
      <c r="BFH14" s="167" t="s">
        <v>24</v>
      </c>
      <c r="BFI14" s="167"/>
      <c r="BFJ14" s="167"/>
      <c r="BFK14" s="167"/>
      <c r="BFL14" s="129"/>
      <c r="BFM14" s="129"/>
      <c r="BFN14" s="171" t="s">
        <v>37</v>
      </c>
      <c r="BFO14" s="171"/>
      <c r="BFP14" s="171"/>
      <c r="BFQ14" s="171"/>
      <c r="BFR14" s="104"/>
      <c r="BFS14" s="104"/>
      <c r="BFT14" s="167" t="s">
        <v>25</v>
      </c>
      <c r="BFU14" s="167"/>
      <c r="BFV14" s="167"/>
      <c r="BFW14" s="167"/>
      <c r="BFX14" s="129"/>
      <c r="BFY14" s="129"/>
      <c r="BFZ14" s="171" t="s">
        <v>38</v>
      </c>
      <c r="BGA14" s="171"/>
      <c r="BGB14" s="171"/>
      <c r="BGC14" s="171"/>
      <c r="BGD14" s="104"/>
      <c r="BGE14" s="104"/>
      <c r="BGF14" s="167" t="s">
        <v>26</v>
      </c>
      <c r="BGG14" s="167"/>
      <c r="BGH14" s="167"/>
      <c r="BGI14" s="167"/>
      <c r="BGJ14" s="129"/>
      <c r="BGK14" s="129"/>
      <c r="BGL14" s="171" t="s">
        <v>39</v>
      </c>
      <c r="BGM14" s="171"/>
      <c r="BGN14" s="171"/>
      <c r="BGO14" s="171"/>
      <c r="BGP14" s="104"/>
      <c r="BGQ14" s="104"/>
      <c r="BGR14" s="167" t="s">
        <v>27</v>
      </c>
      <c r="BGS14" s="167"/>
      <c r="BGT14" s="167"/>
      <c r="BGU14" s="167"/>
      <c r="BGV14" s="129"/>
      <c r="BGW14" s="129"/>
      <c r="BGX14" s="171" t="s">
        <v>40</v>
      </c>
      <c r="BGY14" s="171"/>
      <c r="BGZ14" s="171"/>
      <c r="BHA14" s="171"/>
      <c r="BHB14" s="104"/>
      <c r="BHC14" s="104"/>
      <c r="BHD14" s="104"/>
      <c r="BHE14" s="105"/>
      <c r="BHF14" s="103"/>
      <c r="BHG14" s="104"/>
      <c r="BHH14" s="104"/>
      <c r="BHI14" s="104"/>
      <c r="BHJ14" s="171" t="s">
        <v>36</v>
      </c>
      <c r="BHK14" s="171"/>
      <c r="BHL14" s="171"/>
      <c r="BHM14" s="171"/>
      <c r="BHN14" s="104"/>
      <c r="BHO14" s="104"/>
      <c r="BHP14" s="167" t="s">
        <v>24</v>
      </c>
      <c r="BHQ14" s="167"/>
      <c r="BHR14" s="167"/>
      <c r="BHS14" s="167"/>
      <c r="BHT14" s="129"/>
      <c r="BHU14" s="129"/>
      <c r="BHV14" s="171" t="s">
        <v>37</v>
      </c>
      <c r="BHW14" s="171"/>
      <c r="BHX14" s="171"/>
      <c r="BHY14" s="171"/>
      <c r="BHZ14" s="104"/>
      <c r="BIA14" s="104"/>
      <c r="BIB14" s="167" t="s">
        <v>25</v>
      </c>
      <c r="BIC14" s="167"/>
      <c r="BID14" s="167"/>
      <c r="BIE14" s="167"/>
      <c r="BIF14" s="129"/>
      <c r="BIG14" s="129"/>
      <c r="BIH14" s="171" t="s">
        <v>38</v>
      </c>
      <c r="BII14" s="171"/>
      <c r="BIJ14" s="171"/>
      <c r="BIK14" s="171"/>
      <c r="BIL14" s="104"/>
      <c r="BIM14" s="104"/>
      <c r="BIN14" s="167" t="s">
        <v>26</v>
      </c>
      <c r="BIO14" s="167"/>
      <c r="BIP14" s="167"/>
      <c r="BIQ14" s="167"/>
      <c r="BIR14" s="129"/>
      <c r="BIS14" s="129"/>
      <c r="BIT14" s="171" t="s">
        <v>39</v>
      </c>
      <c r="BIU14" s="171"/>
      <c r="BIV14" s="171"/>
      <c r="BIW14" s="171"/>
      <c r="BIX14" s="104"/>
      <c r="BIY14" s="104"/>
      <c r="BIZ14" s="167" t="s">
        <v>27</v>
      </c>
      <c r="BJA14" s="167"/>
      <c r="BJB14" s="167"/>
      <c r="BJC14" s="167"/>
      <c r="BJD14" s="129"/>
      <c r="BJE14" s="129"/>
      <c r="BJF14" s="171" t="s">
        <v>40</v>
      </c>
      <c r="BJG14" s="171"/>
      <c r="BJH14" s="171"/>
      <c r="BJI14" s="171"/>
      <c r="BJJ14" s="104"/>
      <c r="BJK14" s="104"/>
      <c r="BJL14" s="104"/>
      <c r="BJM14" s="105"/>
      <c r="BJN14" s="103"/>
      <c r="BJO14" s="104"/>
      <c r="BJP14" s="104"/>
      <c r="BJQ14" s="104"/>
      <c r="BJR14" s="171" t="s">
        <v>36</v>
      </c>
      <c r="BJS14" s="171"/>
      <c r="BJT14" s="171"/>
      <c r="BJU14" s="171"/>
      <c r="BJV14" s="104"/>
      <c r="BJW14" s="104"/>
      <c r="BJX14" s="167" t="s">
        <v>24</v>
      </c>
      <c r="BJY14" s="167"/>
      <c r="BJZ14" s="167"/>
      <c r="BKA14" s="167"/>
      <c r="BKB14" s="129"/>
      <c r="BKC14" s="129"/>
      <c r="BKD14" s="171" t="s">
        <v>37</v>
      </c>
      <c r="BKE14" s="171"/>
      <c r="BKF14" s="171"/>
      <c r="BKG14" s="171"/>
      <c r="BKH14" s="104"/>
      <c r="BKI14" s="104"/>
      <c r="BKJ14" s="167" t="s">
        <v>25</v>
      </c>
      <c r="BKK14" s="167"/>
      <c r="BKL14" s="167"/>
      <c r="BKM14" s="167"/>
      <c r="BKN14" s="129"/>
      <c r="BKO14" s="129"/>
      <c r="BKP14" s="171" t="s">
        <v>38</v>
      </c>
      <c r="BKQ14" s="171"/>
      <c r="BKR14" s="171"/>
      <c r="BKS14" s="171"/>
      <c r="BKT14" s="104"/>
      <c r="BKU14" s="104"/>
      <c r="BKV14" s="167" t="s">
        <v>26</v>
      </c>
      <c r="BKW14" s="167"/>
      <c r="BKX14" s="167"/>
      <c r="BKY14" s="167"/>
      <c r="BKZ14" s="129"/>
      <c r="BLA14" s="129"/>
      <c r="BLB14" s="171" t="s">
        <v>39</v>
      </c>
      <c r="BLC14" s="171"/>
      <c r="BLD14" s="171"/>
      <c r="BLE14" s="171"/>
      <c r="BLF14" s="104"/>
      <c r="BLG14" s="104"/>
      <c r="BLH14" s="167" t="s">
        <v>27</v>
      </c>
      <c r="BLI14" s="167"/>
      <c r="BLJ14" s="167"/>
      <c r="BLK14" s="167"/>
      <c r="BLL14" s="129"/>
      <c r="BLM14" s="129"/>
      <c r="BLN14" s="171" t="s">
        <v>40</v>
      </c>
      <c r="BLO14" s="171"/>
      <c r="BLP14" s="171"/>
      <c r="BLQ14" s="171"/>
      <c r="BLR14" s="104"/>
      <c r="BLS14" s="104"/>
      <c r="BLT14" s="104"/>
      <c r="BLU14" s="105"/>
      <c r="BLV14" s="103"/>
      <c r="BLW14" s="104"/>
      <c r="BLX14" s="104"/>
      <c r="BLY14" s="104"/>
      <c r="BLZ14" s="171" t="s">
        <v>36</v>
      </c>
      <c r="BMA14" s="171"/>
      <c r="BMB14" s="171"/>
      <c r="BMC14" s="171"/>
      <c r="BMD14" s="104"/>
      <c r="BME14" s="104"/>
      <c r="BMF14" s="167" t="s">
        <v>24</v>
      </c>
      <c r="BMG14" s="167"/>
      <c r="BMH14" s="167"/>
      <c r="BMI14" s="167"/>
      <c r="BMJ14" s="129"/>
      <c r="BMK14" s="129"/>
      <c r="BML14" s="171" t="s">
        <v>37</v>
      </c>
      <c r="BMM14" s="171"/>
      <c r="BMN14" s="171"/>
      <c r="BMO14" s="171"/>
      <c r="BMP14" s="104"/>
      <c r="BMQ14" s="104"/>
      <c r="BMR14" s="167" t="s">
        <v>25</v>
      </c>
      <c r="BMS14" s="167"/>
      <c r="BMT14" s="167"/>
      <c r="BMU14" s="167"/>
      <c r="BMV14" s="129"/>
      <c r="BMW14" s="129"/>
      <c r="BMX14" s="171" t="s">
        <v>38</v>
      </c>
      <c r="BMY14" s="171"/>
      <c r="BMZ14" s="171"/>
      <c r="BNA14" s="171"/>
      <c r="BNB14" s="104"/>
      <c r="BNC14" s="104"/>
      <c r="BND14" s="167" t="s">
        <v>26</v>
      </c>
      <c r="BNE14" s="167"/>
      <c r="BNF14" s="167"/>
      <c r="BNG14" s="167"/>
      <c r="BNH14" s="129"/>
      <c r="BNI14" s="129"/>
      <c r="BNJ14" s="171" t="s">
        <v>39</v>
      </c>
      <c r="BNK14" s="171"/>
      <c r="BNL14" s="171"/>
      <c r="BNM14" s="171"/>
      <c r="BNN14" s="104"/>
      <c r="BNO14" s="104"/>
      <c r="BNP14" s="167" t="s">
        <v>27</v>
      </c>
      <c r="BNQ14" s="167"/>
      <c r="BNR14" s="167"/>
      <c r="BNS14" s="167"/>
      <c r="BNT14" s="129"/>
      <c r="BNU14" s="129"/>
      <c r="BNV14" s="171" t="s">
        <v>40</v>
      </c>
      <c r="BNW14" s="171"/>
      <c r="BNX14" s="171"/>
      <c r="BNY14" s="171"/>
      <c r="BNZ14" s="104"/>
      <c r="BOA14" s="104"/>
      <c r="BOB14" s="104"/>
      <c r="BOC14" s="105"/>
      <c r="BOD14" s="103"/>
      <c r="BOE14" s="104"/>
      <c r="BOF14" s="104"/>
      <c r="BOG14" s="104"/>
      <c r="BOH14" s="171" t="s">
        <v>36</v>
      </c>
      <c r="BOI14" s="171"/>
      <c r="BOJ14" s="171"/>
      <c r="BOK14" s="171"/>
      <c r="BOL14" s="104"/>
      <c r="BOM14" s="104"/>
      <c r="BON14" s="167" t="s">
        <v>24</v>
      </c>
      <c r="BOO14" s="167"/>
      <c r="BOP14" s="167"/>
      <c r="BOQ14" s="167"/>
      <c r="BOR14" s="129"/>
      <c r="BOS14" s="129"/>
      <c r="BOT14" s="171" t="s">
        <v>37</v>
      </c>
      <c r="BOU14" s="171"/>
      <c r="BOV14" s="171"/>
      <c r="BOW14" s="171"/>
      <c r="BOX14" s="104"/>
      <c r="BOY14" s="104"/>
      <c r="BOZ14" s="167" t="s">
        <v>25</v>
      </c>
      <c r="BPA14" s="167"/>
      <c r="BPB14" s="167"/>
      <c r="BPC14" s="167"/>
      <c r="BPD14" s="129"/>
      <c r="BPE14" s="129"/>
      <c r="BPF14" s="171" t="s">
        <v>38</v>
      </c>
      <c r="BPG14" s="171"/>
      <c r="BPH14" s="171"/>
      <c r="BPI14" s="171"/>
      <c r="BPJ14" s="104"/>
      <c r="BPK14" s="104"/>
      <c r="BPL14" s="167" t="s">
        <v>26</v>
      </c>
      <c r="BPM14" s="167"/>
      <c r="BPN14" s="167"/>
      <c r="BPO14" s="167"/>
      <c r="BPP14" s="129"/>
      <c r="BPQ14" s="129"/>
      <c r="BPR14" s="171" t="s">
        <v>39</v>
      </c>
      <c r="BPS14" s="171"/>
      <c r="BPT14" s="171"/>
      <c r="BPU14" s="171"/>
      <c r="BPV14" s="104"/>
      <c r="BPW14" s="104"/>
      <c r="BPX14" s="167" t="s">
        <v>27</v>
      </c>
      <c r="BPY14" s="167"/>
      <c r="BPZ14" s="167"/>
      <c r="BQA14" s="167"/>
      <c r="BQB14" s="129"/>
      <c r="BQC14" s="129"/>
      <c r="BQD14" s="171" t="s">
        <v>40</v>
      </c>
      <c r="BQE14" s="171"/>
      <c r="BQF14" s="171"/>
      <c r="BQG14" s="171"/>
      <c r="BQH14" s="104"/>
      <c r="BQI14" s="104"/>
      <c r="BQJ14" s="104"/>
      <c r="BQK14" s="105"/>
      <c r="BQL14" s="103"/>
      <c r="BQM14" s="104"/>
      <c r="BQN14" s="104"/>
      <c r="BQO14" s="104"/>
      <c r="BQP14" s="171" t="s">
        <v>36</v>
      </c>
      <c r="BQQ14" s="171"/>
      <c r="BQR14" s="171"/>
      <c r="BQS14" s="171"/>
      <c r="BQT14" s="104"/>
      <c r="BQU14" s="104"/>
      <c r="BQV14" s="167" t="s">
        <v>24</v>
      </c>
      <c r="BQW14" s="167"/>
      <c r="BQX14" s="167"/>
      <c r="BQY14" s="167"/>
      <c r="BQZ14" s="129"/>
      <c r="BRA14" s="129"/>
      <c r="BRB14" s="171" t="s">
        <v>37</v>
      </c>
      <c r="BRC14" s="171"/>
      <c r="BRD14" s="171"/>
      <c r="BRE14" s="171"/>
      <c r="BRF14" s="104"/>
      <c r="BRG14" s="104"/>
      <c r="BRH14" s="167" t="s">
        <v>25</v>
      </c>
      <c r="BRI14" s="167"/>
      <c r="BRJ14" s="167"/>
      <c r="BRK14" s="167"/>
      <c r="BRL14" s="129"/>
      <c r="BRM14" s="129"/>
      <c r="BRN14" s="171" t="s">
        <v>38</v>
      </c>
      <c r="BRO14" s="171"/>
      <c r="BRP14" s="171"/>
      <c r="BRQ14" s="171"/>
      <c r="BRR14" s="104"/>
      <c r="BRS14" s="104"/>
      <c r="BRT14" s="167" t="s">
        <v>26</v>
      </c>
      <c r="BRU14" s="167"/>
      <c r="BRV14" s="167"/>
      <c r="BRW14" s="167"/>
      <c r="BRX14" s="129"/>
      <c r="BRY14" s="129"/>
      <c r="BRZ14" s="171" t="s">
        <v>39</v>
      </c>
      <c r="BSA14" s="171"/>
      <c r="BSB14" s="171"/>
      <c r="BSC14" s="171"/>
      <c r="BSD14" s="104"/>
      <c r="BSE14" s="104"/>
      <c r="BSF14" s="167" t="s">
        <v>27</v>
      </c>
      <c r="BSG14" s="167"/>
      <c r="BSH14" s="167"/>
      <c r="BSI14" s="167"/>
      <c r="BSJ14" s="129"/>
      <c r="BSK14" s="129"/>
      <c r="BSL14" s="171" t="s">
        <v>40</v>
      </c>
      <c r="BSM14" s="171"/>
      <c r="BSN14" s="171"/>
      <c r="BSO14" s="171"/>
      <c r="BSP14" s="104"/>
      <c r="BSQ14" s="104"/>
      <c r="BSR14" s="104"/>
      <c r="BSS14" s="105"/>
      <c r="BST14" s="103"/>
      <c r="BSU14" s="104"/>
      <c r="BSV14" s="104"/>
      <c r="BSW14" s="104"/>
      <c r="BSX14" s="171" t="s">
        <v>36</v>
      </c>
      <c r="BSY14" s="171"/>
      <c r="BSZ14" s="171"/>
      <c r="BTA14" s="171"/>
      <c r="BTB14" s="104"/>
      <c r="BTC14" s="104"/>
      <c r="BTD14" s="167" t="s">
        <v>24</v>
      </c>
      <c r="BTE14" s="167"/>
      <c r="BTF14" s="167"/>
      <c r="BTG14" s="167"/>
      <c r="BTH14" s="129"/>
      <c r="BTI14" s="129"/>
      <c r="BTJ14" s="171" t="s">
        <v>37</v>
      </c>
      <c r="BTK14" s="171"/>
      <c r="BTL14" s="171"/>
      <c r="BTM14" s="171"/>
      <c r="BTN14" s="104"/>
      <c r="BTO14" s="104"/>
      <c r="BTP14" s="167" t="s">
        <v>25</v>
      </c>
      <c r="BTQ14" s="167"/>
      <c r="BTR14" s="167"/>
      <c r="BTS14" s="167"/>
      <c r="BTT14" s="129"/>
      <c r="BTU14" s="129"/>
      <c r="BTV14" s="171" t="s">
        <v>38</v>
      </c>
      <c r="BTW14" s="171"/>
      <c r="BTX14" s="171"/>
      <c r="BTY14" s="171"/>
      <c r="BTZ14" s="104"/>
      <c r="BUA14" s="104"/>
      <c r="BUB14" s="167" t="s">
        <v>26</v>
      </c>
      <c r="BUC14" s="167"/>
      <c r="BUD14" s="167"/>
      <c r="BUE14" s="167"/>
      <c r="BUF14" s="129"/>
      <c r="BUG14" s="129"/>
      <c r="BUH14" s="171" t="s">
        <v>39</v>
      </c>
      <c r="BUI14" s="171"/>
      <c r="BUJ14" s="171"/>
      <c r="BUK14" s="171"/>
      <c r="BUL14" s="104"/>
      <c r="BUM14" s="104"/>
      <c r="BUN14" s="167" t="s">
        <v>27</v>
      </c>
      <c r="BUO14" s="167"/>
      <c r="BUP14" s="167"/>
      <c r="BUQ14" s="167"/>
      <c r="BUR14" s="129"/>
      <c r="BUS14" s="129"/>
      <c r="BUT14" s="171" t="s">
        <v>40</v>
      </c>
      <c r="BUU14" s="171"/>
      <c r="BUV14" s="171"/>
      <c r="BUW14" s="171"/>
      <c r="BUX14" s="104"/>
      <c r="BUY14" s="104"/>
      <c r="BUZ14" s="104"/>
      <c r="BVA14" s="105"/>
      <c r="BVB14" s="90"/>
    </row>
    <row r="15" spans="1:19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0" t="s">
        <v>4</v>
      </c>
      <c r="D15" s="149" t="str">
        <f>setValueToTime(E15)</f>
        <v>2h</v>
      </c>
      <c r="E15" s="31">
        <v>24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25"/>
      <c r="GE15" s="226"/>
      <c r="GF15" s="226"/>
      <c r="GG15" s="226"/>
      <c r="GH15" s="227"/>
      <c r="GI15" s="228"/>
      <c r="GJ15" s="227"/>
      <c r="GK15" s="227"/>
      <c r="GL15" s="227"/>
      <c r="GM15" s="227"/>
      <c r="GN15" s="227"/>
      <c r="GO15" s="229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25"/>
      <c r="NC15" s="226"/>
      <c r="ND15" s="226"/>
      <c r="NE15" s="226"/>
      <c r="NF15" s="227"/>
      <c r="NG15" s="228"/>
      <c r="NH15" s="227"/>
      <c r="NI15" s="227"/>
      <c r="NJ15" s="227"/>
      <c r="NK15" s="227"/>
      <c r="NL15" s="227"/>
      <c r="NM15" s="229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24"/>
      <c r="BOE15" s="68"/>
      <c r="BOF15" s="68"/>
      <c r="BOG15" s="68"/>
      <c r="BOH15" s="25"/>
      <c r="BOI15" s="130"/>
      <c r="BOJ15" s="25"/>
      <c r="BOK15" s="25"/>
      <c r="BOL15" s="25"/>
      <c r="BOM15" s="25"/>
      <c r="BON15" s="25"/>
      <c r="BOO15" s="135"/>
      <c r="BOP15" s="25"/>
      <c r="BOQ15" s="25"/>
      <c r="BOR15" s="25"/>
      <c r="BOS15" s="25"/>
      <c r="BOT15" s="25"/>
      <c r="BOU15" s="72"/>
      <c r="BOV15" s="25"/>
      <c r="BOW15" s="25"/>
      <c r="BOX15" s="25"/>
      <c r="BOY15" s="25"/>
      <c r="BOZ15" s="25"/>
      <c r="BPA15" s="135"/>
      <c r="BPB15" s="25"/>
      <c r="BPC15" s="25"/>
      <c r="BPD15" s="25"/>
      <c r="BPE15" s="25"/>
      <c r="BPF15" s="25"/>
      <c r="BPG15" s="72"/>
      <c r="BPH15" s="68"/>
      <c r="BPI15" s="68"/>
      <c r="BPJ15" s="68"/>
      <c r="BPK15" s="68"/>
      <c r="BPL15" s="25"/>
      <c r="BPM15" s="135"/>
      <c r="BPN15" s="25"/>
      <c r="BPO15" s="25"/>
      <c r="BPP15" s="25"/>
      <c r="BPQ15" s="25"/>
      <c r="BPR15" s="25"/>
      <c r="BPS15" s="72"/>
      <c r="BPT15" s="25"/>
      <c r="BPU15" s="25"/>
      <c r="BPV15" s="25"/>
      <c r="BPW15" s="25"/>
      <c r="BPX15" s="25"/>
      <c r="BPY15" s="135"/>
      <c r="BPZ15" s="25"/>
      <c r="BQA15" s="25"/>
      <c r="BQB15" s="25"/>
      <c r="BQC15" s="25"/>
      <c r="BQD15" s="25"/>
      <c r="BQE15" s="72"/>
      <c r="BQF15" s="25"/>
      <c r="BQG15" s="25"/>
      <c r="BQH15" s="25"/>
      <c r="BQI15" s="25"/>
      <c r="BQJ15" s="25"/>
      <c r="BQK15" s="26"/>
      <c r="BQL15" s="24"/>
      <c r="BQM15" s="68"/>
      <c r="BQN15" s="68"/>
      <c r="BQO15" s="68"/>
      <c r="BQP15" s="25"/>
      <c r="BQQ15" s="130"/>
      <c r="BQR15" s="25"/>
      <c r="BQS15" s="25"/>
      <c r="BQT15" s="25"/>
      <c r="BQU15" s="25"/>
      <c r="BQV15" s="25"/>
      <c r="BQW15" s="135"/>
      <c r="BQX15" s="25"/>
      <c r="BQY15" s="25"/>
      <c r="BQZ15" s="25"/>
      <c r="BRA15" s="25"/>
      <c r="BRB15" s="25"/>
      <c r="BRC15" s="72"/>
      <c r="BRD15" s="25"/>
      <c r="BRE15" s="25"/>
      <c r="BRF15" s="25"/>
      <c r="BRG15" s="25"/>
      <c r="BRH15" s="25"/>
      <c r="BRI15" s="135"/>
      <c r="BRJ15" s="25"/>
      <c r="BRK15" s="25"/>
      <c r="BRL15" s="25"/>
      <c r="BRM15" s="25"/>
      <c r="BRN15" s="25"/>
      <c r="BRO15" s="72"/>
      <c r="BRP15" s="68"/>
      <c r="BRQ15" s="68"/>
      <c r="BRR15" s="68"/>
      <c r="BRS15" s="68"/>
      <c r="BRT15" s="25"/>
      <c r="BRU15" s="135"/>
      <c r="BRV15" s="25"/>
      <c r="BRW15" s="25"/>
      <c r="BRX15" s="25"/>
      <c r="BRY15" s="25"/>
      <c r="BRZ15" s="25"/>
      <c r="BSA15" s="72"/>
      <c r="BSB15" s="25"/>
      <c r="BSC15" s="25"/>
      <c r="BSD15" s="25"/>
      <c r="BSE15" s="25"/>
      <c r="BSF15" s="25"/>
      <c r="BSG15" s="135"/>
      <c r="BSH15" s="25"/>
      <c r="BSI15" s="25"/>
      <c r="BSJ15" s="25"/>
      <c r="BSK15" s="25"/>
      <c r="BSL15" s="25"/>
      <c r="BSM15" s="72"/>
      <c r="BSN15" s="25"/>
      <c r="BSO15" s="25"/>
      <c r="BSP15" s="25"/>
      <c r="BSQ15" s="25"/>
      <c r="BSR15" s="25"/>
      <c r="BSS15" s="26"/>
      <c r="BST15" s="24"/>
      <c r="BSU15" s="68"/>
      <c r="BSV15" s="68"/>
      <c r="BSW15" s="68"/>
      <c r="BSX15" s="25"/>
      <c r="BSY15" s="130"/>
      <c r="BSZ15" s="25"/>
      <c r="BTA15" s="25"/>
      <c r="BTB15" s="25"/>
      <c r="BTC15" s="25"/>
      <c r="BTD15" s="25"/>
      <c r="BTE15" s="135"/>
      <c r="BTF15" s="25"/>
      <c r="BTG15" s="25"/>
      <c r="BTH15" s="25"/>
      <c r="BTI15" s="25"/>
      <c r="BTJ15" s="25"/>
      <c r="BTK15" s="72"/>
      <c r="BTL15" s="25"/>
      <c r="BTM15" s="25"/>
      <c r="BTN15" s="25"/>
      <c r="BTO15" s="25"/>
      <c r="BTP15" s="25"/>
      <c r="BTQ15" s="135"/>
      <c r="BTR15" s="25"/>
      <c r="BTS15" s="25"/>
      <c r="BTT15" s="25"/>
      <c r="BTU15" s="25"/>
      <c r="BTV15" s="25"/>
      <c r="BTW15" s="72"/>
      <c r="BTX15" s="68"/>
      <c r="BTY15" s="68"/>
      <c r="BTZ15" s="68"/>
      <c r="BUA15" s="68"/>
      <c r="BUB15" s="25"/>
      <c r="BUC15" s="135"/>
      <c r="BUD15" s="25"/>
      <c r="BUE15" s="25"/>
      <c r="BUF15" s="25"/>
      <c r="BUG15" s="25"/>
      <c r="BUH15" s="25"/>
      <c r="BUI15" s="72"/>
      <c r="BUJ15" s="25"/>
      <c r="BUK15" s="25"/>
      <c r="BUL15" s="25"/>
      <c r="BUM15" s="25"/>
      <c r="BUN15" s="25"/>
      <c r="BUO15" s="135"/>
      <c r="BUP15" s="25"/>
      <c r="BUQ15" s="25"/>
      <c r="BUR15" s="25"/>
      <c r="BUS15" s="25"/>
      <c r="BUT15" s="25"/>
      <c r="BUU15" s="72"/>
      <c r="BUV15" s="25"/>
      <c r="BUW15" s="25"/>
      <c r="BUX15" s="25"/>
      <c r="BUY15" s="25"/>
      <c r="BUZ15" s="25"/>
      <c r="BVA15" s="26"/>
      <c r="BVB15" s="90"/>
    </row>
    <row r="16" spans="1:192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1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28"/>
      <c r="BOE16" s="67"/>
      <c r="BOF16" s="67"/>
      <c r="BOG16" s="67"/>
      <c r="BOH16" s="29"/>
      <c r="BOI16" s="131"/>
      <c r="BOJ16" s="29"/>
      <c r="BOK16" s="29"/>
      <c r="BOL16" s="29"/>
      <c r="BOM16" s="29"/>
      <c r="BON16" s="29"/>
      <c r="BOO16" s="136"/>
      <c r="BOP16" s="29"/>
      <c r="BOQ16" s="29"/>
      <c r="BOR16" s="29"/>
      <c r="BOS16" s="29"/>
      <c r="BOT16" s="29"/>
      <c r="BOU16" s="73"/>
      <c r="BOV16" s="29"/>
      <c r="BOW16" s="29"/>
      <c r="BOX16" s="29"/>
      <c r="BOY16" s="29"/>
      <c r="BOZ16" s="29"/>
      <c r="BPA16" s="136"/>
      <c r="BPB16" s="29"/>
      <c r="BPC16" s="29"/>
      <c r="BPD16" s="29"/>
      <c r="BPE16" s="29"/>
      <c r="BPF16" s="29"/>
      <c r="BPG16" s="73"/>
      <c r="BPH16" s="67"/>
      <c r="BPI16" s="67"/>
      <c r="BPJ16" s="67"/>
      <c r="BPK16" s="67"/>
      <c r="BPL16" s="29"/>
      <c r="BPM16" s="136"/>
      <c r="BPN16" s="29"/>
      <c r="BPO16" s="29"/>
      <c r="BPP16" s="29"/>
      <c r="BPQ16" s="29"/>
      <c r="BPR16" s="29"/>
      <c r="BPS16" s="73"/>
      <c r="BPT16" s="29"/>
      <c r="BPU16" s="29"/>
      <c r="BPV16" s="29"/>
      <c r="BPW16" s="29"/>
      <c r="BPX16" s="29"/>
      <c r="BPY16" s="136"/>
      <c r="BPZ16" s="29"/>
      <c r="BQA16" s="29"/>
      <c r="BQB16" s="29"/>
      <c r="BQC16" s="29"/>
      <c r="BQD16" s="29"/>
      <c r="BQE16" s="73"/>
      <c r="BQF16" s="29"/>
      <c r="BQG16" s="29"/>
      <c r="BQH16" s="29"/>
      <c r="BQI16" s="29"/>
      <c r="BQJ16" s="29"/>
      <c r="BQK16" s="30"/>
      <c r="BQL16" s="28"/>
      <c r="BQM16" s="67"/>
      <c r="BQN16" s="67"/>
      <c r="BQO16" s="67"/>
      <c r="BQP16" s="29"/>
      <c r="BQQ16" s="131"/>
      <c r="BQR16" s="29"/>
      <c r="BQS16" s="29"/>
      <c r="BQT16" s="29"/>
      <c r="BQU16" s="29"/>
      <c r="BQV16" s="29"/>
      <c r="BQW16" s="136"/>
      <c r="BQX16" s="29"/>
      <c r="BQY16" s="29"/>
      <c r="BQZ16" s="29"/>
      <c r="BRA16" s="29"/>
      <c r="BRB16" s="29"/>
      <c r="BRC16" s="73"/>
      <c r="BRD16" s="29"/>
      <c r="BRE16" s="29"/>
      <c r="BRF16" s="29"/>
      <c r="BRG16" s="29"/>
      <c r="BRH16" s="29"/>
      <c r="BRI16" s="136"/>
      <c r="BRJ16" s="29"/>
      <c r="BRK16" s="29"/>
      <c r="BRL16" s="29"/>
      <c r="BRM16" s="29"/>
      <c r="BRN16" s="29"/>
      <c r="BRO16" s="73"/>
      <c r="BRP16" s="67"/>
      <c r="BRQ16" s="67"/>
      <c r="BRR16" s="67"/>
      <c r="BRS16" s="67"/>
      <c r="BRT16" s="29"/>
      <c r="BRU16" s="136"/>
      <c r="BRV16" s="29"/>
      <c r="BRW16" s="29"/>
      <c r="BRX16" s="29"/>
      <c r="BRY16" s="29"/>
      <c r="BRZ16" s="29"/>
      <c r="BSA16" s="73"/>
      <c r="BSB16" s="29"/>
      <c r="BSC16" s="29"/>
      <c r="BSD16" s="29"/>
      <c r="BSE16" s="29"/>
      <c r="BSF16" s="29"/>
      <c r="BSG16" s="136"/>
      <c r="BSH16" s="29"/>
      <c r="BSI16" s="29"/>
      <c r="BSJ16" s="29"/>
      <c r="BSK16" s="29"/>
      <c r="BSL16" s="29"/>
      <c r="BSM16" s="73"/>
      <c r="BSN16" s="29"/>
      <c r="BSO16" s="29"/>
      <c r="BSP16" s="29"/>
      <c r="BSQ16" s="29"/>
      <c r="BSR16" s="29"/>
      <c r="BSS16" s="30"/>
      <c r="BST16" s="28"/>
      <c r="BSU16" s="67"/>
      <c r="BSV16" s="67"/>
      <c r="BSW16" s="67"/>
      <c r="BSX16" s="29"/>
      <c r="BSY16" s="131"/>
      <c r="BSZ16" s="29"/>
      <c r="BTA16" s="29"/>
      <c r="BTB16" s="29"/>
      <c r="BTC16" s="29"/>
      <c r="BTD16" s="29"/>
      <c r="BTE16" s="136"/>
      <c r="BTF16" s="29"/>
      <c r="BTG16" s="29"/>
      <c r="BTH16" s="29"/>
      <c r="BTI16" s="29"/>
      <c r="BTJ16" s="29"/>
      <c r="BTK16" s="73"/>
      <c r="BTL16" s="29"/>
      <c r="BTM16" s="29"/>
      <c r="BTN16" s="29"/>
      <c r="BTO16" s="29"/>
      <c r="BTP16" s="29"/>
      <c r="BTQ16" s="136"/>
      <c r="BTR16" s="29"/>
      <c r="BTS16" s="29"/>
      <c r="BTT16" s="29"/>
      <c r="BTU16" s="29"/>
      <c r="BTV16" s="29"/>
      <c r="BTW16" s="73"/>
      <c r="BTX16" s="67"/>
      <c r="BTY16" s="67"/>
      <c r="BTZ16" s="67"/>
      <c r="BUA16" s="67"/>
      <c r="BUB16" s="29"/>
      <c r="BUC16" s="136"/>
      <c r="BUD16" s="29"/>
      <c r="BUE16" s="29"/>
      <c r="BUF16" s="29"/>
      <c r="BUG16" s="29"/>
      <c r="BUH16" s="29"/>
      <c r="BUI16" s="73"/>
      <c r="BUJ16" s="29"/>
      <c r="BUK16" s="29"/>
      <c r="BUL16" s="29"/>
      <c r="BUM16" s="29"/>
      <c r="BUN16" s="29"/>
      <c r="BUO16" s="136"/>
      <c r="BUP16" s="29"/>
      <c r="BUQ16" s="29"/>
      <c r="BUR16" s="29"/>
      <c r="BUS16" s="29"/>
      <c r="BUT16" s="29"/>
      <c r="BUU16" s="73"/>
      <c r="BUV16" s="29"/>
      <c r="BUW16" s="29"/>
      <c r="BUX16" s="29"/>
      <c r="BUY16" s="29"/>
      <c r="BUZ16" s="29"/>
      <c r="BVA16" s="30"/>
      <c r="BVB16" s="90"/>
    </row>
    <row r="17" spans="1:1926" ht="20.100000000000001" customHeight="1" x14ac:dyDescent="0.25">
      <c r="A17" s="100" t="s">
        <v>20</v>
      </c>
      <c r="B17" s="63" t="str">
        <f>IF(LEN(C19)=0,"",C19)</f>
        <v>Doc - Journal de travail</v>
      </c>
      <c r="C17" s="180" t="s">
        <v>32</v>
      </c>
      <c r="D17" s="146" t="str">
        <f t="shared" si="0"/>
        <v>4h30min</v>
      </c>
      <c r="E17" s="31">
        <v>54</v>
      </c>
      <c r="F17" s="32"/>
      <c r="G17" s="64"/>
      <c r="H17" s="64"/>
      <c r="I17" s="64"/>
      <c r="J17" s="33"/>
      <c r="K17" s="132"/>
      <c r="L17" s="33"/>
      <c r="M17" s="33"/>
      <c r="N17" s="218"/>
      <c r="O17" s="218"/>
      <c r="P17" s="218"/>
      <c r="Q17" s="220"/>
      <c r="R17" s="218"/>
      <c r="S17" s="218"/>
      <c r="T17" s="218"/>
      <c r="U17" s="218"/>
      <c r="V17" s="218"/>
      <c r="W17" s="219"/>
      <c r="X17" s="218"/>
      <c r="Y17" s="218"/>
      <c r="Z17" s="218"/>
      <c r="AA17" s="218"/>
      <c r="AB17" s="218"/>
      <c r="AC17" s="220"/>
      <c r="AD17" s="218"/>
      <c r="AE17" s="218"/>
      <c r="AF17" s="218"/>
      <c r="AG17" s="218"/>
      <c r="AH17" s="218"/>
      <c r="AI17" s="219"/>
      <c r="AJ17" s="223"/>
      <c r="AK17" s="223"/>
      <c r="AL17" s="223"/>
      <c r="AM17" s="223"/>
      <c r="AN17" s="218"/>
      <c r="AO17" s="220"/>
      <c r="AP17" s="218"/>
      <c r="AQ17" s="218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222"/>
      <c r="BO17" s="223"/>
      <c r="BP17" s="223"/>
      <c r="BQ17" s="223"/>
      <c r="BR17" s="218"/>
      <c r="BS17" s="224"/>
      <c r="BT17" s="218"/>
      <c r="BU17" s="218"/>
      <c r="BV17" s="218"/>
      <c r="BW17" s="218"/>
      <c r="BX17" s="218"/>
      <c r="BY17" s="220"/>
      <c r="BZ17" s="218"/>
      <c r="CA17" s="218"/>
      <c r="CB17" s="218"/>
      <c r="CC17" s="218"/>
      <c r="CD17" s="218"/>
      <c r="CE17" s="219"/>
      <c r="CF17" s="218"/>
      <c r="CG17" s="218"/>
      <c r="CH17" s="218"/>
      <c r="CI17" s="218"/>
      <c r="CJ17" s="218"/>
      <c r="CK17" s="220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32"/>
      <c r="BOE17" s="64"/>
      <c r="BOF17" s="64"/>
      <c r="BOG17" s="64"/>
      <c r="BOH17" s="33"/>
      <c r="BOI17" s="132"/>
      <c r="BOJ17" s="33"/>
      <c r="BOK17" s="33"/>
      <c r="BOL17" s="33"/>
      <c r="BOM17" s="33"/>
      <c r="BON17" s="33"/>
      <c r="BOO17" s="137"/>
      <c r="BOP17" s="33"/>
      <c r="BOQ17" s="33"/>
      <c r="BOR17" s="33"/>
      <c r="BOS17" s="33"/>
      <c r="BOT17" s="33"/>
      <c r="BOU17" s="74"/>
      <c r="BOV17" s="33"/>
      <c r="BOW17" s="33"/>
      <c r="BOX17" s="33"/>
      <c r="BOY17" s="33"/>
      <c r="BOZ17" s="33"/>
      <c r="BPA17" s="137"/>
      <c r="BPB17" s="33"/>
      <c r="BPC17" s="33"/>
      <c r="BPD17" s="33"/>
      <c r="BPE17" s="33"/>
      <c r="BPF17" s="33"/>
      <c r="BPG17" s="74"/>
      <c r="BPH17" s="64"/>
      <c r="BPI17" s="64"/>
      <c r="BPJ17" s="64"/>
      <c r="BPK17" s="64"/>
      <c r="BPL17" s="33"/>
      <c r="BPM17" s="137"/>
      <c r="BPN17" s="33"/>
      <c r="BPO17" s="33"/>
      <c r="BPP17" s="33"/>
      <c r="BPQ17" s="33"/>
      <c r="BPR17" s="33"/>
      <c r="BPS17" s="74"/>
      <c r="BPT17" s="33"/>
      <c r="BPU17" s="33"/>
      <c r="BPV17" s="33"/>
      <c r="BPW17" s="33"/>
      <c r="BPX17" s="33"/>
      <c r="BPY17" s="137"/>
      <c r="BPZ17" s="33"/>
      <c r="BQA17" s="33"/>
      <c r="BQB17" s="33"/>
      <c r="BQC17" s="33"/>
      <c r="BQD17" s="33"/>
      <c r="BQE17" s="74"/>
      <c r="BQF17" s="33"/>
      <c r="BQG17" s="33"/>
      <c r="BQH17" s="33"/>
      <c r="BQI17" s="33"/>
      <c r="BQJ17" s="33"/>
      <c r="BQK17" s="34"/>
      <c r="BQL17" s="32"/>
      <c r="BQM17" s="64"/>
      <c r="BQN17" s="64"/>
      <c r="BQO17" s="64"/>
      <c r="BQP17" s="33"/>
      <c r="BQQ17" s="132"/>
      <c r="BQR17" s="33"/>
      <c r="BQS17" s="33"/>
      <c r="BQT17" s="33"/>
      <c r="BQU17" s="33"/>
      <c r="BQV17" s="33"/>
      <c r="BQW17" s="137"/>
      <c r="BQX17" s="33"/>
      <c r="BQY17" s="33"/>
      <c r="BQZ17" s="33"/>
      <c r="BRA17" s="33"/>
      <c r="BRB17" s="33"/>
      <c r="BRC17" s="74"/>
      <c r="BRD17" s="33"/>
      <c r="BRE17" s="33"/>
      <c r="BRF17" s="33"/>
      <c r="BRG17" s="33"/>
      <c r="BRH17" s="33"/>
      <c r="BRI17" s="137"/>
      <c r="BRJ17" s="33"/>
      <c r="BRK17" s="33"/>
      <c r="BRL17" s="33"/>
      <c r="BRM17" s="33"/>
      <c r="BRN17" s="33"/>
      <c r="BRO17" s="74"/>
      <c r="BRP17" s="64"/>
      <c r="BRQ17" s="64"/>
      <c r="BRR17" s="64"/>
      <c r="BRS17" s="64"/>
      <c r="BRT17" s="33"/>
      <c r="BRU17" s="137"/>
      <c r="BRV17" s="33"/>
      <c r="BRW17" s="33"/>
      <c r="BRX17" s="33"/>
      <c r="BRY17" s="33"/>
      <c r="BRZ17" s="33"/>
      <c r="BSA17" s="74"/>
      <c r="BSB17" s="33"/>
      <c r="BSC17" s="33"/>
      <c r="BSD17" s="33"/>
      <c r="BSE17" s="33"/>
      <c r="BSF17" s="33"/>
      <c r="BSG17" s="137"/>
      <c r="BSH17" s="33"/>
      <c r="BSI17" s="33"/>
      <c r="BSJ17" s="33"/>
      <c r="BSK17" s="33"/>
      <c r="BSL17" s="33"/>
      <c r="BSM17" s="74"/>
      <c r="BSN17" s="33"/>
      <c r="BSO17" s="33"/>
      <c r="BSP17" s="33"/>
      <c r="BSQ17" s="33"/>
      <c r="BSR17" s="33"/>
      <c r="BSS17" s="34"/>
      <c r="BST17" s="32"/>
      <c r="BSU17" s="64"/>
      <c r="BSV17" s="64"/>
      <c r="BSW17" s="64"/>
      <c r="BSX17" s="33"/>
      <c r="BSY17" s="132"/>
      <c r="BSZ17" s="33"/>
      <c r="BTA17" s="33"/>
      <c r="BTB17" s="33"/>
      <c r="BTC17" s="33"/>
      <c r="BTD17" s="33"/>
      <c r="BTE17" s="137"/>
      <c r="BTF17" s="33"/>
      <c r="BTG17" s="33"/>
      <c r="BTH17" s="33"/>
      <c r="BTI17" s="33"/>
      <c r="BTJ17" s="33"/>
      <c r="BTK17" s="74"/>
      <c r="BTL17" s="33"/>
      <c r="BTM17" s="33"/>
      <c r="BTN17" s="33"/>
      <c r="BTO17" s="33"/>
      <c r="BTP17" s="33"/>
      <c r="BTQ17" s="137"/>
      <c r="BTR17" s="33"/>
      <c r="BTS17" s="33"/>
      <c r="BTT17" s="33"/>
      <c r="BTU17" s="33"/>
      <c r="BTV17" s="33"/>
      <c r="BTW17" s="74"/>
      <c r="BTX17" s="64"/>
      <c r="BTY17" s="64"/>
      <c r="BTZ17" s="64"/>
      <c r="BUA17" s="64"/>
      <c r="BUB17" s="33"/>
      <c r="BUC17" s="137"/>
      <c r="BUD17" s="33"/>
      <c r="BUE17" s="33"/>
      <c r="BUF17" s="33"/>
      <c r="BUG17" s="33"/>
      <c r="BUH17" s="33"/>
      <c r="BUI17" s="74"/>
      <c r="BUJ17" s="33"/>
      <c r="BUK17" s="33"/>
      <c r="BUL17" s="33"/>
      <c r="BUM17" s="33"/>
      <c r="BUN17" s="33"/>
      <c r="BUO17" s="137"/>
      <c r="BUP17" s="33"/>
      <c r="BUQ17" s="33"/>
      <c r="BUR17" s="33"/>
      <c r="BUS17" s="33"/>
      <c r="BUT17" s="33"/>
      <c r="BUU17" s="74"/>
      <c r="BUV17" s="33"/>
      <c r="BUW17" s="33"/>
      <c r="BUX17" s="33"/>
      <c r="BUY17" s="33"/>
      <c r="BUZ17" s="33"/>
      <c r="BVA17" s="34"/>
      <c r="BVB17" s="90"/>
    </row>
    <row r="18" spans="1:1926" ht="20.100000000000001" customHeight="1" x14ac:dyDescent="0.3">
      <c r="A18" s="100" t="s">
        <v>21</v>
      </c>
      <c r="B18" s="63" t="str">
        <f>IF(LEN(C21)=0,"",C21)</f>
        <v>Doc - Rapport</v>
      </c>
      <c r="C18" s="181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36"/>
      <c r="BOE18" s="65"/>
      <c r="BOF18" s="65"/>
      <c r="BOG18" s="65"/>
      <c r="BOH18" s="37"/>
      <c r="BOI18" s="133"/>
      <c r="BOJ18" s="37"/>
      <c r="BOK18" s="37"/>
      <c r="BOL18" s="37"/>
      <c r="BOM18" s="37"/>
      <c r="BON18" s="37"/>
      <c r="BOO18" s="138"/>
      <c r="BOP18" s="37"/>
      <c r="BOQ18" s="37"/>
      <c r="BOR18" s="37"/>
      <c r="BOS18" s="37"/>
      <c r="BOT18" s="37"/>
      <c r="BOU18" s="75"/>
      <c r="BOV18" s="37"/>
      <c r="BOW18" s="37"/>
      <c r="BOX18" s="37"/>
      <c r="BOY18" s="37"/>
      <c r="BOZ18" s="37"/>
      <c r="BPA18" s="138"/>
      <c r="BPB18" s="37"/>
      <c r="BPC18" s="37"/>
      <c r="BPD18" s="37"/>
      <c r="BPE18" s="37"/>
      <c r="BPF18" s="37"/>
      <c r="BPG18" s="75"/>
      <c r="BPH18" s="65"/>
      <c r="BPI18" s="65"/>
      <c r="BPJ18" s="65"/>
      <c r="BPK18" s="65"/>
      <c r="BPL18" s="37"/>
      <c r="BPM18" s="138"/>
      <c r="BPN18" s="37"/>
      <c r="BPO18" s="37"/>
      <c r="BPP18" s="37"/>
      <c r="BPQ18" s="37"/>
      <c r="BPR18" s="37"/>
      <c r="BPS18" s="75"/>
      <c r="BPT18" s="37"/>
      <c r="BPU18" s="37"/>
      <c r="BPV18" s="37"/>
      <c r="BPW18" s="37"/>
      <c r="BPX18" s="37"/>
      <c r="BPY18" s="138"/>
      <c r="BPZ18" s="37"/>
      <c r="BQA18" s="37"/>
      <c r="BQB18" s="37"/>
      <c r="BQC18" s="37"/>
      <c r="BQD18" s="37"/>
      <c r="BQE18" s="75"/>
      <c r="BQF18" s="37"/>
      <c r="BQG18" s="37"/>
      <c r="BQH18" s="37"/>
      <c r="BQI18" s="37"/>
      <c r="BQJ18" s="37"/>
      <c r="BQK18" s="38"/>
      <c r="BQL18" s="36"/>
      <c r="BQM18" s="65"/>
      <c r="BQN18" s="65"/>
      <c r="BQO18" s="65"/>
      <c r="BQP18" s="37"/>
      <c r="BQQ18" s="133"/>
      <c r="BQR18" s="37"/>
      <c r="BQS18" s="37"/>
      <c r="BQT18" s="37"/>
      <c r="BQU18" s="37"/>
      <c r="BQV18" s="37"/>
      <c r="BQW18" s="138"/>
      <c r="BQX18" s="37"/>
      <c r="BQY18" s="37"/>
      <c r="BQZ18" s="37"/>
      <c r="BRA18" s="37"/>
      <c r="BRB18" s="37"/>
      <c r="BRC18" s="75"/>
      <c r="BRD18" s="37"/>
      <c r="BRE18" s="37"/>
      <c r="BRF18" s="37"/>
      <c r="BRG18" s="37"/>
      <c r="BRH18" s="37"/>
      <c r="BRI18" s="138"/>
      <c r="BRJ18" s="37"/>
      <c r="BRK18" s="37"/>
      <c r="BRL18" s="37"/>
      <c r="BRM18" s="37"/>
      <c r="BRN18" s="37"/>
      <c r="BRO18" s="75"/>
      <c r="BRP18" s="65"/>
      <c r="BRQ18" s="65"/>
      <c r="BRR18" s="65"/>
      <c r="BRS18" s="65"/>
      <c r="BRT18" s="37"/>
      <c r="BRU18" s="138"/>
      <c r="BRV18" s="37"/>
      <c r="BRW18" s="37"/>
      <c r="BRX18" s="37"/>
      <c r="BRY18" s="37"/>
      <c r="BRZ18" s="37"/>
      <c r="BSA18" s="75"/>
      <c r="BSB18" s="37"/>
      <c r="BSC18" s="37"/>
      <c r="BSD18" s="37"/>
      <c r="BSE18" s="37"/>
      <c r="BSF18" s="37"/>
      <c r="BSG18" s="138"/>
      <c r="BSH18" s="37"/>
      <c r="BSI18" s="37"/>
      <c r="BSJ18" s="37"/>
      <c r="BSK18" s="37"/>
      <c r="BSL18" s="37"/>
      <c r="BSM18" s="75"/>
      <c r="BSN18" s="37"/>
      <c r="BSO18" s="37"/>
      <c r="BSP18" s="37"/>
      <c r="BSQ18" s="37"/>
      <c r="BSR18" s="37"/>
      <c r="BSS18" s="38"/>
      <c r="BST18" s="36"/>
      <c r="BSU18" s="65"/>
      <c r="BSV18" s="65"/>
      <c r="BSW18" s="65"/>
      <c r="BSX18" s="37"/>
      <c r="BSY18" s="133"/>
      <c r="BSZ18" s="37"/>
      <c r="BTA18" s="37"/>
      <c r="BTB18" s="37"/>
      <c r="BTC18" s="37"/>
      <c r="BTD18" s="37"/>
      <c r="BTE18" s="138"/>
      <c r="BTF18" s="37"/>
      <c r="BTG18" s="37"/>
      <c r="BTH18" s="37"/>
      <c r="BTI18" s="37"/>
      <c r="BTJ18" s="37"/>
      <c r="BTK18" s="75"/>
      <c r="BTL18" s="37"/>
      <c r="BTM18" s="37"/>
      <c r="BTN18" s="37"/>
      <c r="BTO18" s="37"/>
      <c r="BTP18" s="37"/>
      <c r="BTQ18" s="138"/>
      <c r="BTR18" s="37"/>
      <c r="BTS18" s="37"/>
      <c r="BTT18" s="37"/>
      <c r="BTU18" s="37"/>
      <c r="BTV18" s="37"/>
      <c r="BTW18" s="75"/>
      <c r="BTX18" s="65"/>
      <c r="BTY18" s="65"/>
      <c r="BTZ18" s="65"/>
      <c r="BUA18" s="65"/>
      <c r="BUB18" s="37"/>
      <c r="BUC18" s="138"/>
      <c r="BUD18" s="37"/>
      <c r="BUE18" s="37"/>
      <c r="BUF18" s="37"/>
      <c r="BUG18" s="37"/>
      <c r="BUH18" s="37"/>
      <c r="BUI18" s="75"/>
      <c r="BUJ18" s="37"/>
      <c r="BUK18" s="37"/>
      <c r="BUL18" s="37"/>
      <c r="BUM18" s="37"/>
      <c r="BUN18" s="37"/>
      <c r="BUO18" s="138"/>
      <c r="BUP18" s="37"/>
      <c r="BUQ18" s="37"/>
      <c r="BUR18" s="37"/>
      <c r="BUS18" s="37"/>
      <c r="BUT18" s="37"/>
      <c r="BUU18" s="75"/>
      <c r="BUV18" s="37"/>
      <c r="BUW18" s="37"/>
      <c r="BUX18" s="37"/>
      <c r="BUY18" s="37"/>
      <c r="BUZ18" s="37"/>
      <c r="BVA18" s="38"/>
      <c r="BVB18" s="90"/>
    </row>
    <row r="19" spans="1:1926" ht="20.100000000000001" customHeight="1" x14ac:dyDescent="0.25">
      <c r="A19" s="100" t="s">
        <v>20</v>
      </c>
      <c r="B19" s="63" t="str">
        <f>IF(LEN(C23)=0,"",C23)</f>
        <v>Implémentation - Interfaces</v>
      </c>
      <c r="C19" s="180" t="s">
        <v>17</v>
      </c>
      <c r="D19" s="146" t="str">
        <f t="shared" si="0"/>
        <v>2h</v>
      </c>
      <c r="E19" s="39">
        <v>24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215"/>
      <c r="AS19" s="215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215"/>
      <c r="CO19" s="215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215"/>
      <c r="FM19" s="215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215"/>
      <c r="HF19" s="215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215"/>
      <c r="JM19" s="215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215"/>
      <c r="LW19" s="221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215"/>
      <c r="OM19" s="215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215"/>
      <c r="RE19" s="217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215"/>
      <c r="TC19" s="215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215"/>
      <c r="VU19" s="217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215"/>
      <c r="XI19" s="215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215"/>
      <c r="ZQ19" s="215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40"/>
      <c r="BOE19" s="66"/>
      <c r="BOF19" s="66"/>
      <c r="BOG19" s="66"/>
      <c r="BOH19" s="41"/>
      <c r="BOI19" s="134"/>
      <c r="BOJ19" s="41"/>
      <c r="BOK19" s="41"/>
      <c r="BOL19" s="41"/>
      <c r="BOM19" s="41"/>
      <c r="BON19" s="41"/>
      <c r="BOO19" s="139"/>
      <c r="BOP19" s="41"/>
      <c r="BOQ19" s="41"/>
      <c r="BOR19" s="41"/>
      <c r="BOS19" s="41"/>
      <c r="BOT19" s="41"/>
      <c r="BOU19" s="76"/>
      <c r="BOV19" s="41"/>
      <c r="BOW19" s="41"/>
      <c r="BOX19" s="41"/>
      <c r="BOY19" s="41"/>
      <c r="BOZ19" s="41"/>
      <c r="BPA19" s="139"/>
      <c r="BPB19" s="41"/>
      <c r="BPC19" s="41"/>
      <c r="BPD19" s="41"/>
      <c r="BPE19" s="41"/>
      <c r="BPF19" s="41"/>
      <c r="BPG19" s="76"/>
      <c r="BPH19" s="66"/>
      <c r="BPI19" s="66"/>
      <c r="BPJ19" s="66"/>
      <c r="BPK19" s="66"/>
      <c r="BPL19" s="41"/>
      <c r="BPM19" s="139"/>
      <c r="BPN19" s="41"/>
      <c r="BPO19" s="41"/>
      <c r="BPP19" s="41"/>
      <c r="BPQ19" s="41"/>
      <c r="BPR19" s="41"/>
      <c r="BPS19" s="76"/>
      <c r="BPT19" s="41"/>
      <c r="BPU19" s="41"/>
      <c r="BPV19" s="41"/>
      <c r="BPW19" s="41"/>
      <c r="BPX19" s="41"/>
      <c r="BPY19" s="139"/>
      <c r="BPZ19" s="41"/>
      <c r="BQA19" s="41"/>
      <c r="BQB19" s="41"/>
      <c r="BQC19" s="41"/>
      <c r="BQD19" s="41"/>
      <c r="BQE19" s="76"/>
      <c r="BQF19" s="41"/>
      <c r="BQG19" s="41"/>
      <c r="BQH19" s="41"/>
      <c r="BQI19" s="41"/>
      <c r="BQJ19" s="41"/>
      <c r="BQK19" s="42"/>
      <c r="BQL19" s="40"/>
      <c r="BQM19" s="66"/>
      <c r="BQN19" s="66"/>
      <c r="BQO19" s="66"/>
      <c r="BQP19" s="41"/>
      <c r="BQQ19" s="134"/>
      <c r="BQR19" s="41"/>
      <c r="BQS19" s="41"/>
      <c r="BQT19" s="41"/>
      <c r="BQU19" s="41"/>
      <c r="BQV19" s="41"/>
      <c r="BQW19" s="139"/>
      <c r="BQX19" s="41"/>
      <c r="BQY19" s="41"/>
      <c r="BQZ19" s="41"/>
      <c r="BRA19" s="41"/>
      <c r="BRB19" s="41"/>
      <c r="BRC19" s="76"/>
      <c r="BRD19" s="41"/>
      <c r="BRE19" s="41"/>
      <c r="BRF19" s="41"/>
      <c r="BRG19" s="41"/>
      <c r="BRH19" s="41"/>
      <c r="BRI19" s="139"/>
      <c r="BRJ19" s="41"/>
      <c r="BRK19" s="41"/>
      <c r="BRL19" s="41"/>
      <c r="BRM19" s="41"/>
      <c r="BRN19" s="41"/>
      <c r="BRO19" s="76"/>
      <c r="BRP19" s="66"/>
      <c r="BRQ19" s="66"/>
      <c r="BRR19" s="66"/>
      <c r="BRS19" s="66"/>
      <c r="BRT19" s="41"/>
      <c r="BRU19" s="139"/>
      <c r="BRV19" s="41"/>
      <c r="BRW19" s="41"/>
      <c r="BRX19" s="41"/>
      <c r="BRY19" s="41"/>
      <c r="BRZ19" s="41"/>
      <c r="BSA19" s="76"/>
      <c r="BSB19" s="41"/>
      <c r="BSC19" s="41"/>
      <c r="BSD19" s="41"/>
      <c r="BSE19" s="41"/>
      <c r="BSF19" s="41"/>
      <c r="BSG19" s="139"/>
      <c r="BSH19" s="41"/>
      <c r="BSI19" s="41"/>
      <c r="BSJ19" s="41"/>
      <c r="BSK19" s="41"/>
      <c r="BSL19" s="41"/>
      <c r="BSM19" s="76"/>
      <c r="BSN19" s="41"/>
      <c r="BSO19" s="41"/>
      <c r="BSP19" s="41"/>
      <c r="BSQ19" s="41"/>
      <c r="BSR19" s="41"/>
      <c r="BSS19" s="42"/>
      <c r="BST19" s="40"/>
      <c r="BSU19" s="66"/>
      <c r="BSV19" s="66"/>
      <c r="BSW19" s="66"/>
      <c r="BSX19" s="41"/>
      <c r="BSY19" s="134"/>
      <c r="BSZ19" s="41"/>
      <c r="BTA19" s="41"/>
      <c r="BTB19" s="41"/>
      <c r="BTC19" s="41"/>
      <c r="BTD19" s="41"/>
      <c r="BTE19" s="139"/>
      <c r="BTF19" s="41"/>
      <c r="BTG19" s="41"/>
      <c r="BTH19" s="41"/>
      <c r="BTI19" s="41"/>
      <c r="BTJ19" s="41"/>
      <c r="BTK19" s="76"/>
      <c r="BTL19" s="41"/>
      <c r="BTM19" s="41"/>
      <c r="BTN19" s="41"/>
      <c r="BTO19" s="41"/>
      <c r="BTP19" s="41"/>
      <c r="BTQ19" s="139"/>
      <c r="BTR19" s="41"/>
      <c r="BTS19" s="41"/>
      <c r="BTT19" s="41"/>
      <c r="BTU19" s="41"/>
      <c r="BTV19" s="41"/>
      <c r="BTW19" s="76"/>
      <c r="BTX19" s="66"/>
      <c r="BTY19" s="66"/>
      <c r="BTZ19" s="66"/>
      <c r="BUA19" s="66"/>
      <c r="BUB19" s="41"/>
      <c r="BUC19" s="139"/>
      <c r="BUD19" s="41"/>
      <c r="BUE19" s="41"/>
      <c r="BUF19" s="41"/>
      <c r="BUG19" s="41"/>
      <c r="BUH19" s="41"/>
      <c r="BUI19" s="76"/>
      <c r="BUJ19" s="41"/>
      <c r="BUK19" s="41"/>
      <c r="BUL19" s="41"/>
      <c r="BUM19" s="41"/>
      <c r="BUN19" s="41"/>
      <c r="BUO19" s="139"/>
      <c r="BUP19" s="41"/>
      <c r="BUQ19" s="41"/>
      <c r="BUR19" s="41"/>
      <c r="BUS19" s="41"/>
      <c r="BUT19" s="41"/>
      <c r="BUU19" s="76"/>
      <c r="BUV19" s="41"/>
      <c r="BUW19" s="41"/>
      <c r="BUX19" s="41"/>
      <c r="BUY19" s="41"/>
      <c r="BUZ19" s="41"/>
      <c r="BVA19" s="42"/>
      <c r="BVB19" s="90"/>
    </row>
    <row r="20" spans="1:1926" ht="20.100000000000001" customHeight="1" x14ac:dyDescent="0.25">
      <c r="A20" s="100" t="s">
        <v>21</v>
      </c>
      <c r="B20" s="63" t="str">
        <f>IF(LEN(C25)=0,"",C25)</f>
        <v>Implémentation - Fonctionnalités</v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28"/>
      <c r="BOE20" s="67"/>
      <c r="BOF20" s="67"/>
      <c r="BOG20" s="67"/>
      <c r="BOH20" s="29"/>
      <c r="BOI20" s="131"/>
      <c r="BOJ20" s="29"/>
      <c r="BOK20" s="29"/>
      <c r="BOL20" s="29"/>
      <c r="BOM20" s="29"/>
      <c r="BON20" s="29"/>
      <c r="BOO20" s="136"/>
      <c r="BOP20" s="29"/>
      <c r="BOQ20" s="29"/>
      <c r="BOR20" s="29"/>
      <c r="BOS20" s="29"/>
      <c r="BOT20" s="29"/>
      <c r="BOU20" s="75"/>
      <c r="BOV20" s="29"/>
      <c r="BOW20" s="29"/>
      <c r="BOX20" s="29"/>
      <c r="BOY20" s="29"/>
      <c r="BOZ20" s="29"/>
      <c r="BPA20" s="136"/>
      <c r="BPB20" s="29"/>
      <c r="BPC20" s="29"/>
      <c r="BPD20" s="29"/>
      <c r="BPE20" s="29"/>
      <c r="BPF20" s="29"/>
      <c r="BPG20" s="75"/>
      <c r="BPH20" s="67"/>
      <c r="BPI20" s="67"/>
      <c r="BPJ20" s="67"/>
      <c r="BPK20" s="67"/>
      <c r="BPL20" s="29"/>
      <c r="BPM20" s="136"/>
      <c r="BPN20" s="29"/>
      <c r="BPO20" s="29"/>
      <c r="BPP20" s="29"/>
      <c r="BPQ20" s="29"/>
      <c r="BPR20" s="37"/>
      <c r="BPS20" s="75"/>
      <c r="BPT20" s="29"/>
      <c r="BPU20" s="29"/>
      <c r="BPV20" s="29"/>
      <c r="BPW20" s="29"/>
      <c r="BPX20" s="29"/>
      <c r="BPY20" s="136"/>
      <c r="BPZ20" s="29"/>
      <c r="BQA20" s="29"/>
      <c r="BQB20" s="29"/>
      <c r="BQC20" s="29"/>
      <c r="BQD20" s="29"/>
      <c r="BQE20" s="75"/>
      <c r="BQF20" s="29"/>
      <c r="BQG20" s="29"/>
      <c r="BQH20" s="29"/>
      <c r="BQI20" s="29"/>
      <c r="BQJ20" s="29"/>
      <c r="BQK20" s="30"/>
      <c r="BQL20" s="28"/>
      <c r="BQM20" s="67"/>
      <c r="BQN20" s="67"/>
      <c r="BQO20" s="67"/>
      <c r="BQP20" s="29"/>
      <c r="BQQ20" s="131"/>
      <c r="BQR20" s="29"/>
      <c r="BQS20" s="29"/>
      <c r="BQT20" s="29"/>
      <c r="BQU20" s="29"/>
      <c r="BQV20" s="29"/>
      <c r="BQW20" s="136"/>
      <c r="BQX20" s="29"/>
      <c r="BQY20" s="29"/>
      <c r="BQZ20" s="29"/>
      <c r="BRA20" s="29"/>
      <c r="BRB20" s="29"/>
      <c r="BRC20" s="75"/>
      <c r="BRD20" s="29"/>
      <c r="BRE20" s="29"/>
      <c r="BRF20" s="29"/>
      <c r="BRG20" s="29"/>
      <c r="BRH20" s="29"/>
      <c r="BRI20" s="136"/>
      <c r="BRJ20" s="29"/>
      <c r="BRK20" s="29"/>
      <c r="BRL20" s="29"/>
      <c r="BRM20" s="29"/>
      <c r="BRN20" s="29"/>
      <c r="BRO20" s="75"/>
      <c r="BRP20" s="67"/>
      <c r="BRQ20" s="67"/>
      <c r="BRR20" s="67"/>
      <c r="BRS20" s="67"/>
      <c r="BRT20" s="29"/>
      <c r="BRU20" s="136"/>
      <c r="BRV20" s="29"/>
      <c r="BRW20" s="29"/>
      <c r="BRX20" s="29"/>
      <c r="BRY20" s="29"/>
      <c r="BRZ20" s="37"/>
      <c r="BSA20" s="75"/>
      <c r="BSB20" s="29"/>
      <c r="BSC20" s="29"/>
      <c r="BSD20" s="29"/>
      <c r="BSE20" s="29"/>
      <c r="BSF20" s="29"/>
      <c r="BSG20" s="136"/>
      <c r="BSH20" s="29"/>
      <c r="BSI20" s="29"/>
      <c r="BSJ20" s="29"/>
      <c r="BSK20" s="29"/>
      <c r="BSL20" s="29"/>
      <c r="BSM20" s="75"/>
      <c r="BSN20" s="29"/>
      <c r="BSO20" s="29"/>
      <c r="BSP20" s="29"/>
      <c r="BSQ20" s="29"/>
      <c r="BSR20" s="29"/>
      <c r="BSS20" s="30"/>
      <c r="BST20" s="28"/>
      <c r="BSU20" s="67"/>
      <c r="BSV20" s="67"/>
      <c r="BSW20" s="67"/>
      <c r="BSX20" s="29"/>
      <c r="BSY20" s="131"/>
      <c r="BSZ20" s="29"/>
      <c r="BTA20" s="29"/>
      <c r="BTB20" s="29"/>
      <c r="BTC20" s="29"/>
      <c r="BTD20" s="29"/>
      <c r="BTE20" s="136"/>
      <c r="BTF20" s="29"/>
      <c r="BTG20" s="29"/>
      <c r="BTH20" s="29"/>
      <c r="BTI20" s="29"/>
      <c r="BTJ20" s="29"/>
      <c r="BTK20" s="75"/>
      <c r="BTL20" s="29"/>
      <c r="BTM20" s="29"/>
      <c r="BTN20" s="29"/>
      <c r="BTO20" s="29"/>
      <c r="BTP20" s="29"/>
      <c r="BTQ20" s="136"/>
      <c r="BTR20" s="29"/>
      <c r="BTS20" s="29"/>
      <c r="BTT20" s="29"/>
      <c r="BTU20" s="29"/>
      <c r="BTV20" s="29"/>
      <c r="BTW20" s="75"/>
      <c r="BTX20" s="67"/>
      <c r="BTY20" s="67"/>
      <c r="BTZ20" s="67"/>
      <c r="BUA20" s="67"/>
      <c r="BUB20" s="29"/>
      <c r="BUC20" s="136"/>
      <c r="BUD20" s="29"/>
      <c r="BUE20" s="29"/>
      <c r="BUF20" s="29"/>
      <c r="BUG20" s="29"/>
      <c r="BUH20" s="37"/>
      <c r="BUI20" s="75"/>
      <c r="BUJ20" s="29"/>
      <c r="BUK20" s="29"/>
      <c r="BUL20" s="29"/>
      <c r="BUM20" s="29"/>
      <c r="BUN20" s="29"/>
      <c r="BUO20" s="136"/>
      <c r="BUP20" s="29"/>
      <c r="BUQ20" s="29"/>
      <c r="BUR20" s="29"/>
      <c r="BUS20" s="29"/>
      <c r="BUT20" s="29"/>
      <c r="BUU20" s="75"/>
      <c r="BUV20" s="29"/>
      <c r="BUW20" s="29"/>
      <c r="BUX20" s="29"/>
      <c r="BUY20" s="29"/>
      <c r="BUZ20" s="29"/>
      <c r="BVA20" s="30"/>
      <c r="BVB20" s="90"/>
    </row>
    <row r="21" spans="1:1926" ht="20.100000000000001" customHeight="1" x14ac:dyDescent="0.25">
      <c r="A21" s="100" t="s">
        <v>20</v>
      </c>
      <c r="B21" s="63" t="str">
        <f>IF(LEN(C27)=0,"",C27)</f>
        <v xml:space="preserve">Tests </v>
      </c>
      <c r="C21" s="180" t="s">
        <v>16</v>
      </c>
      <c r="D21" s="146" t="str">
        <f t="shared" si="0"/>
        <v>25h45min</v>
      </c>
      <c r="E21" s="31">
        <v>309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218"/>
      <c r="CM21" s="218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218"/>
      <c r="EK21" s="218"/>
      <c r="EL21" s="218"/>
      <c r="EM21" s="219"/>
      <c r="EN21" s="218"/>
      <c r="EO21" s="218"/>
      <c r="EP21" s="218"/>
      <c r="EQ21" s="218"/>
      <c r="ER21" s="218"/>
      <c r="ES21" s="220"/>
      <c r="ET21" s="218"/>
      <c r="EU21" s="218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218"/>
      <c r="FG21" s="218"/>
      <c r="FH21" s="218"/>
      <c r="FI21" s="218"/>
      <c r="FJ21" s="218"/>
      <c r="FK21" s="219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218"/>
      <c r="JE21" s="218"/>
      <c r="JF21" s="218"/>
      <c r="JG21" s="218"/>
      <c r="JH21" s="218"/>
      <c r="JI21" s="220"/>
      <c r="JJ21" s="218"/>
      <c r="JK21" s="218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223"/>
      <c r="OG21" s="223"/>
      <c r="OH21" s="223"/>
      <c r="OI21" s="223"/>
      <c r="OJ21" s="218"/>
      <c r="OK21" s="220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218"/>
      <c r="QD21" s="218"/>
      <c r="QE21" s="218"/>
      <c r="QF21" s="218"/>
      <c r="QG21" s="220"/>
      <c r="QH21" s="218"/>
      <c r="QI21" s="218"/>
      <c r="QJ21" s="218"/>
      <c r="QK21" s="218"/>
      <c r="QL21" s="218"/>
      <c r="QM21" s="219"/>
      <c r="QN21" s="223"/>
      <c r="QO21" s="223"/>
      <c r="QP21" s="223"/>
      <c r="QQ21" s="223"/>
      <c r="QR21" s="218"/>
      <c r="QS21" s="220"/>
      <c r="QT21" s="218"/>
      <c r="QU21" s="218"/>
      <c r="QV21" s="218"/>
      <c r="QW21" s="218"/>
      <c r="QX21" s="218"/>
      <c r="QY21" s="219"/>
      <c r="QZ21" s="218"/>
      <c r="RA21" s="218"/>
      <c r="RB21" s="218"/>
      <c r="RC21" s="218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218"/>
      <c r="SR21" s="218"/>
      <c r="SS21" s="218"/>
      <c r="ST21" s="218"/>
      <c r="SU21" s="219"/>
      <c r="SV21" s="223"/>
      <c r="SW21" s="223"/>
      <c r="SX21" s="223"/>
      <c r="SY21" s="223"/>
      <c r="SZ21" s="218"/>
      <c r="TA21" s="220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223"/>
      <c r="VG21" s="223"/>
      <c r="VH21" s="218"/>
      <c r="VI21" s="220"/>
      <c r="VJ21" s="218"/>
      <c r="VK21" s="218"/>
      <c r="VL21" s="218"/>
      <c r="VM21" s="218"/>
      <c r="VN21" s="218"/>
      <c r="VO21" s="219"/>
      <c r="VP21" s="218"/>
      <c r="VQ21" s="218"/>
      <c r="VR21" s="218"/>
      <c r="VS21" s="218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223"/>
      <c r="YT21" s="218"/>
      <c r="YU21" s="224"/>
      <c r="YV21" s="218"/>
      <c r="YW21" s="218"/>
      <c r="YX21" s="218"/>
      <c r="YY21" s="218"/>
      <c r="YZ21" s="218"/>
      <c r="ZA21" s="220"/>
      <c r="ZB21" s="218"/>
      <c r="ZC21" s="218"/>
      <c r="ZD21" s="218"/>
      <c r="ZE21" s="218"/>
      <c r="ZF21" s="218"/>
      <c r="ZG21" s="219"/>
      <c r="ZH21" s="218"/>
      <c r="ZI21" s="218"/>
      <c r="ZJ21" s="218"/>
      <c r="ZK21" s="218"/>
      <c r="ZL21" s="218"/>
      <c r="ZM21" s="220"/>
      <c r="ZN21" s="218"/>
      <c r="ZO21" s="218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222"/>
      <c r="BHG21" s="223"/>
      <c r="BHH21" s="223"/>
      <c r="BHI21" s="223"/>
      <c r="BHJ21" s="218"/>
      <c r="BHK21" s="224"/>
      <c r="BHL21" s="218"/>
      <c r="BHM21" s="218"/>
      <c r="BHN21" s="218"/>
      <c r="BHO21" s="218"/>
      <c r="BHP21" s="218"/>
      <c r="BHQ21" s="220"/>
      <c r="BHR21" s="218"/>
      <c r="BHS21" s="218"/>
      <c r="BHT21" s="218"/>
      <c r="BHU21" s="218"/>
      <c r="BHV21" s="218"/>
      <c r="BHW21" s="219"/>
      <c r="BHX21" s="218"/>
      <c r="BHY21" s="218"/>
      <c r="BHZ21" s="218"/>
      <c r="BIA21" s="218"/>
      <c r="BIB21" s="218"/>
      <c r="BIC21" s="220"/>
      <c r="BID21" s="218"/>
      <c r="BIE21" s="218"/>
      <c r="BIF21" s="218"/>
      <c r="BIG21" s="218"/>
      <c r="BIH21" s="218"/>
      <c r="BII21" s="219"/>
      <c r="BIJ21" s="223"/>
      <c r="BIK21" s="223"/>
      <c r="BIL21" s="223"/>
      <c r="BIM21" s="223"/>
      <c r="BIN21" s="218"/>
      <c r="BIO21" s="220"/>
      <c r="BIP21" s="218"/>
      <c r="BIQ21" s="218"/>
      <c r="BIR21" s="218"/>
      <c r="BIS21" s="218"/>
      <c r="BIT21" s="218"/>
      <c r="BIU21" s="219"/>
      <c r="BIV21" s="218"/>
      <c r="BIW21" s="218"/>
      <c r="BIX21" s="218"/>
      <c r="BIY21" s="218"/>
      <c r="BIZ21" s="218"/>
      <c r="BJA21" s="220"/>
      <c r="BJB21" s="218"/>
      <c r="BJC21" s="218"/>
      <c r="BJD21" s="218"/>
      <c r="BJE21" s="218"/>
      <c r="BJF21" s="218"/>
      <c r="BJG21" s="219"/>
      <c r="BJH21" s="218"/>
      <c r="BJI21" s="218"/>
      <c r="BJJ21" s="218"/>
      <c r="BJK21" s="218"/>
      <c r="BJL21" s="218"/>
      <c r="BJM21" s="231"/>
      <c r="BJN21" s="222"/>
      <c r="BJO21" s="223"/>
      <c r="BJP21" s="223"/>
      <c r="BJQ21" s="223"/>
      <c r="BJR21" s="218"/>
      <c r="BJS21" s="224"/>
      <c r="BJT21" s="218"/>
      <c r="BJU21" s="218"/>
      <c r="BJV21" s="218"/>
      <c r="BJW21" s="218"/>
      <c r="BJX21" s="218"/>
      <c r="BJY21" s="220"/>
      <c r="BJZ21" s="218"/>
      <c r="BKA21" s="218"/>
      <c r="BKB21" s="218"/>
      <c r="BKC21" s="218"/>
      <c r="BKD21" s="218"/>
      <c r="BKE21" s="219"/>
      <c r="BKF21" s="218"/>
      <c r="BKG21" s="218"/>
      <c r="BKH21" s="218"/>
      <c r="BKI21" s="218"/>
      <c r="BKJ21" s="218"/>
      <c r="BKK21" s="220"/>
      <c r="BKL21" s="218"/>
      <c r="BKM21" s="218"/>
      <c r="BKN21" s="218"/>
      <c r="BKO21" s="218"/>
      <c r="BKP21" s="218"/>
      <c r="BKQ21" s="219"/>
      <c r="BKR21" s="223"/>
      <c r="BKS21" s="223"/>
      <c r="BKT21" s="223"/>
      <c r="BKU21" s="223"/>
      <c r="BKV21" s="218"/>
      <c r="BKW21" s="220"/>
      <c r="BKX21" s="218"/>
      <c r="BKY21" s="218"/>
      <c r="BKZ21" s="218"/>
      <c r="BLA21" s="218"/>
      <c r="BLB21" s="218"/>
      <c r="BLC21" s="219"/>
      <c r="BLD21" s="218"/>
      <c r="BLE21" s="218"/>
      <c r="BLF21" s="218"/>
      <c r="BLG21" s="218"/>
      <c r="BLH21" s="218"/>
      <c r="BLI21" s="220"/>
      <c r="BLJ21" s="218"/>
      <c r="BLK21" s="218"/>
      <c r="BLL21" s="218"/>
      <c r="BLM21" s="218"/>
      <c r="BLN21" s="218"/>
      <c r="BLO21" s="219"/>
      <c r="BLP21" s="218"/>
      <c r="BLQ21" s="218"/>
      <c r="BLR21" s="218"/>
      <c r="BLS21" s="218"/>
      <c r="BLT21" s="218"/>
      <c r="BLU21" s="231"/>
      <c r="BLV21" s="222"/>
      <c r="BLW21" s="223"/>
      <c r="BLX21" s="223"/>
      <c r="BLY21" s="223"/>
      <c r="BLZ21" s="218"/>
      <c r="BMA21" s="224"/>
      <c r="BMB21" s="218"/>
      <c r="BMC21" s="218"/>
      <c r="BMD21" s="218"/>
      <c r="BME21" s="218"/>
      <c r="BMF21" s="218"/>
      <c r="BMG21" s="220"/>
      <c r="BMH21" s="218"/>
      <c r="BMI21" s="218"/>
      <c r="BMJ21" s="218"/>
      <c r="BMK21" s="218"/>
      <c r="BML21" s="218"/>
      <c r="BMM21" s="219"/>
      <c r="BMN21" s="218"/>
      <c r="BMO21" s="218"/>
      <c r="BMP21" s="218"/>
      <c r="BMQ21" s="218"/>
      <c r="BMR21" s="218"/>
      <c r="BMS21" s="220"/>
      <c r="BMT21" s="218"/>
      <c r="BMU21" s="218"/>
      <c r="BMV21" s="218"/>
      <c r="BMW21" s="218"/>
      <c r="BMX21" s="218"/>
      <c r="BMY21" s="219"/>
      <c r="BMZ21" s="223"/>
      <c r="BNA21" s="223"/>
      <c r="BNB21" s="223"/>
      <c r="BNC21" s="223"/>
      <c r="BND21" s="218"/>
      <c r="BNE21" s="220"/>
      <c r="BNF21" s="218"/>
      <c r="BNG21" s="218"/>
      <c r="BNH21" s="218"/>
      <c r="BNI21" s="218"/>
      <c r="BNJ21" s="218"/>
      <c r="BNK21" s="219"/>
      <c r="BNL21" s="218"/>
      <c r="BNM21" s="218"/>
      <c r="BNN21" s="218"/>
      <c r="BNO21" s="218"/>
      <c r="BNP21" s="218"/>
      <c r="BNQ21" s="220"/>
      <c r="BNR21" s="218"/>
      <c r="BNS21" s="218"/>
      <c r="BNT21" s="218"/>
      <c r="BNU21" s="218"/>
      <c r="BNV21" s="218"/>
      <c r="BNW21" s="219"/>
      <c r="BNX21" s="218"/>
      <c r="BNY21" s="218"/>
      <c r="BNZ21" s="218"/>
      <c r="BOA21" s="218"/>
      <c r="BOB21" s="218"/>
      <c r="BOC21" s="231"/>
      <c r="BOD21" s="222"/>
      <c r="BOE21" s="223"/>
      <c r="BOF21" s="223"/>
      <c r="BOG21" s="223"/>
      <c r="BOH21" s="218"/>
      <c r="BOI21" s="224"/>
      <c r="BOJ21" s="218"/>
      <c r="BOK21" s="218"/>
      <c r="BOL21" s="218"/>
      <c r="BOM21" s="218"/>
      <c r="BON21" s="218"/>
      <c r="BOO21" s="220"/>
      <c r="BOP21" s="218"/>
      <c r="BOQ21" s="218"/>
      <c r="BOR21" s="218"/>
      <c r="BOS21" s="218"/>
      <c r="BOT21" s="218"/>
      <c r="BOU21" s="219"/>
      <c r="BOV21" s="218"/>
      <c r="BOW21" s="218"/>
      <c r="BOX21" s="33"/>
      <c r="BOY21" s="33"/>
      <c r="BOZ21" s="33"/>
      <c r="BPA21" s="137"/>
      <c r="BPB21" s="33"/>
      <c r="BPC21" s="33"/>
      <c r="BPD21" s="33"/>
      <c r="BPE21" s="33"/>
      <c r="BPF21" s="33"/>
      <c r="BPG21" s="74"/>
      <c r="BPH21" s="64"/>
      <c r="BPI21" s="64"/>
      <c r="BPJ21" s="64"/>
      <c r="BPK21" s="64"/>
      <c r="BPL21" s="33"/>
      <c r="BPM21" s="137"/>
      <c r="BPN21" s="33"/>
      <c r="BPO21" s="33"/>
      <c r="BPP21" s="33"/>
      <c r="BPQ21" s="33"/>
      <c r="BPR21" s="33"/>
      <c r="BPS21" s="74"/>
      <c r="BPT21" s="33"/>
      <c r="BPU21" s="33"/>
      <c r="BPV21" s="33"/>
      <c r="BPW21" s="33"/>
      <c r="BPX21" s="33"/>
      <c r="BPY21" s="137"/>
      <c r="BPZ21" s="33"/>
      <c r="BQA21" s="33"/>
      <c r="BQB21" s="33"/>
      <c r="BQC21" s="33"/>
      <c r="BQD21" s="33"/>
      <c r="BQE21" s="74"/>
      <c r="BQF21" s="33"/>
      <c r="BQG21" s="33"/>
      <c r="BQH21" s="33"/>
      <c r="BQI21" s="33"/>
      <c r="BQJ21" s="33"/>
      <c r="BQK21" s="34"/>
      <c r="BQL21" s="32"/>
      <c r="BQM21" s="64"/>
      <c r="BQN21" s="64"/>
      <c r="BQO21" s="64"/>
      <c r="BQP21" s="33"/>
      <c r="BQQ21" s="132"/>
      <c r="BQR21" s="33"/>
      <c r="BQS21" s="33"/>
      <c r="BQT21" s="33"/>
      <c r="BQU21" s="33"/>
      <c r="BQV21" s="33"/>
      <c r="BQW21" s="137"/>
      <c r="BQX21" s="33"/>
      <c r="BQY21" s="33"/>
      <c r="BQZ21" s="33"/>
      <c r="BRA21" s="33"/>
      <c r="BRB21" s="33"/>
      <c r="BRC21" s="74"/>
      <c r="BRD21" s="33"/>
      <c r="BRE21" s="33"/>
      <c r="BRF21" s="33"/>
      <c r="BRG21" s="33"/>
      <c r="BRH21" s="33"/>
      <c r="BRI21" s="137"/>
      <c r="BRJ21" s="33"/>
      <c r="BRK21" s="33"/>
      <c r="BRL21" s="33"/>
      <c r="BRM21" s="33"/>
      <c r="BRN21" s="33"/>
      <c r="BRO21" s="74"/>
      <c r="BRP21" s="64"/>
      <c r="BRQ21" s="64"/>
      <c r="BRR21" s="64"/>
      <c r="BRS21" s="64"/>
      <c r="BRT21" s="33"/>
      <c r="BRU21" s="137"/>
      <c r="BRV21" s="33"/>
      <c r="BRW21" s="33"/>
      <c r="BRX21" s="33"/>
      <c r="BRY21" s="33"/>
      <c r="BRZ21" s="33"/>
      <c r="BSA21" s="74"/>
      <c r="BSB21" s="33"/>
      <c r="BSC21" s="33"/>
      <c r="BSD21" s="33"/>
      <c r="BSE21" s="33"/>
      <c r="BSF21" s="33"/>
      <c r="BSG21" s="137"/>
      <c r="BSH21" s="33"/>
      <c r="BSI21" s="33"/>
      <c r="BSJ21" s="33"/>
      <c r="BSK21" s="33"/>
      <c r="BSL21" s="33"/>
      <c r="BSM21" s="74"/>
      <c r="BSN21" s="33"/>
      <c r="BSO21" s="33"/>
      <c r="BSP21" s="33"/>
      <c r="BSQ21" s="33"/>
      <c r="BSR21" s="33"/>
      <c r="BSS21" s="34"/>
      <c r="BST21" s="32"/>
      <c r="BSU21" s="64"/>
      <c r="BSV21" s="64"/>
      <c r="BSW21" s="64"/>
      <c r="BSX21" s="33"/>
      <c r="BSY21" s="132"/>
      <c r="BSZ21" s="33"/>
      <c r="BTA21" s="33"/>
      <c r="BTB21" s="33"/>
      <c r="BTC21" s="33"/>
      <c r="BTD21" s="33"/>
      <c r="BTE21" s="137"/>
      <c r="BTF21" s="33"/>
      <c r="BTG21" s="33"/>
      <c r="BTH21" s="33"/>
      <c r="BTI21" s="33"/>
      <c r="BTJ21" s="33"/>
      <c r="BTK21" s="74"/>
      <c r="BTL21" s="33"/>
      <c r="BTM21" s="33"/>
      <c r="BTN21" s="33"/>
      <c r="BTO21" s="33"/>
      <c r="BTP21" s="33"/>
      <c r="BTQ21" s="137"/>
      <c r="BTR21" s="33"/>
      <c r="BTS21" s="33"/>
      <c r="BTT21" s="33"/>
      <c r="BTU21" s="33"/>
      <c r="BTV21" s="33"/>
      <c r="BTW21" s="74"/>
      <c r="BTX21" s="64"/>
      <c r="BTY21" s="64"/>
      <c r="BTZ21" s="64"/>
      <c r="BUA21" s="64"/>
      <c r="BUB21" s="33"/>
      <c r="BUC21" s="137"/>
      <c r="BUD21" s="33"/>
      <c r="BUE21" s="33"/>
      <c r="BUF21" s="33"/>
      <c r="BUG21" s="33"/>
      <c r="BUH21" s="33"/>
      <c r="BUI21" s="74"/>
      <c r="BUJ21" s="33"/>
      <c r="BUK21" s="33"/>
      <c r="BUL21" s="33"/>
      <c r="BUM21" s="33"/>
      <c r="BUN21" s="33"/>
      <c r="BUO21" s="137"/>
      <c r="BUP21" s="33"/>
      <c r="BUQ21" s="33"/>
      <c r="BUR21" s="33"/>
      <c r="BUS21" s="33"/>
      <c r="BUT21" s="33"/>
      <c r="BUU21" s="74"/>
      <c r="BUV21" s="33"/>
      <c r="BUW21" s="33"/>
      <c r="BUX21" s="33"/>
      <c r="BUY21" s="33"/>
      <c r="BUZ21" s="33"/>
      <c r="BVA21" s="34"/>
      <c r="BVB21" s="90"/>
    </row>
    <row r="22" spans="1:1926" ht="20.100000000000001" customHeight="1" x14ac:dyDescent="0.25">
      <c r="A22" s="100" t="s">
        <v>21</v>
      </c>
      <c r="B22" s="63" t="str">
        <f>IF(LEN(C29)=0,"",C29)</f>
        <v xml:space="preserve">Réunion </v>
      </c>
      <c r="C22" s="190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36"/>
      <c r="BOE22" s="65"/>
      <c r="BOF22" s="65"/>
      <c r="BOG22" s="65"/>
      <c r="BOH22" s="37"/>
      <c r="BOI22" s="133"/>
      <c r="BOJ22" s="37"/>
      <c r="BOK22" s="37"/>
      <c r="BOL22" s="37"/>
      <c r="BOM22" s="37"/>
      <c r="BON22" s="37"/>
      <c r="BOO22" s="138"/>
      <c r="BOP22" s="37"/>
      <c r="BOQ22" s="37"/>
      <c r="BOR22" s="37"/>
      <c r="BOS22" s="37"/>
      <c r="BOT22" s="37"/>
      <c r="BOU22" s="75"/>
      <c r="BOV22" s="37"/>
      <c r="BOW22" s="37"/>
      <c r="BOX22" s="37"/>
      <c r="BOY22" s="37"/>
      <c r="BOZ22" s="37"/>
      <c r="BPA22" s="138"/>
      <c r="BPB22" s="37"/>
      <c r="BPC22" s="37"/>
      <c r="BPD22" s="37"/>
      <c r="BPE22" s="37"/>
      <c r="BPF22" s="37"/>
      <c r="BPG22" s="75"/>
      <c r="BPH22" s="65"/>
      <c r="BPI22" s="65"/>
      <c r="BPJ22" s="65"/>
      <c r="BPK22" s="65"/>
      <c r="BPL22" s="37"/>
      <c r="BPM22" s="138"/>
      <c r="BPN22" s="37"/>
      <c r="BPO22" s="37"/>
      <c r="BPP22" s="37"/>
      <c r="BPQ22" s="37"/>
      <c r="BPR22" s="37"/>
      <c r="BPS22" s="75"/>
      <c r="BPT22" s="37"/>
      <c r="BPU22" s="37"/>
      <c r="BPV22" s="37"/>
      <c r="BPW22" s="37"/>
      <c r="BPX22" s="37"/>
      <c r="BPY22" s="138"/>
      <c r="BPZ22" s="37"/>
      <c r="BQA22" s="37"/>
      <c r="BQB22" s="37"/>
      <c r="BQC22" s="37"/>
      <c r="BQD22" s="37"/>
      <c r="BQE22" s="75"/>
      <c r="BQF22" s="37"/>
      <c r="BQG22" s="37"/>
      <c r="BQH22" s="37"/>
      <c r="BQI22" s="37"/>
      <c r="BQJ22" s="37"/>
      <c r="BQK22" s="38"/>
      <c r="BQL22" s="36"/>
      <c r="BQM22" s="65"/>
      <c r="BQN22" s="65"/>
      <c r="BQO22" s="65"/>
      <c r="BQP22" s="37"/>
      <c r="BQQ22" s="133"/>
      <c r="BQR22" s="37"/>
      <c r="BQS22" s="37"/>
      <c r="BQT22" s="37"/>
      <c r="BQU22" s="37"/>
      <c r="BQV22" s="37"/>
      <c r="BQW22" s="138"/>
      <c r="BQX22" s="37"/>
      <c r="BQY22" s="37"/>
      <c r="BQZ22" s="37"/>
      <c r="BRA22" s="37"/>
      <c r="BRB22" s="37"/>
      <c r="BRC22" s="75"/>
      <c r="BRD22" s="37"/>
      <c r="BRE22" s="37"/>
      <c r="BRF22" s="37"/>
      <c r="BRG22" s="37"/>
      <c r="BRH22" s="37"/>
      <c r="BRI22" s="138"/>
      <c r="BRJ22" s="37"/>
      <c r="BRK22" s="37"/>
      <c r="BRL22" s="37"/>
      <c r="BRM22" s="37"/>
      <c r="BRN22" s="37"/>
      <c r="BRO22" s="75"/>
      <c r="BRP22" s="65"/>
      <c r="BRQ22" s="65"/>
      <c r="BRR22" s="65"/>
      <c r="BRS22" s="65"/>
      <c r="BRT22" s="37"/>
      <c r="BRU22" s="138"/>
      <c r="BRV22" s="37"/>
      <c r="BRW22" s="37"/>
      <c r="BRX22" s="37"/>
      <c r="BRY22" s="37"/>
      <c r="BRZ22" s="37"/>
      <c r="BSA22" s="75"/>
      <c r="BSB22" s="37"/>
      <c r="BSC22" s="37"/>
      <c r="BSD22" s="37"/>
      <c r="BSE22" s="37"/>
      <c r="BSF22" s="37"/>
      <c r="BSG22" s="138"/>
      <c r="BSH22" s="37"/>
      <c r="BSI22" s="37"/>
      <c r="BSJ22" s="37"/>
      <c r="BSK22" s="37"/>
      <c r="BSL22" s="37"/>
      <c r="BSM22" s="75"/>
      <c r="BSN22" s="37"/>
      <c r="BSO22" s="37"/>
      <c r="BSP22" s="37"/>
      <c r="BSQ22" s="37"/>
      <c r="BSR22" s="37"/>
      <c r="BSS22" s="38"/>
      <c r="BST22" s="36"/>
      <c r="BSU22" s="65"/>
      <c r="BSV22" s="65"/>
      <c r="BSW22" s="65"/>
      <c r="BSX22" s="37"/>
      <c r="BSY22" s="133"/>
      <c r="BSZ22" s="37"/>
      <c r="BTA22" s="37"/>
      <c r="BTB22" s="37"/>
      <c r="BTC22" s="37"/>
      <c r="BTD22" s="37"/>
      <c r="BTE22" s="138"/>
      <c r="BTF22" s="37"/>
      <c r="BTG22" s="37"/>
      <c r="BTH22" s="37"/>
      <c r="BTI22" s="37"/>
      <c r="BTJ22" s="37"/>
      <c r="BTK22" s="75"/>
      <c r="BTL22" s="37"/>
      <c r="BTM22" s="37"/>
      <c r="BTN22" s="37"/>
      <c r="BTO22" s="37"/>
      <c r="BTP22" s="37"/>
      <c r="BTQ22" s="138"/>
      <c r="BTR22" s="37"/>
      <c r="BTS22" s="37"/>
      <c r="BTT22" s="37"/>
      <c r="BTU22" s="37"/>
      <c r="BTV22" s="37"/>
      <c r="BTW22" s="75"/>
      <c r="BTX22" s="65"/>
      <c r="BTY22" s="65"/>
      <c r="BTZ22" s="65"/>
      <c r="BUA22" s="65"/>
      <c r="BUB22" s="37"/>
      <c r="BUC22" s="138"/>
      <c r="BUD22" s="37"/>
      <c r="BUE22" s="37"/>
      <c r="BUF22" s="37"/>
      <c r="BUG22" s="37"/>
      <c r="BUH22" s="37"/>
      <c r="BUI22" s="75"/>
      <c r="BUJ22" s="37"/>
      <c r="BUK22" s="37"/>
      <c r="BUL22" s="37"/>
      <c r="BUM22" s="37"/>
      <c r="BUN22" s="37"/>
      <c r="BUO22" s="138"/>
      <c r="BUP22" s="37"/>
      <c r="BUQ22" s="37"/>
      <c r="BUR22" s="37"/>
      <c r="BUS22" s="37"/>
      <c r="BUT22" s="37"/>
      <c r="BUU22" s="75"/>
      <c r="BUV22" s="37"/>
      <c r="BUW22" s="37"/>
      <c r="BUX22" s="37"/>
      <c r="BUY22" s="37"/>
      <c r="BUZ22" s="37"/>
      <c r="BVA22" s="38"/>
      <c r="BVB22" s="90"/>
    </row>
    <row r="23" spans="1:1926" ht="20.100000000000001" customHeight="1" x14ac:dyDescent="0.25">
      <c r="A23" s="100" t="s">
        <v>20</v>
      </c>
      <c r="B23" s="63" t="str">
        <f>IF(LEN(C31)=0,"",C31)</f>
        <v xml:space="preserve">Base de données </v>
      </c>
      <c r="C23" s="180" t="s">
        <v>84</v>
      </c>
      <c r="D23" s="146" t="str">
        <f t="shared" si="0"/>
        <v>1h15min</v>
      </c>
      <c r="E23" s="39">
        <v>15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215"/>
      <c r="GQ23" s="215"/>
      <c r="GR23" s="215"/>
      <c r="GS23" s="215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214"/>
      <c r="IO23" s="214"/>
      <c r="IP23" s="215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215"/>
      <c r="LO23" s="215"/>
      <c r="LP23" s="215"/>
      <c r="LQ23" s="217"/>
      <c r="LR23" s="215"/>
      <c r="LS23" s="215"/>
      <c r="LT23" s="215"/>
      <c r="LU23" s="215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40"/>
      <c r="BOE23" s="66"/>
      <c r="BOF23" s="66"/>
      <c r="BOG23" s="66"/>
      <c r="BOH23" s="41"/>
      <c r="BOI23" s="134"/>
      <c r="BOJ23" s="41"/>
      <c r="BOK23" s="41"/>
      <c r="BOL23" s="41"/>
      <c r="BOM23" s="41"/>
      <c r="BON23" s="41"/>
      <c r="BOO23" s="139"/>
      <c r="BOP23" s="41"/>
      <c r="BOQ23" s="41"/>
      <c r="BOR23" s="41"/>
      <c r="BOS23" s="41"/>
      <c r="BOT23" s="41"/>
      <c r="BOU23" s="76"/>
      <c r="BOV23" s="41"/>
      <c r="BOW23" s="41"/>
      <c r="BOX23" s="41"/>
      <c r="BOY23" s="41"/>
      <c r="BOZ23" s="41"/>
      <c r="BPA23" s="139"/>
      <c r="BPB23" s="41"/>
      <c r="BPC23" s="41"/>
      <c r="BPD23" s="41"/>
      <c r="BPE23" s="41"/>
      <c r="BPF23" s="41"/>
      <c r="BPG23" s="76"/>
      <c r="BPH23" s="66"/>
      <c r="BPI23" s="66"/>
      <c r="BPJ23" s="66"/>
      <c r="BPK23" s="66"/>
      <c r="BPL23" s="41"/>
      <c r="BPM23" s="139"/>
      <c r="BPN23" s="41"/>
      <c r="BPO23" s="41"/>
      <c r="BPP23" s="41"/>
      <c r="BPQ23" s="41"/>
      <c r="BPR23" s="41"/>
      <c r="BPS23" s="76"/>
      <c r="BPT23" s="41"/>
      <c r="BPU23" s="41"/>
      <c r="BPV23" s="41"/>
      <c r="BPW23" s="41"/>
      <c r="BPX23" s="41"/>
      <c r="BPY23" s="139"/>
      <c r="BPZ23" s="41"/>
      <c r="BQA23" s="41"/>
      <c r="BQB23" s="41"/>
      <c r="BQC23" s="41"/>
      <c r="BQD23" s="41"/>
      <c r="BQE23" s="76"/>
      <c r="BQF23" s="41"/>
      <c r="BQG23" s="41"/>
      <c r="BQH23" s="41"/>
      <c r="BQI23" s="41"/>
      <c r="BQJ23" s="41"/>
      <c r="BQK23" s="42"/>
      <c r="BQL23" s="40"/>
      <c r="BQM23" s="66"/>
      <c r="BQN23" s="66"/>
      <c r="BQO23" s="66"/>
      <c r="BQP23" s="41"/>
      <c r="BQQ23" s="134"/>
      <c r="BQR23" s="41"/>
      <c r="BQS23" s="41"/>
      <c r="BQT23" s="41"/>
      <c r="BQU23" s="41"/>
      <c r="BQV23" s="41"/>
      <c r="BQW23" s="139"/>
      <c r="BQX23" s="41"/>
      <c r="BQY23" s="41"/>
      <c r="BQZ23" s="41"/>
      <c r="BRA23" s="41"/>
      <c r="BRB23" s="41"/>
      <c r="BRC23" s="76"/>
      <c r="BRD23" s="41"/>
      <c r="BRE23" s="41"/>
      <c r="BRF23" s="41"/>
      <c r="BRG23" s="41"/>
      <c r="BRH23" s="41"/>
      <c r="BRI23" s="139"/>
      <c r="BRJ23" s="41"/>
      <c r="BRK23" s="41"/>
      <c r="BRL23" s="41"/>
      <c r="BRM23" s="41"/>
      <c r="BRN23" s="41"/>
      <c r="BRO23" s="76"/>
      <c r="BRP23" s="66"/>
      <c r="BRQ23" s="66"/>
      <c r="BRR23" s="66"/>
      <c r="BRS23" s="66"/>
      <c r="BRT23" s="41"/>
      <c r="BRU23" s="139"/>
      <c r="BRV23" s="41"/>
      <c r="BRW23" s="41"/>
      <c r="BRX23" s="41"/>
      <c r="BRY23" s="41"/>
      <c r="BRZ23" s="41"/>
      <c r="BSA23" s="76"/>
      <c r="BSB23" s="41"/>
      <c r="BSC23" s="41"/>
      <c r="BSD23" s="41"/>
      <c r="BSE23" s="41"/>
      <c r="BSF23" s="41"/>
      <c r="BSG23" s="139"/>
      <c r="BSH23" s="41"/>
      <c r="BSI23" s="41"/>
      <c r="BSJ23" s="41"/>
      <c r="BSK23" s="41"/>
      <c r="BSL23" s="41"/>
      <c r="BSM23" s="76"/>
      <c r="BSN23" s="41"/>
      <c r="BSO23" s="41"/>
      <c r="BSP23" s="41"/>
      <c r="BSQ23" s="41"/>
      <c r="BSR23" s="41"/>
      <c r="BSS23" s="42"/>
      <c r="BST23" s="40"/>
      <c r="BSU23" s="66"/>
      <c r="BSV23" s="66"/>
      <c r="BSW23" s="66"/>
      <c r="BSX23" s="41"/>
      <c r="BSY23" s="134"/>
      <c r="BSZ23" s="41"/>
      <c r="BTA23" s="41"/>
      <c r="BTB23" s="41"/>
      <c r="BTC23" s="41"/>
      <c r="BTD23" s="41"/>
      <c r="BTE23" s="139"/>
      <c r="BTF23" s="41"/>
      <c r="BTG23" s="41"/>
      <c r="BTH23" s="41"/>
      <c r="BTI23" s="41"/>
      <c r="BTJ23" s="41"/>
      <c r="BTK23" s="76"/>
      <c r="BTL23" s="41"/>
      <c r="BTM23" s="41"/>
      <c r="BTN23" s="41"/>
      <c r="BTO23" s="41"/>
      <c r="BTP23" s="41"/>
      <c r="BTQ23" s="139"/>
      <c r="BTR23" s="41"/>
      <c r="BTS23" s="41"/>
      <c r="BTT23" s="41"/>
      <c r="BTU23" s="41"/>
      <c r="BTV23" s="41"/>
      <c r="BTW23" s="76"/>
      <c r="BTX23" s="66"/>
      <c r="BTY23" s="66"/>
      <c r="BTZ23" s="66"/>
      <c r="BUA23" s="66"/>
      <c r="BUB23" s="41"/>
      <c r="BUC23" s="139"/>
      <c r="BUD23" s="41"/>
      <c r="BUE23" s="41"/>
      <c r="BUF23" s="41"/>
      <c r="BUG23" s="41"/>
      <c r="BUH23" s="41"/>
      <c r="BUI23" s="76"/>
      <c r="BUJ23" s="41"/>
      <c r="BUK23" s="41"/>
      <c r="BUL23" s="41"/>
      <c r="BUM23" s="41"/>
      <c r="BUN23" s="41"/>
      <c r="BUO23" s="139"/>
      <c r="BUP23" s="41"/>
      <c r="BUQ23" s="41"/>
      <c r="BUR23" s="41"/>
      <c r="BUS23" s="41"/>
      <c r="BUT23" s="41"/>
      <c r="BUU23" s="76"/>
      <c r="BUV23" s="41"/>
      <c r="BUW23" s="41"/>
      <c r="BUX23" s="41"/>
      <c r="BUY23" s="41"/>
      <c r="BUZ23" s="41"/>
      <c r="BVA23" s="42"/>
      <c r="BVB23" s="90"/>
    </row>
    <row r="24" spans="1:1926" ht="20.100000000000001" customHeight="1" x14ac:dyDescent="0.25">
      <c r="A24" s="100" t="s">
        <v>21</v>
      </c>
      <c r="B24" s="63" t="str">
        <f>IF(LEN(C33)=0,"",C33)</f>
        <v>Implémentation - Révisions</v>
      </c>
      <c r="C24" s="190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28"/>
      <c r="BOE24" s="67"/>
      <c r="BOF24" s="67"/>
      <c r="BOG24" s="67"/>
      <c r="BOH24" s="29"/>
      <c r="BOI24" s="131"/>
      <c r="BOJ24" s="29"/>
      <c r="BOK24" s="29"/>
      <c r="BOL24" s="29"/>
      <c r="BOM24" s="29"/>
      <c r="BON24" s="29"/>
      <c r="BOO24" s="136"/>
      <c r="BOP24" s="29"/>
      <c r="BOQ24" s="29"/>
      <c r="BOR24" s="29"/>
      <c r="BOS24" s="29"/>
      <c r="BOT24" s="29"/>
      <c r="BOU24" s="73"/>
      <c r="BOV24" s="29"/>
      <c r="BOW24" s="29"/>
      <c r="BOX24" s="29"/>
      <c r="BOY24" s="29"/>
      <c r="BOZ24" s="29"/>
      <c r="BPA24" s="136"/>
      <c r="BPB24" s="29"/>
      <c r="BPC24" s="29"/>
      <c r="BPD24" s="29"/>
      <c r="BPE24" s="29"/>
      <c r="BPF24" s="29"/>
      <c r="BPG24" s="73"/>
      <c r="BPH24" s="67"/>
      <c r="BPI24" s="67"/>
      <c r="BPJ24" s="67"/>
      <c r="BPK24" s="67"/>
      <c r="BPL24" s="29"/>
      <c r="BPM24" s="136"/>
      <c r="BPN24" s="29"/>
      <c r="BPO24" s="29"/>
      <c r="BPP24" s="29"/>
      <c r="BPQ24" s="29"/>
      <c r="BPR24" s="29"/>
      <c r="BPS24" s="73"/>
      <c r="BPT24" s="29"/>
      <c r="BPU24" s="29"/>
      <c r="BPV24" s="29"/>
      <c r="BPW24" s="29"/>
      <c r="BPX24" s="29"/>
      <c r="BPY24" s="136"/>
      <c r="BPZ24" s="29"/>
      <c r="BQA24" s="29"/>
      <c r="BQB24" s="29"/>
      <c r="BQC24" s="29"/>
      <c r="BQD24" s="29"/>
      <c r="BQE24" s="73"/>
      <c r="BQF24" s="29"/>
      <c r="BQG24" s="29"/>
      <c r="BQH24" s="29"/>
      <c r="BQI24" s="29"/>
      <c r="BQJ24" s="29"/>
      <c r="BQK24" s="30"/>
      <c r="BQL24" s="28"/>
      <c r="BQM24" s="67"/>
      <c r="BQN24" s="67"/>
      <c r="BQO24" s="67"/>
      <c r="BQP24" s="29"/>
      <c r="BQQ24" s="131"/>
      <c r="BQR24" s="29"/>
      <c r="BQS24" s="29"/>
      <c r="BQT24" s="29"/>
      <c r="BQU24" s="29"/>
      <c r="BQV24" s="29"/>
      <c r="BQW24" s="136"/>
      <c r="BQX24" s="29"/>
      <c r="BQY24" s="29"/>
      <c r="BQZ24" s="29"/>
      <c r="BRA24" s="29"/>
      <c r="BRB24" s="29"/>
      <c r="BRC24" s="73"/>
      <c r="BRD24" s="29"/>
      <c r="BRE24" s="29"/>
      <c r="BRF24" s="29"/>
      <c r="BRG24" s="29"/>
      <c r="BRH24" s="29"/>
      <c r="BRI24" s="136"/>
      <c r="BRJ24" s="29"/>
      <c r="BRK24" s="29"/>
      <c r="BRL24" s="29"/>
      <c r="BRM24" s="29"/>
      <c r="BRN24" s="29"/>
      <c r="BRO24" s="73"/>
      <c r="BRP24" s="67"/>
      <c r="BRQ24" s="67"/>
      <c r="BRR24" s="67"/>
      <c r="BRS24" s="67"/>
      <c r="BRT24" s="29"/>
      <c r="BRU24" s="136"/>
      <c r="BRV24" s="29"/>
      <c r="BRW24" s="29"/>
      <c r="BRX24" s="29"/>
      <c r="BRY24" s="29"/>
      <c r="BRZ24" s="29"/>
      <c r="BSA24" s="73"/>
      <c r="BSB24" s="29"/>
      <c r="BSC24" s="29"/>
      <c r="BSD24" s="29"/>
      <c r="BSE24" s="29"/>
      <c r="BSF24" s="29"/>
      <c r="BSG24" s="136"/>
      <c r="BSH24" s="29"/>
      <c r="BSI24" s="29"/>
      <c r="BSJ24" s="29"/>
      <c r="BSK24" s="29"/>
      <c r="BSL24" s="29"/>
      <c r="BSM24" s="73"/>
      <c r="BSN24" s="29"/>
      <c r="BSO24" s="29"/>
      <c r="BSP24" s="29"/>
      <c r="BSQ24" s="29"/>
      <c r="BSR24" s="29"/>
      <c r="BSS24" s="30"/>
      <c r="BST24" s="28"/>
      <c r="BSU24" s="67"/>
      <c r="BSV24" s="67"/>
      <c r="BSW24" s="67"/>
      <c r="BSX24" s="29"/>
      <c r="BSY24" s="131"/>
      <c r="BSZ24" s="29"/>
      <c r="BTA24" s="29"/>
      <c r="BTB24" s="29"/>
      <c r="BTC24" s="29"/>
      <c r="BTD24" s="29"/>
      <c r="BTE24" s="136"/>
      <c r="BTF24" s="29"/>
      <c r="BTG24" s="29"/>
      <c r="BTH24" s="29"/>
      <c r="BTI24" s="29"/>
      <c r="BTJ24" s="29"/>
      <c r="BTK24" s="73"/>
      <c r="BTL24" s="29"/>
      <c r="BTM24" s="29"/>
      <c r="BTN24" s="29"/>
      <c r="BTO24" s="29"/>
      <c r="BTP24" s="29"/>
      <c r="BTQ24" s="136"/>
      <c r="BTR24" s="29"/>
      <c r="BTS24" s="29"/>
      <c r="BTT24" s="29"/>
      <c r="BTU24" s="29"/>
      <c r="BTV24" s="29"/>
      <c r="BTW24" s="73"/>
      <c r="BTX24" s="67"/>
      <c r="BTY24" s="67"/>
      <c r="BTZ24" s="67"/>
      <c r="BUA24" s="67"/>
      <c r="BUB24" s="29"/>
      <c r="BUC24" s="136"/>
      <c r="BUD24" s="29"/>
      <c r="BUE24" s="29"/>
      <c r="BUF24" s="29"/>
      <c r="BUG24" s="29"/>
      <c r="BUH24" s="29"/>
      <c r="BUI24" s="73"/>
      <c r="BUJ24" s="29"/>
      <c r="BUK24" s="29"/>
      <c r="BUL24" s="29"/>
      <c r="BUM24" s="29"/>
      <c r="BUN24" s="29"/>
      <c r="BUO24" s="136"/>
      <c r="BUP24" s="29"/>
      <c r="BUQ24" s="29"/>
      <c r="BUR24" s="29"/>
      <c r="BUS24" s="29"/>
      <c r="BUT24" s="29"/>
      <c r="BUU24" s="73"/>
      <c r="BUV24" s="29"/>
      <c r="BUW24" s="29"/>
      <c r="BUX24" s="29"/>
      <c r="BUY24" s="29"/>
      <c r="BUZ24" s="29"/>
      <c r="BVA24" s="30"/>
      <c r="BVB24" s="90"/>
    </row>
    <row r="25" spans="1:1926" ht="20.100000000000001" customHeight="1" x14ac:dyDescent="0.25">
      <c r="A25" s="100" t="s">
        <v>20</v>
      </c>
      <c r="B25" s="63" t="str">
        <f>IF(LEN(C35)=0,"",C35)</f>
        <v>Analyse - Documentation</v>
      </c>
      <c r="C25" s="180" t="s">
        <v>85</v>
      </c>
      <c r="D25" s="146" t="str">
        <f t="shared" si="0"/>
        <v>8h35min</v>
      </c>
      <c r="E25" s="31">
        <v>103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218"/>
      <c r="GU25" s="219"/>
      <c r="GV25" s="218"/>
      <c r="GW25" s="218"/>
      <c r="GX25" s="218"/>
      <c r="GY25" s="218"/>
      <c r="GZ25" s="218"/>
      <c r="HA25" s="220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224"/>
      <c r="IR25" s="218"/>
      <c r="IS25" s="218"/>
      <c r="IT25" s="218"/>
      <c r="IU25" s="218"/>
      <c r="IV25" s="218"/>
      <c r="IW25" s="220"/>
      <c r="IX25" s="218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218"/>
      <c r="KY25" s="224"/>
      <c r="KZ25" s="218"/>
      <c r="LA25" s="218"/>
      <c r="LB25" s="218"/>
      <c r="LC25" s="218"/>
      <c r="LD25" s="218"/>
      <c r="LE25" s="220"/>
      <c r="LF25" s="218"/>
      <c r="LG25" s="218"/>
      <c r="LH25" s="218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218"/>
      <c r="NO25" s="218"/>
      <c r="NP25" s="218"/>
      <c r="NQ25" s="218"/>
      <c r="NR25" s="218"/>
      <c r="NS25" s="219"/>
      <c r="NT25" s="218"/>
      <c r="NU25" s="218"/>
      <c r="NV25" s="218"/>
      <c r="NW25" s="218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222"/>
      <c r="PK25" s="223"/>
      <c r="PL25" s="223"/>
      <c r="PM25" s="223"/>
      <c r="PN25" s="218"/>
      <c r="PO25" s="224"/>
      <c r="PP25" s="218"/>
      <c r="PQ25" s="218"/>
      <c r="PR25" s="218"/>
      <c r="PS25" s="218"/>
      <c r="PT25" s="218"/>
      <c r="PU25" s="220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218"/>
      <c r="SE25" s="218"/>
      <c r="SF25" s="218"/>
      <c r="SG25" s="218"/>
      <c r="SH25" s="218"/>
      <c r="SI25" s="219"/>
      <c r="SJ25" s="218"/>
      <c r="SK25" s="218"/>
      <c r="SL25" s="218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222"/>
      <c r="UA25" s="223"/>
      <c r="UB25" s="223"/>
      <c r="UC25" s="223"/>
      <c r="UD25" s="218"/>
      <c r="UE25" s="224"/>
      <c r="UF25" s="218"/>
      <c r="UG25" s="218"/>
      <c r="UH25" s="218"/>
      <c r="UI25" s="218"/>
      <c r="UJ25" s="218"/>
      <c r="UK25" s="220"/>
      <c r="UL25" s="218"/>
      <c r="UM25" s="218"/>
      <c r="UN25" s="218"/>
      <c r="UO25" s="218"/>
      <c r="UP25" s="218"/>
      <c r="UQ25" s="219"/>
      <c r="UR25" s="218"/>
      <c r="US25" s="218"/>
      <c r="UT25" s="218"/>
      <c r="UU25" s="218"/>
      <c r="UV25" s="218"/>
      <c r="UW25" s="220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222"/>
      <c r="WI25" s="223"/>
      <c r="WJ25" s="223"/>
      <c r="WK25" s="223"/>
      <c r="WL25" s="218"/>
      <c r="WM25" s="224"/>
      <c r="WN25" s="218"/>
      <c r="WO25" s="218"/>
      <c r="WP25" s="218"/>
      <c r="WQ25" s="33"/>
      <c r="WR25" s="33"/>
      <c r="WS25" s="137"/>
      <c r="WT25" s="218"/>
      <c r="WU25" s="218"/>
      <c r="WV25" s="218"/>
      <c r="WW25" s="218"/>
      <c r="WX25" s="218"/>
      <c r="WY25" s="219"/>
      <c r="WZ25" s="218"/>
      <c r="XA25" s="218"/>
      <c r="XB25" s="218"/>
      <c r="XC25" s="218"/>
      <c r="XD25" s="218"/>
      <c r="XE25" s="220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32"/>
      <c r="BOE25" s="64"/>
      <c r="BOF25" s="64"/>
      <c r="BOG25" s="64"/>
      <c r="BOH25" s="33"/>
      <c r="BOI25" s="132"/>
      <c r="BOJ25" s="33"/>
      <c r="BOK25" s="33"/>
      <c r="BOL25" s="33"/>
      <c r="BOM25" s="33"/>
      <c r="BON25" s="33"/>
      <c r="BOO25" s="137"/>
      <c r="BOP25" s="33"/>
      <c r="BOQ25" s="33"/>
      <c r="BOR25" s="33"/>
      <c r="BOS25" s="33"/>
      <c r="BOT25" s="33"/>
      <c r="BOU25" s="74"/>
      <c r="BOV25" s="33"/>
      <c r="BOW25" s="33"/>
      <c r="BOX25" s="33"/>
      <c r="BOY25" s="33"/>
      <c r="BOZ25" s="33"/>
      <c r="BPA25" s="137"/>
      <c r="BPB25" s="33"/>
      <c r="BPC25" s="33"/>
      <c r="BPD25" s="33"/>
      <c r="BPE25" s="33"/>
      <c r="BPF25" s="33"/>
      <c r="BPG25" s="74"/>
      <c r="BPH25" s="64"/>
      <c r="BPI25" s="64"/>
      <c r="BPJ25" s="64"/>
      <c r="BPK25" s="64"/>
      <c r="BPL25" s="33"/>
      <c r="BPM25" s="137"/>
      <c r="BPN25" s="33"/>
      <c r="BPO25" s="33"/>
      <c r="BPP25" s="33"/>
      <c r="BPQ25" s="33"/>
      <c r="BPR25" s="33"/>
      <c r="BPS25" s="74"/>
      <c r="BPT25" s="33"/>
      <c r="BPU25" s="33"/>
      <c r="BPV25" s="33"/>
      <c r="BPW25" s="33"/>
      <c r="BPX25" s="33"/>
      <c r="BPY25" s="137"/>
      <c r="BPZ25" s="33"/>
      <c r="BQA25" s="33"/>
      <c r="BQB25" s="33"/>
      <c r="BQC25" s="33"/>
      <c r="BQD25" s="33"/>
      <c r="BQE25" s="74"/>
      <c r="BQF25" s="33"/>
      <c r="BQG25" s="33"/>
      <c r="BQH25" s="33"/>
      <c r="BQI25" s="33"/>
      <c r="BQJ25" s="33"/>
      <c r="BQK25" s="34"/>
      <c r="BQL25" s="32"/>
      <c r="BQM25" s="64"/>
      <c r="BQN25" s="64"/>
      <c r="BQO25" s="64"/>
      <c r="BQP25" s="33"/>
      <c r="BQQ25" s="132"/>
      <c r="BQR25" s="33"/>
      <c r="BQS25" s="33"/>
      <c r="BQT25" s="33"/>
      <c r="BQU25" s="33"/>
      <c r="BQV25" s="33"/>
      <c r="BQW25" s="137"/>
      <c r="BQX25" s="33"/>
      <c r="BQY25" s="33"/>
      <c r="BQZ25" s="33"/>
      <c r="BRA25" s="33"/>
      <c r="BRB25" s="33"/>
      <c r="BRC25" s="74"/>
      <c r="BRD25" s="33"/>
      <c r="BRE25" s="33"/>
      <c r="BRF25" s="33"/>
      <c r="BRG25" s="33"/>
      <c r="BRH25" s="33"/>
      <c r="BRI25" s="137"/>
      <c r="BRJ25" s="33"/>
      <c r="BRK25" s="33"/>
      <c r="BRL25" s="33"/>
      <c r="BRM25" s="33"/>
      <c r="BRN25" s="33"/>
      <c r="BRO25" s="74"/>
      <c r="BRP25" s="64"/>
      <c r="BRQ25" s="64"/>
      <c r="BRR25" s="64"/>
      <c r="BRS25" s="64"/>
      <c r="BRT25" s="33"/>
      <c r="BRU25" s="137"/>
      <c r="BRV25" s="33"/>
      <c r="BRW25" s="33"/>
      <c r="BRX25" s="33"/>
      <c r="BRY25" s="33"/>
      <c r="BRZ25" s="33"/>
      <c r="BSA25" s="74"/>
      <c r="BSB25" s="33"/>
      <c r="BSC25" s="33"/>
      <c r="BSD25" s="33"/>
      <c r="BSE25" s="33"/>
      <c r="BSF25" s="33"/>
      <c r="BSG25" s="137"/>
      <c r="BSH25" s="33"/>
      <c r="BSI25" s="33"/>
      <c r="BSJ25" s="33"/>
      <c r="BSK25" s="33"/>
      <c r="BSL25" s="33"/>
      <c r="BSM25" s="74"/>
      <c r="BSN25" s="33"/>
      <c r="BSO25" s="33"/>
      <c r="BSP25" s="33"/>
      <c r="BSQ25" s="33"/>
      <c r="BSR25" s="33"/>
      <c r="BSS25" s="34"/>
      <c r="BST25" s="32"/>
      <c r="BSU25" s="64"/>
      <c r="BSV25" s="64"/>
      <c r="BSW25" s="64"/>
      <c r="BSX25" s="33"/>
      <c r="BSY25" s="132"/>
      <c r="BSZ25" s="33"/>
      <c r="BTA25" s="33"/>
      <c r="BTB25" s="33"/>
      <c r="BTC25" s="33"/>
      <c r="BTD25" s="33"/>
      <c r="BTE25" s="137"/>
      <c r="BTF25" s="33"/>
      <c r="BTG25" s="33"/>
      <c r="BTH25" s="33"/>
      <c r="BTI25" s="33"/>
      <c r="BTJ25" s="33"/>
      <c r="BTK25" s="74"/>
      <c r="BTL25" s="33"/>
      <c r="BTM25" s="33"/>
      <c r="BTN25" s="33"/>
      <c r="BTO25" s="33"/>
      <c r="BTP25" s="33"/>
      <c r="BTQ25" s="137"/>
      <c r="BTR25" s="33"/>
      <c r="BTS25" s="33"/>
      <c r="BTT25" s="33"/>
      <c r="BTU25" s="33"/>
      <c r="BTV25" s="33"/>
      <c r="BTW25" s="74"/>
      <c r="BTX25" s="64"/>
      <c r="BTY25" s="64"/>
      <c r="BTZ25" s="64"/>
      <c r="BUA25" s="64"/>
      <c r="BUB25" s="33"/>
      <c r="BUC25" s="137"/>
      <c r="BUD25" s="33"/>
      <c r="BUE25" s="33"/>
      <c r="BUF25" s="33"/>
      <c r="BUG25" s="33"/>
      <c r="BUH25" s="33"/>
      <c r="BUI25" s="74"/>
      <c r="BUJ25" s="33"/>
      <c r="BUK25" s="33"/>
      <c r="BUL25" s="33"/>
      <c r="BUM25" s="33"/>
      <c r="BUN25" s="33"/>
      <c r="BUO25" s="137"/>
      <c r="BUP25" s="33"/>
      <c r="BUQ25" s="33"/>
      <c r="BUR25" s="33"/>
      <c r="BUS25" s="33"/>
      <c r="BUT25" s="33"/>
      <c r="BUU25" s="74"/>
      <c r="BUV25" s="33"/>
      <c r="BUW25" s="33"/>
      <c r="BUX25" s="33"/>
      <c r="BUY25" s="33"/>
      <c r="BUZ25" s="33"/>
      <c r="BVA25" s="34"/>
      <c r="BVB25" s="90"/>
    </row>
    <row r="26" spans="1:1926" ht="20.100000000000001" customHeight="1" x14ac:dyDescent="0.3">
      <c r="A26" s="100" t="s">
        <v>21</v>
      </c>
      <c r="B26" s="63" t="str">
        <f>IF(LEN(C37)=0,"",C37)</f>
        <v/>
      </c>
      <c r="C26" s="19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36"/>
      <c r="BOE26" s="65"/>
      <c r="BOF26" s="65"/>
      <c r="BOG26" s="65"/>
      <c r="BOH26" s="37"/>
      <c r="BOI26" s="133"/>
      <c r="BOJ26" s="37"/>
      <c r="BOK26" s="37"/>
      <c r="BOL26" s="37"/>
      <c r="BOM26" s="37"/>
      <c r="BON26" s="37"/>
      <c r="BOO26" s="138"/>
      <c r="BOP26" s="37"/>
      <c r="BOQ26" s="37"/>
      <c r="BOR26" s="37"/>
      <c r="BOS26" s="37"/>
      <c r="BOT26" s="37"/>
      <c r="BOU26" s="75"/>
      <c r="BOV26" s="37"/>
      <c r="BOW26" s="37"/>
      <c r="BOX26" s="37"/>
      <c r="BOY26" s="37"/>
      <c r="BOZ26" s="37"/>
      <c r="BPA26" s="138"/>
      <c r="BPB26" s="37"/>
      <c r="BPC26" s="37"/>
      <c r="BPD26" s="37"/>
      <c r="BPE26" s="37"/>
      <c r="BPF26" s="37"/>
      <c r="BPG26" s="75"/>
      <c r="BPH26" s="65"/>
      <c r="BPI26" s="65"/>
      <c r="BPJ26" s="65"/>
      <c r="BPK26" s="65"/>
      <c r="BPL26" s="37"/>
      <c r="BPM26" s="138"/>
      <c r="BPN26" s="37"/>
      <c r="BPO26" s="37"/>
      <c r="BPP26" s="37"/>
      <c r="BPQ26" s="37"/>
      <c r="BPR26" s="37"/>
      <c r="BPS26" s="75"/>
      <c r="BPT26" s="37"/>
      <c r="BPU26" s="37"/>
      <c r="BPV26" s="37"/>
      <c r="BPW26" s="37"/>
      <c r="BPX26" s="37"/>
      <c r="BPY26" s="138"/>
      <c r="BPZ26" s="37"/>
      <c r="BQA26" s="37"/>
      <c r="BQB26" s="37"/>
      <c r="BQC26" s="37"/>
      <c r="BQD26" s="37"/>
      <c r="BQE26" s="75"/>
      <c r="BQF26" s="37"/>
      <c r="BQG26" s="37"/>
      <c r="BQH26" s="37"/>
      <c r="BQI26" s="37"/>
      <c r="BQJ26" s="37"/>
      <c r="BQK26" s="38"/>
      <c r="BQL26" s="36"/>
      <c r="BQM26" s="65"/>
      <c r="BQN26" s="65"/>
      <c r="BQO26" s="65"/>
      <c r="BQP26" s="37"/>
      <c r="BQQ26" s="133"/>
      <c r="BQR26" s="37"/>
      <c r="BQS26" s="37"/>
      <c r="BQT26" s="37"/>
      <c r="BQU26" s="37"/>
      <c r="BQV26" s="37"/>
      <c r="BQW26" s="138"/>
      <c r="BQX26" s="37"/>
      <c r="BQY26" s="37"/>
      <c r="BQZ26" s="37"/>
      <c r="BRA26" s="37"/>
      <c r="BRB26" s="37"/>
      <c r="BRC26" s="75"/>
      <c r="BRD26" s="37"/>
      <c r="BRE26" s="37"/>
      <c r="BRF26" s="37"/>
      <c r="BRG26" s="37"/>
      <c r="BRH26" s="37"/>
      <c r="BRI26" s="138"/>
      <c r="BRJ26" s="37"/>
      <c r="BRK26" s="37"/>
      <c r="BRL26" s="37"/>
      <c r="BRM26" s="37"/>
      <c r="BRN26" s="37"/>
      <c r="BRO26" s="75"/>
      <c r="BRP26" s="65"/>
      <c r="BRQ26" s="65"/>
      <c r="BRR26" s="65"/>
      <c r="BRS26" s="65"/>
      <c r="BRT26" s="37"/>
      <c r="BRU26" s="138"/>
      <c r="BRV26" s="37"/>
      <c r="BRW26" s="37"/>
      <c r="BRX26" s="37"/>
      <c r="BRY26" s="37"/>
      <c r="BRZ26" s="37"/>
      <c r="BSA26" s="75"/>
      <c r="BSB26" s="37"/>
      <c r="BSC26" s="37"/>
      <c r="BSD26" s="37"/>
      <c r="BSE26" s="37"/>
      <c r="BSF26" s="37"/>
      <c r="BSG26" s="138"/>
      <c r="BSH26" s="37"/>
      <c r="BSI26" s="37"/>
      <c r="BSJ26" s="37"/>
      <c r="BSK26" s="37"/>
      <c r="BSL26" s="37"/>
      <c r="BSM26" s="75"/>
      <c r="BSN26" s="37"/>
      <c r="BSO26" s="37"/>
      <c r="BSP26" s="37"/>
      <c r="BSQ26" s="37"/>
      <c r="BSR26" s="37"/>
      <c r="BSS26" s="38"/>
      <c r="BST26" s="36"/>
      <c r="BSU26" s="65"/>
      <c r="BSV26" s="65"/>
      <c r="BSW26" s="65"/>
      <c r="BSX26" s="37"/>
      <c r="BSY26" s="133"/>
      <c r="BSZ26" s="37"/>
      <c r="BTA26" s="37"/>
      <c r="BTB26" s="37"/>
      <c r="BTC26" s="37"/>
      <c r="BTD26" s="37"/>
      <c r="BTE26" s="138"/>
      <c r="BTF26" s="37"/>
      <c r="BTG26" s="37"/>
      <c r="BTH26" s="37"/>
      <c r="BTI26" s="37"/>
      <c r="BTJ26" s="37"/>
      <c r="BTK26" s="75"/>
      <c r="BTL26" s="37"/>
      <c r="BTM26" s="37"/>
      <c r="BTN26" s="37"/>
      <c r="BTO26" s="37"/>
      <c r="BTP26" s="37"/>
      <c r="BTQ26" s="138"/>
      <c r="BTR26" s="37"/>
      <c r="BTS26" s="37"/>
      <c r="BTT26" s="37"/>
      <c r="BTU26" s="37"/>
      <c r="BTV26" s="37"/>
      <c r="BTW26" s="75"/>
      <c r="BTX26" s="65"/>
      <c r="BTY26" s="65"/>
      <c r="BTZ26" s="65"/>
      <c r="BUA26" s="65"/>
      <c r="BUB26" s="37"/>
      <c r="BUC26" s="138"/>
      <c r="BUD26" s="37"/>
      <c r="BUE26" s="37"/>
      <c r="BUF26" s="37"/>
      <c r="BUG26" s="37"/>
      <c r="BUH26" s="37"/>
      <c r="BUI26" s="75"/>
      <c r="BUJ26" s="37"/>
      <c r="BUK26" s="37"/>
      <c r="BUL26" s="37"/>
      <c r="BUM26" s="37"/>
      <c r="BUN26" s="37"/>
      <c r="BUO26" s="138"/>
      <c r="BUP26" s="37"/>
      <c r="BUQ26" s="37"/>
      <c r="BUR26" s="37"/>
      <c r="BUS26" s="37"/>
      <c r="BUT26" s="37"/>
      <c r="BUU26" s="75"/>
      <c r="BUV26" s="37"/>
      <c r="BUW26" s="37"/>
      <c r="BUX26" s="37"/>
      <c r="BUY26" s="37"/>
      <c r="BUZ26" s="37"/>
      <c r="BVA26" s="38"/>
      <c r="BVB26" s="90"/>
    </row>
    <row r="27" spans="1:1926" ht="20.100000000000001" customHeight="1" x14ac:dyDescent="0.25">
      <c r="A27" s="100" t="s">
        <v>20</v>
      </c>
      <c r="B27" s="63" t="str">
        <f>IF(LEN(C39)=0,"",C39)</f>
        <v/>
      </c>
      <c r="C27" s="180" t="s">
        <v>86</v>
      </c>
      <c r="D27" s="146" t="str">
        <f t="shared" si="0"/>
        <v>4h10min</v>
      </c>
      <c r="E27" s="39">
        <v>50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215"/>
      <c r="HC27" s="215"/>
      <c r="HD27" s="215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213"/>
      <c r="IM27" s="214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215"/>
      <c r="IZ27" s="215"/>
      <c r="JA27" s="215"/>
      <c r="JB27" s="215"/>
      <c r="JC27" s="221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215"/>
      <c r="LJ27" s="215"/>
      <c r="LK27" s="221"/>
      <c r="LL27" s="215"/>
      <c r="LM27" s="215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215"/>
      <c r="NY27" s="217"/>
      <c r="NZ27" s="215"/>
      <c r="OA27" s="215"/>
      <c r="OB27" s="215"/>
      <c r="OC27" s="215"/>
      <c r="OD27" s="215"/>
      <c r="OE27" s="221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215"/>
      <c r="PW27" s="215"/>
      <c r="PX27" s="215"/>
      <c r="PY27" s="215"/>
      <c r="PZ27" s="215"/>
      <c r="QA27" s="221"/>
      <c r="QB27" s="215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215"/>
      <c r="SN27" s="215"/>
      <c r="SO27" s="217"/>
      <c r="SP27" s="215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215"/>
      <c r="UY27" s="215"/>
      <c r="UZ27" s="215"/>
      <c r="VA27" s="215"/>
      <c r="VB27" s="215"/>
      <c r="VC27" s="221"/>
      <c r="VD27" s="214"/>
      <c r="VE27" s="214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215"/>
      <c r="WR27" s="215"/>
      <c r="WS27" s="217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215"/>
      <c r="XG27" s="215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213"/>
      <c r="YQ27" s="214"/>
      <c r="YR27" s="214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40"/>
      <c r="BOE27" s="66"/>
      <c r="BOF27" s="66"/>
      <c r="BOG27" s="66"/>
      <c r="BOH27" s="41"/>
      <c r="BOI27" s="134"/>
      <c r="BOJ27" s="41"/>
      <c r="BOK27" s="41"/>
      <c r="BOL27" s="41"/>
      <c r="BOM27" s="41"/>
      <c r="BON27" s="41"/>
      <c r="BOO27" s="139"/>
      <c r="BOP27" s="41"/>
      <c r="BOQ27" s="41"/>
      <c r="BOR27" s="41"/>
      <c r="BOS27" s="41"/>
      <c r="BOT27" s="41"/>
      <c r="BOU27" s="76"/>
      <c r="BOV27" s="41"/>
      <c r="BOW27" s="41"/>
      <c r="BOX27" s="41"/>
      <c r="BOY27" s="41"/>
      <c r="BOZ27" s="41"/>
      <c r="BPA27" s="139"/>
      <c r="BPB27" s="41"/>
      <c r="BPC27" s="41"/>
      <c r="BPD27" s="41"/>
      <c r="BPE27" s="41"/>
      <c r="BPF27" s="41"/>
      <c r="BPG27" s="76"/>
      <c r="BPH27" s="66"/>
      <c r="BPI27" s="66"/>
      <c r="BPJ27" s="66"/>
      <c r="BPK27" s="66"/>
      <c r="BPL27" s="41"/>
      <c r="BPM27" s="139"/>
      <c r="BPN27" s="41"/>
      <c r="BPO27" s="41"/>
      <c r="BPP27" s="41"/>
      <c r="BPQ27" s="41"/>
      <c r="BPR27" s="41"/>
      <c r="BPS27" s="76"/>
      <c r="BPT27" s="41"/>
      <c r="BPU27" s="41"/>
      <c r="BPV27" s="41"/>
      <c r="BPW27" s="41"/>
      <c r="BPX27" s="41"/>
      <c r="BPY27" s="139"/>
      <c r="BPZ27" s="41"/>
      <c r="BQA27" s="41"/>
      <c r="BQB27" s="41"/>
      <c r="BQC27" s="41"/>
      <c r="BQD27" s="41"/>
      <c r="BQE27" s="76"/>
      <c r="BQF27" s="41"/>
      <c r="BQG27" s="41"/>
      <c r="BQH27" s="41"/>
      <c r="BQI27" s="41"/>
      <c r="BQJ27" s="41"/>
      <c r="BQK27" s="42"/>
      <c r="BQL27" s="40"/>
      <c r="BQM27" s="66"/>
      <c r="BQN27" s="66"/>
      <c r="BQO27" s="66"/>
      <c r="BQP27" s="41"/>
      <c r="BQQ27" s="134"/>
      <c r="BQR27" s="41"/>
      <c r="BQS27" s="41"/>
      <c r="BQT27" s="41"/>
      <c r="BQU27" s="41"/>
      <c r="BQV27" s="41"/>
      <c r="BQW27" s="139"/>
      <c r="BQX27" s="41"/>
      <c r="BQY27" s="41"/>
      <c r="BQZ27" s="41"/>
      <c r="BRA27" s="41"/>
      <c r="BRB27" s="41"/>
      <c r="BRC27" s="76"/>
      <c r="BRD27" s="41"/>
      <c r="BRE27" s="41"/>
      <c r="BRF27" s="41"/>
      <c r="BRG27" s="41"/>
      <c r="BRH27" s="41"/>
      <c r="BRI27" s="139"/>
      <c r="BRJ27" s="41"/>
      <c r="BRK27" s="41"/>
      <c r="BRL27" s="41"/>
      <c r="BRM27" s="41"/>
      <c r="BRN27" s="41"/>
      <c r="BRO27" s="76"/>
      <c r="BRP27" s="66"/>
      <c r="BRQ27" s="66"/>
      <c r="BRR27" s="66"/>
      <c r="BRS27" s="66"/>
      <c r="BRT27" s="41"/>
      <c r="BRU27" s="139"/>
      <c r="BRV27" s="41"/>
      <c r="BRW27" s="41"/>
      <c r="BRX27" s="41"/>
      <c r="BRY27" s="41"/>
      <c r="BRZ27" s="41"/>
      <c r="BSA27" s="76"/>
      <c r="BSB27" s="41"/>
      <c r="BSC27" s="41"/>
      <c r="BSD27" s="41"/>
      <c r="BSE27" s="41"/>
      <c r="BSF27" s="41"/>
      <c r="BSG27" s="139"/>
      <c r="BSH27" s="41"/>
      <c r="BSI27" s="41"/>
      <c r="BSJ27" s="41"/>
      <c r="BSK27" s="41"/>
      <c r="BSL27" s="41"/>
      <c r="BSM27" s="76"/>
      <c r="BSN27" s="41"/>
      <c r="BSO27" s="41"/>
      <c r="BSP27" s="41"/>
      <c r="BSQ27" s="41"/>
      <c r="BSR27" s="41"/>
      <c r="BSS27" s="42"/>
      <c r="BST27" s="40"/>
      <c r="BSU27" s="66"/>
      <c r="BSV27" s="66"/>
      <c r="BSW27" s="66"/>
      <c r="BSX27" s="41"/>
      <c r="BSY27" s="134"/>
      <c r="BSZ27" s="41"/>
      <c r="BTA27" s="41"/>
      <c r="BTB27" s="41"/>
      <c r="BTC27" s="41"/>
      <c r="BTD27" s="41"/>
      <c r="BTE27" s="139"/>
      <c r="BTF27" s="41"/>
      <c r="BTG27" s="41"/>
      <c r="BTH27" s="41"/>
      <c r="BTI27" s="41"/>
      <c r="BTJ27" s="41"/>
      <c r="BTK27" s="76"/>
      <c r="BTL27" s="41"/>
      <c r="BTM27" s="41"/>
      <c r="BTN27" s="41"/>
      <c r="BTO27" s="41"/>
      <c r="BTP27" s="41"/>
      <c r="BTQ27" s="139"/>
      <c r="BTR27" s="41"/>
      <c r="BTS27" s="41"/>
      <c r="BTT27" s="41"/>
      <c r="BTU27" s="41"/>
      <c r="BTV27" s="41"/>
      <c r="BTW27" s="76"/>
      <c r="BTX27" s="66"/>
      <c r="BTY27" s="66"/>
      <c r="BTZ27" s="66"/>
      <c r="BUA27" s="66"/>
      <c r="BUB27" s="41"/>
      <c r="BUC27" s="139"/>
      <c r="BUD27" s="41"/>
      <c r="BUE27" s="41"/>
      <c r="BUF27" s="41"/>
      <c r="BUG27" s="41"/>
      <c r="BUH27" s="41"/>
      <c r="BUI27" s="76"/>
      <c r="BUJ27" s="41"/>
      <c r="BUK27" s="41"/>
      <c r="BUL27" s="41"/>
      <c r="BUM27" s="41"/>
      <c r="BUN27" s="41"/>
      <c r="BUO27" s="139"/>
      <c r="BUP27" s="41"/>
      <c r="BUQ27" s="41"/>
      <c r="BUR27" s="41"/>
      <c r="BUS27" s="41"/>
      <c r="BUT27" s="41"/>
      <c r="BUU27" s="76"/>
      <c r="BUV27" s="41"/>
      <c r="BUW27" s="41"/>
      <c r="BUX27" s="41"/>
      <c r="BUY27" s="41"/>
      <c r="BUZ27" s="41"/>
      <c r="BVA27" s="42"/>
      <c r="BVB27" s="90"/>
    </row>
    <row r="28" spans="1:1926" ht="20.100000000000001" customHeight="1" x14ac:dyDescent="0.3">
      <c r="A28" s="100" t="s">
        <v>21</v>
      </c>
      <c r="B28" s="63" t="str">
        <f>IF(LEN(C41)=0,"",C41)</f>
        <v/>
      </c>
      <c r="C28" s="190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28"/>
      <c r="BOE28" s="67"/>
      <c r="BOF28" s="67"/>
      <c r="BOG28" s="67"/>
      <c r="BOH28" s="29"/>
      <c r="BOI28" s="131"/>
      <c r="BOJ28" s="29"/>
      <c r="BOK28" s="29"/>
      <c r="BOL28" s="29"/>
      <c r="BOM28" s="29"/>
      <c r="BON28" s="29"/>
      <c r="BOO28" s="136"/>
      <c r="BOP28" s="29"/>
      <c r="BOQ28" s="29"/>
      <c r="BOR28" s="29"/>
      <c r="BOS28" s="29"/>
      <c r="BOT28" s="29"/>
      <c r="BOU28" s="73"/>
      <c r="BOV28" s="29"/>
      <c r="BOW28" s="29"/>
      <c r="BOX28" s="29"/>
      <c r="BOY28" s="29"/>
      <c r="BOZ28" s="29"/>
      <c r="BPA28" s="136"/>
      <c r="BPB28" s="29"/>
      <c r="BPC28" s="29"/>
      <c r="BPD28" s="29"/>
      <c r="BPE28" s="29"/>
      <c r="BPF28" s="29"/>
      <c r="BPG28" s="73"/>
      <c r="BPH28" s="67"/>
      <c r="BPI28" s="67"/>
      <c r="BPJ28" s="67"/>
      <c r="BPK28" s="67"/>
      <c r="BPL28" s="29"/>
      <c r="BPM28" s="136"/>
      <c r="BPN28" s="29"/>
      <c r="BPO28" s="29"/>
      <c r="BPP28" s="29"/>
      <c r="BPQ28" s="29"/>
      <c r="BPR28" s="29"/>
      <c r="BPS28" s="73"/>
      <c r="BPT28" s="29"/>
      <c r="BPU28" s="29"/>
      <c r="BPV28" s="29"/>
      <c r="BPW28" s="29"/>
      <c r="BPX28" s="29"/>
      <c r="BPY28" s="136"/>
      <c r="BPZ28" s="29"/>
      <c r="BQA28" s="29"/>
      <c r="BQB28" s="29"/>
      <c r="BQC28" s="29"/>
      <c r="BQD28" s="29"/>
      <c r="BQE28" s="73"/>
      <c r="BQF28" s="29"/>
      <c r="BQG28" s="29"/>
      <c r="BQH28" s="29"/>
      <c r="BQI28" s="29"/>
      <c r="BQJ28" s="29"/>
      <c r="BQK28" s="30"/>
      <c r="BQL28" s="28"/>
      <c r="BQM28" s="67"/>
      <c r="BQN28" s="67"/>
      <c r="BQO28" s="67"/>
      <c r="BQP28" s="29"/>
      <c r="BQQ28" s="131"/>
      <c r="BQR28" s="29"/>
      <c r="BQS28" s="29"/>
      <c r="BQT28" s="29"/>
      <c r="BQU28" s="29"/>
      <c r="BQV28" s="29"/>
      <c r="BQW28" s="136"/>
      <c r="BQX28" s="29"/>
      <c r="BQY28" s="29"/>
      <c r="BQZ28" s="29"/>
      <c r="BRA28" s="29"/>
      <c r="BRB28" s="29"/>
      <c r="BRC28" s="73"/>
      <c r="BRD28" s="29"/>
      <c r="BRE28" s="29"/>
      <c r="BRF28" s="29"/>
      <c r="BRG28" s="29"/>
      <c r="BRH28" s="29"/>
      <c r="BRI28" s="136"/>
      <c r="BRJ28" s="29"/>
      <c r="BRK28" s="29"/>
      <c r="BRL28" s="29"/>
      <c r="BRM28" s="29"/>
      <c r="BRN28" s="29"/>
      <c r="BRO28" s="73"/>
      <c r="BRP28" s="67"/>
      <c r="BRQ28" s="67"/>
      <c r="BRR28" s="67"/>
      <c r="BRS28" s="67"/>
      <c r="BRT28" s="29"/>
      <c r="BRU28" s="136"/>
      <c r="BRV28" s="29"/>
      <c r="BRW28" s="29"/>
      <c r="BRX28" s="29"/>
      <c r="BRY28" s="29"/>
      <c r="BRZ28" s="29"/>
      <c r="BSA28" s="73"/>
      <c r="BSB28" s="29"/>
      <c r="BSC28" s="29"/>
      <c r="BSD28" s="29"/>
      <c r="BSE28" s="29"/>
      <c r="BSF28" s="29"/>
      <c r="BSG28" s="136"/>
      <c r="BSH28" s="29"/>
      <c r="BSI28" s="29"/>
      <c r="BSJ28" s="29"/>
      <c r="BSK28" s="29"/>
      <c r="BSL28" s="29"/>
      <c r="BSM28" s="73"/>
      <c r="BSN28" s="29"/>
      <c r="BSO28" s="29"/>
      <c r="BSP28" s="29"/>
      <c r="BSQ28" s="29"/>
      <c r="BSR28" s="29"/>
      <c r="BSS28" s="30"/>
      <c r="BST28" s="28"/>
      <c r="BSU28" s="67"/>
      <c r="BSV28" s="67"/>
      <c r="BSW28" s="67"/>
      <c r="BSX28" s="29"/>
      <c r="BSY28" s="131"/>
      <c r="BSZ28" s="29"/>
      <c r="BTA28" s="29"/>
      <c r="BTB28" s="29"/>
      <c r="BTC28" s="29"/>
      <c r="BTD28" s="29"/>
      <c r="BTE28" s="136"/>
      <c r="BTF28" s="29"/>
      <c r="BTG28" s="29"/>
      <c r="BTH28" s="29"/>
      <c r="BTI28" s="29"/>
      <c r="BTJ28" s="29"/>
      <c r="BTK28" s="73"/>
      <c r="BTL28" s="29"/>
      <c r="BTM28" s="29"/>
      <c r="BTN28" s="29"/>
      <c r="BTO28" s="29"/>
      <c r="BTP28" s="29"/>
      <c r="BTQ28" s="136"/>
      <c r="BTR28" s="29"/>
      <c r="BTS28" s="29"/>
      <c r="BTT28" s="29"/>
      <c r="BTU28" s="29"/>
      <c r="BTV28" s="29"/>
      <c r="BTW28" s="73"/>
      <c r="BTX28" s="67"/>
      <c r="BTY28" s="67"/>
      <c r="BTZ28" s="67"/>
      <c r="BUA28" s="67"/>
      <c r="BUB28" s="29"/>
      <c r="BUC28" s="136"/>
      <c r="BUD28" s="29"/>
      <c r="BUE28" s="29"/>
      <c r="BUF28" s="29"/>
      <c r="BUG28" s="29"/>
      <c r="BUH28" s="29"/>
      <c r="BUI28" s="73"/>
      <c r="BUJ28" s="29"/>
      <c r="BUK28" s="29"/>
      <c r="BUL28" s="29"/>
      <c r="BUM28" s="29"/>
      <c r="BUN28" s="29"/>
      <c r="BUO28" s="136"/>
      <c r="BUP28" s="29"/>
      <c r="BUQ28" s="29"/>
      <c r="BUR28" s="29"/>
      <c r="BUS28" s="29"/>
      <c r="BUT28" s="29"/>
      <c r="BUU28" s="73"/>
      <c r="BUV28" s="29"/>
      <c r="BUW28" s="29"/>
      <c r="BUX28" s="29"/>
      <c r="BUY28" s="29"/>
      <c r="BUZ28" s="29"/>
      <c r="BVA28" s="30"/>
      <c r="BVB28" s="90"/>
    </row>
    <row r="29" spans="1:1926" ht="20.100000000000001" customHeight="1" x14ac:dyDescent="0.25">
      <c r="A29" s="100" t="s">
        <v>20</v>
      </c>
      <c r="B29" s="63" t="str">
        <f>IF(LEN(C43)=0,"",C43)</f>
        <v/>
      </c>
      <c r="C29" s="180" t="s">
        <v>87</v>
      </c>
      <c r="D29" s="146" t="str">
        <f t="shared" si="0"/>
        <v>0h40min</v>
      </c>
      <c r="E29" s="31">
        <v>8</v>
      </c>
      <c r="F29" s="222"/>
      <c r="G29" s="223"/>
      <c r="H29" s="223"/>
      <c r="I29" s="223"/>
      <c r="J29" s="218"/>
      <c r="K29" s="224"/>
      <c r="L29" s="218"/>
      <c r="M29" s="218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32"/>
      <c r="BOE29" s="64"/>
      <c r="BOF29" s="64"/>
      <c r="BOG29" s="64"/>
      <c r="BOH29" s="33"/>
      <c r="BOI29" s="132"/>
      <c r="BOJ29" s="33"/>
      <c r="BOK29" s="33"/>
      <c r="BOL29" s="33"/>
      <c r="BOM29" s="33"/>
      <c r="BON29" s="33"/>
      <c r="BOO29" s="137"/>
      <c r="BOP29" s="33"/>
      <c r="BOQ29" s="33"/>
      <c r="BOR29" s="33"/>
      <c r="BOS29" s="33"/>
      <c r="BOT29" s="33"/>
      <c r="BOU29" s="74"/>
      <c r="BOV29" s="33"/>
      <c r="BOW29" s="33"/>
      <c r="BOX29" s="33"/>
      <c r="BOY29" s="33"/>
      <c r="BOZ29" s="33"/>
      <c r="BPA29" s="137"/>
      <c r="BPB29" s="33"/>
      <c r="BPC29" s="33"/>
      <c r="BPD29" s="33"/>
      <c r="BPE29" s="33"/>
      <c r="BPF29" s="33"/>
      <c r="BPG29" s="74"/>
      <c r="BPH29" s="64"/>
      <c r="BPI29" s="64"/>
      <c r="BPJ29" s="64"/>
      <c r="BPK29" s="64"/>
      <c r="BPL29" s="33"/>
      <c r="BPM29" s="137"/>
      <c r="BPN29" s="33"/>
      <c r="BPO29" s="33"/>
      <c r="BPP29" s="33"/>
      <c r="BPQ29" s="33"/>
      <c r="BPR29" s="33"/>
      <c r="BPS29" s="74"/>
      <c r="BPT29" s="33"/>
      <c r="BPU29" s="33"/>
      <c r="BPV29" s="33"/>
      <c r="BPW29" s="33"/>
      <c r="BPX29" s="33"/>
      <c r="BPY29" s="137"/>
      <c r="BPZ29" s="33"/>
      <c r="BQA29" s="33"/>
      <c r="BQB29" s="33"/>
      <c r="BQC29" s="33"/>
      <c r="BQD29" s="33"/>
      <c r="BQE29" s="74"/>
      <c r="BQF29" s="33"/>
      <c r="BQG29" s="33"/>
      <c r="BQH29" s="33"/>
      <c r="BQI29" s="33"/>
      <c r="BQJ29" s="33"/>
      <c r="BQK29" s="34"/>
      <c r="BQL29" s="32"/>
      <c r="BQM29" s="64"/>
      <c r="BQN29" s="64"/>
      <c r="BQO29" s="64"/>
      <c r="BQP29" s="33"/>
      <c r="BQQ29" s="132"/>
      <c r="BQR29" s="33"/>
      <c r="BQS29" s="33"/>
      <c r="BQT29" s="33"/>
      <c r="BQU29" s="33"/>
      <c r="BQV29" s="33"/>
      <c r="BQW29" s="137"/>
      <c r="BQX29" s="33"/>
      <c r="BQY29" s="33"/>
      <c r="BQZ29" s="33"/>
      <c r="BRA29" s="33"/>
      <c r="BRB29" s="33"/>
      <c r="BRC29" s="74"/>
      <c r="BRD29" s="33"/>
      <c r="BRE29" s="33"/>
      <c r="BRF29" s="33"/>
      <c r="BRG29" s="33"/>
      <c r="BRH29" s="33"/>
      <c r="BRI29" s="137"/>
      <c r="BRJ29" s="33"/>
      <c r="BRK29" s="33"/>
      <c r="BRL29" s="33"/>
      <c r="BRM29" s="33"/>
      <c r="BRN29" s="33"/>
      <c r="BRO29" s="74"/>
      <c r="BRP29" s="64"/>
      <c r="BRQ29" s="64"/>
      <c r="BRR29" s="64"/>
      <c r="BRS29" s="64"/>
      <c r="BRT29" s="33"/>
      <c r="BRU29" s="137"/>
      <c r="BRV29" s="33"/>
      <c r="BRW29" s="33"/>
      <c r="BRX29" s="33"/>
      <c r="BRY29" s="33"/>
      <c r="BRZ29" s="33"/>
      <c r="BSA29" s="74"/>
      <c r="BSB29" s="33"/>
      <c r="BSC29" s="33"/>
      <c r="BSD29" s="33"/>
      <c r="BSE29" s="33"/>
      <c r="BSF29" s="33"/>
      <c r="BSG29" s="137"/>
      <c r="BSH29" s="33"/>
      <c r="BSI29" s="33"/>
      <c r="BSJ29" s="33"/>
      <c r="BSK29" s="33"/>
      <c r="BSL29" s="33"/>
      <c r="BSM29" s="74"/>
      <c r="BSN29" s="33"/>
      <c r="BSO29" s="33"/>
      <c r="BSP29" s="33"/>
      <c r="BSQ29" s="33"/>
      <c r="BSR29" s="33"/>
      <c r="BSS29" s="34"/>
      <c r="BST29" s="32"/>
      <c r="BSU29" s="64"/>
      <c r="BSV29" s="64"/>
      <c r="BSW29" s="64"/>
      <c r="BSX29" s="33"/>
      <c r="BSY29" s="132"/>
      <c r="BSZ29" s="33"/>
      <c r="BTA29" s="33"/>
      <c r="BTB29" s="33"/>
      <c r="BTC29" s="33"/>
      <c r="BTD29" s="33"/>
      <c r="BTE29" s="137"/>
      <c r="BTF29" s="33"/>
      <c r="BTG29" s="33"/>
      <c r="BTH29" s="33"/>
      <c r="BTI29" s="33"/>
      <c r="BTJ29" s="33"/>
      <c r="BTK29" s="74"/>
      <c r="BTL29" s="33"/>
      <c r="BTM29" s="33"/>
      <c r="BTN29" s="33"/>
      <c r="BTO29" s="33"/>
      <c r="BTP29" s="33"/>
      <c r="BTQ29" s="137"/>
      <c r="BTR29" s="33"/>
      <c r="BTS29" s="33"/>
      <c r="BTT29" s="33"/>
      <c r="BTU29" s="33"/>
      <c r="BTV29" s="33"/>
      <c r="BTW29" s="74"/>
      <c r="BTX29" s="64"/>
      <c r="BTY29" s="64"/>
      <c r="BTZ29" s="64"/>
      <c r="BUA29" s="64"/>
      <c r="BUB29" s="33"/>
      <c r="BUC29" s="137"/>
      <c r="BUD29" s="33"/>
      <c r="BUE29" s="33"/>
      <c r="BUF29" s="33"/>
      <c r="BUG29" s="33"/>
      <c r="BUH29" s="33"/>
      <c r="BUI29" s="74"/>
      <c r="BUJ29" s="33"/>
      <c r="BUK29" s="33"/>
      <c r="BUL29" s="33"/>
      <c r="BUM29" s="33"/>
      <c r="BUN29" s="33"/>
      <c r="BUO29" s="137"/>
      <c r="BUP29" s="33"/>
      <c r="BUQ29" s="33"/>
      <c r="BUR29" s="33"/>
      <c r="BUS29" s="33"/>
      <c r="BUT29" s="33"/>
      <c r="BUU29" s="74"/>
      <c r="BUV29" s="33"/>
      <c r="BUW29" s="33"/>
      <c r="BUX29" s="33"/>
      <c r="BUY29" s="33"/>
      <c r="BUZ29" s="33"/>
      <c r="BVA29" s="34"/>
      <c r="BVB29" s="90"/>
    </row>
    <row r="30" spans="1:1926" ht="20.100000000000001" customHeight="1" x14ac:dyDescent="0.3">
      <c r="A30" s="100" t="s">
        <v>21</v>
      </c>
      <c r="B30" s="63" t="str">
        <f>IF(LEN(C45)=0,"",C45)</f>
        <v/>
      </c>
      <c r="C30" s="190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36"/>
      <c r="BOE30" s="65"/>
      <c r="BOF30" s="65"/>
      <c r="BOG30" s="65"/>
      <c r="BOH30" s="37"/>
      <c r="BOI30" s="133"/>
      <c r="BOJ30" s="37"/>
      <c r="BOK30" s="37"/>
      <c r="BOL30" s="37"/>
      <c r="BOM30" s="37"/>
      <c r="BON30" s="37"/>
      <c r="BOO30" s="138"/>
      <c r="BOP30" s="37"/>
      <c r="BOQ30" s="37"/>
      <c r="BOR30" s="37"/>
      <c r="BOS30" s="37"/>
      <c r="BOT30" s="37"/>
      <c r="BOU30" s="75"/>
      <c r="BOV30" s="37"/>
      <c r="BOW30" s="37"/>
      <c r="BOX30" s="37"/>
      <c r="BOY30" s="37"/>
      <c r="BOZ30" s="37"/>
      <c r="BPA30" s="138"/>
      <c r="BPB30" s="37"/>
      <c r="BPC30" s="37"/>
      <c r="BPD30" s="37"/>
      <c r="BPE30" s="37"/>
      <c r="BPF30" s="37"/>
      <c r="BPG30" s="75"/>
      <c r="BPH30" s="65"/>
      <c r="BPI30" s="65"/>
      <c r="BPJ30" s="65"/>
      <c r="BPK30" s="65"/>
      <c r="BPL30" s="37"/>
      <c r="BPM30" s="138"/>
      <c r="BPN30" s="37"/>
      <c r="BPO30" s="37"/>
      <c r="BPP30" s="37"/>
      <c r="BPQ30" s="37"/>
      <c r="BPR30" s="37"/>
      <c r="BPS30" s="75"/>
      <c r="BPT30" s="37"/>
      <c r="BPU30" s="37"/>
      <c r="BPV30" s="37"/>
      <c r="BPW30" s="37"/>
      <c r="BPX30" s="37"/>
      <c r="BPY30" s="138"/>
      <c r="BPZ30" s="37"/>
      <c r="BQA30" s="37"/>
      <c r="BQB30" s="37"/>
      <c r="BQC30" s="37"/>
      <c r="BQD30" s="37"/>
      <c r="BQE30" s="75"/>
      <c r="BQF30" s="37"/>
      <c r="BQG30" s="37"/>
      <c r="BQH30" s="37"/>
      <c r="BQI30" s="37"/>
      <c r="BQJ30" s="37"/>
      <c r="BQK30" s="38"/>
      <c r="BQL30" s="36"/>
      <c r="BQM30" s="65"/>
      <c r="BQN30" s="65"/>
      <c r="BQO30" s="65"/>
      <c r="BQP30" s="37"/>
      <c r="BQQ30" s="133"/>
      <c r="BQR30" s="37"/>
      <c r="BQS30" s="37"/>
      <c r="BQT30" s="37"/>
      <c r="BQU30" s="37"/>
      <c r="BQV30" s="37"/>
      <c r="BQW30" s="138"/>
      <c r="BQX30" s="37"/>
      <c r="BQY30" s="37"/>
      <c r="BQZ30" s="37"/>
      <c r="BRA30" s="37"/>
      <c r="BRB30" s="37"/>
      <c r="BRC30" s="75"/>
      <c r="BRD30" s="37"/>
      <c r="BRE30" s="37"/>
      <c r="BRF30" s="37"/>
      <c r="BRG30" s="37"/>
      <c r="BRH30" s="37"/>
      <c r="BRI30" s="138"/>
      <c r="BRJ30" s="37"/>
      <c r="BRK30" s="37"/>
      <c r="BRL30" s="37"/>
      <c r="BRM30" s="37"/>
      <c r="BRN30" s="37"/>
      <c r="BRO30" s="75"/>
      <c r="BRP30" s="65"/>
      <c r="BRQ30" s="65"/>
      <c r="BRR30" s="65"/>
      <c r="BRS30" s="65"/>
      <c r="BRT30" s="37"/>
      <c r="BRU30" s="138"/>
      <c r="BRV30" s="37"/>
      <c r="BRW30" s="37"/>
      <c r="BRX30" s="37"/>
      <c r="BRY30" s="37"/>
      <c r="BRZ30" s="37"/>
      <c r="BSA30" s="75"/>
      <c r="BSB30" s="37"/>
      <c r="BSC30" s="37"/>
      <c r="BSD30" s="37"/>
      <c r="BSE30" s="37"/>
      <c r="BSF30" s="37"/>
      <c r="BSG30" s="138"/>
      <c r="BSH30" s="37"/>
      <c r="BSI30" s="37"/>
      <c r="BSJ30" s="37"/>
      <c r="BSK30" s="37"/>
      <c r="BSL30" s="37"/>
      <c r="BSM30" s="75"/>
      <c r="BSN30" s="37"/>
      <c r="BSO30" s="37"/>
      <c r="BSP30" s="37"/>
      <c r="BSQ30" s="37"/>
      <c r="BSR30" s="37"/>
      <c r="BSS30" s="38"/>
      <c r="BST30" s="36"/>
      <c r="BSU30" s="65"/>
      <c r="BSV30" s="65"/>
      <c r="BSW30" s="65"/>
      <c r="BSX30" s="37"/>
      <c r="BSY30" s="133"/>
      <c r="BSZ30" s="37"/>
      <c r="BTA30" s="37"/>
      <c r="BTB30" s="37"/>
      <c r="BTC30" s="37"/>
      <c r="BTD30" s="37"/>
      <c r="BTE30" s="138"/>
      <c r="BTF30" s="37"/>
      <c r="BTG30" s="37"/>
      <c r="BTH30" s="37"/>
      <c r="BTI30" s="37"/>
      <c r="BTJ30" s="37"/>
      <c r="BTK30" s="75"/>
      <c r="BTL30" s="37"/>
      <c r="BTM30" s="37"/>
      <c r="BTN30" s="37"/>
      <c r="BTO30" s="37"/>
      <c r="BTP30" s="37"/>
      <c r="BTQ30" s="138"/>
      <c r="BTR30" s="37"/>
      <c r="BTS30" s="37"/>
      <c r="BTT30" s="37"/>
      <c r="BTU30" s="37"/>
      <c r="BTV30" s="37"/>
      <c r="BTW30" s="75"/>
      <c r="BTX30" s="65"/>
      <c r="BTY30" s="65"/>
      <c r="BTZ30" s="65"/>
      <c r="BUA30" s="65"/>
      <c r="BUB30" s="37"/>
      <c r="BUC30" s="138"/>
      <c r="BUD30" s="37"/>
      <c r="BUE30" s="37"/>
      <c r="BUF30" s="37"/>
      <c r="BUG30" s="37"/>
      <c r="BUH30" s="37"/>
      <c r="BUI30" s="75"/>
      <c r="BUJ30" s="37"/>
      <c r="BUK30" s="37"/>
      <c r="BUL30" s="37"/>
      <c r="BUM30" s="37"/>
      <c r="BUN30" s="37"/>
      <c r="BUO30" s="138"/>
      <c r="BUP30" s="37"/>
      <c r="BUQ30" s="37"/>
      <c r="BUR30" s="37"/>
      <c r="BUS30" s="37"/>
      <c r="BUT30" s="37"/>
      <c r="BUU30" s="75"/>
      <c r="BUV30" s="37"/>
      <c r="BUW30" s="37"/>
      <c r="BUX30" s="37"/>
      <c r="BUY30" s="37"/>
      <c r="BUZ30" s="37"/>
      <c r="BVA30" s="38"/>
      <c r="BVB30" s="90"/>
    </row>
    <row r="31" spans="1:1926" ht="20.100000000000001" customHeight="1" x14ac:dyDescent="0.25">
      <c r="A31" s="100" t="s">
        <v>20</v>
      </c>
      <c r="B31" s="63" t="str">
        <f>IF(LEN(C47)=0,"",C47)</f>
        <v/>
      </c>
      <c r="C31" s="180" t="s">
        <v>89</v>
      </c>
      <c r="D31" s="146" t="str">
        <f t="shared" si="0"/>
        <v>0h50min</v>
      </c>
      <c r="E31" s="39">
        <v>10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215"/>
      <c r="EW31" s="215"/>
      <c r="EX31" s="215"/>
      <c r="EY31" s="221"/>
      <c r="EZ31" s="214"/>
      <c r="FA31" s="214"/>
      <c r="FB31" s="214"/>
      <c r="FC31" s="214"/>
      <c r="FD31" s="215"/>
      <c r="FE31" s="217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40"/>
      <c r="BOE31" s="66"/>
      <c r="BOF31" s="66"/>
      <c r="BOG31" s="66"/>
      <c r="BOH31" s="41"/>
      <c r="BOI31" s="134"/>
      <c r="BOJ31" s="41"/>
      <c r="BOK31" s="41"/>
      <c r="BOL31" s="41"/>
      <c r="BOM31" s="41"/>
      <c r="BON31" s="41"/>
      <c r="BOO31" s="139"/>
      <c r="BOP31" s="41"/>
      <c r="BOQ31" s="41"/>
      <c r="BOR31" s="41"/>
      <c r="BOS31" s="41"/>
      <c r="BOT31" s="41"/>
      <c r="BOU31" s="76"/>
      <c r="BOV31" s="41"/>
      <c r="BOW31" s="41"/>
      <c r="BOX31" s="41"/>
      <c r="BOY31" s="41"/>
      <c r="BOZ31" s="41"/>
      <c r="BPA31" s="139"/>
      <c r="BPB31" s="41"/>
      <c r="BPC31" s="41"/>
      <c r="BPD31" s="41"/>
      <c r="BPE31" s="41"/>
      <c r="BPF31" s="41"/>
      <c r="BPG31" s="76"/>
      <c r="BPH31" s="66"/>
      <c r="BPI31" s="66"/>
      <c r="BPJ31" s="66"/>
      <c r="BPK31" s="66"/>
      <c r="BPL31" s="41"/>
      <c r="BPM31" s="139"/>
      <c r="BPN31" s="41"/>
      <c r="BPO31" s="41"/>
      <c r="BPP31" s="41"/>
      <c r="BPQ31" s="41"/>
      <c r="BPR31" s="41"/>
      <c r="BPS31" s="76"/>
      <c r="BPT31" s="41"/>
      <c r="BPU31" s="41"/>
      <c r="BPV31" s="41"/>
      <c r="BPW31" s="41"/>
      <c r="BPX31" s="41"/>
      <c r="BPY31" s="139"/>
      <c r="BPZ31" s="41"/>
      <c r="BQA31" s="41"/>
      <c r="BQB31" s="41"/>
      <c r="BQC31" s="41"/>
      <c r="BQD31" s="41"/>
      <c r="BQE31" s="76"/>
      <c r="BQF31" s="41"/>
      <c r="BQG31" s="41"/>
      <c r="BQH31" s="41"/>
      <c r="BQI31" s="41"/>
      <c r="BQJ31" s="41"/>
      <c r="BQK31" s="42"/>
      <c r="BQL31" s="40"/>
      <c r="BQM31" s="66"/>
      <c r="BQN31" s="66"/>
      <c r="BQO31" s="66"/>
      <c r="BQP31" s="41"/>
      <c r="BQQ31" s="134"/>
      <c r="BQR31" s="41"/>
      <c r="BQS31" s="41"/>
      <c r="BQT31" s="41"/>
      <c r="BQU31" s="41"/>
      <c r="BQV31" s="41"/>
      <c r="BQW31" s="139"/>
      <c r="BQX31" s="41"/>
      <c r="BQY31" s="41"/>
      <c r="BQZ31" s="41"/>
      <c r="BRA31" s="41"/>
      <c r="BRB31" s="41"/>
      <c r="BRC31" s="76"/>
      <c r="BRD31" s="41"/>
      <c r="BRE31" s="41"/>
      <c r="BRF31" s="41"/>
      <c r="BRG31" s="41"/>
      <c r="BRH31" s="41"/>
      <c r="BRI31" s="139"/>
      <c r="BRJ31" s="41"/>
      <c r="BRK31" s="41"/>
      <c r="BRL31" s="41"/>
      <c r="BRM31" s="41"/>
      <c r="BRN31" s="41"/>
      <c r="BRO31" s="76"/>
      <c r="BRP31" s="66"/>
      <c r="BRQ31" s="66"/>
      <c r="BRR31" s="66"/>
      <c r="BRS31" s="66"/>
      <c r="BRT31" s="41"/>
      <c r="BRU31" s="139"/>
      <c r="BRV31" s="41"/>
      <c r="BRW31" s="41"/>
      <c r="BRX31" s="41"/>
      <c r="BRY31" s="41"/>
      <c r="BRZ31" s="41"/>
      <c r="BSA31" s="76"/>
      <c r="BSB31" s="41"/>
      <c r="BSC31" s="41"/>
      <c r="BSD31" s="41"/>
      <c r="BSE31" s="41"/>
      <c r="BSF31" s="41"/>
      <c r="BSG31" s="139"/>
      <c r="BSH31" s="41"/>
      <c r="BSI31" s="41"/>
      <c r="BSJ31" s="41"/>
      <c r="BSK31" s="41"/>
      <c r="BSL31" s="41"/>
      <c r="BSM31" s="76"/>
      <c r="BSN31" s="41"/>
      <c r="BSO31" s="41"/>
      <c r="BSP31" s="41"/>
      <c r="BSQ31" s="41"/>
      <c r="BSR31" s="41"/>
      <c r="BSS31" s="42"/>
      <c r="BST31" s="40"/>
      <c r="BSU31" s="66"/>
      <c r="BSV31" s="66"/>
      <c r="BSW31" s="66"/>
      <c r="BSX31" s="41"/>
      <c r="BSY31" s="134"/>
      <c r="BSZ31" s="41"/>
      <c r="BTA31" s="41"/>
      <c r="BTB31" s="41"/>
      <c r="BTC31" s="41"/>
      <c r="BTD31" s="41"/>
      <c r="BTE31" s="139"/>
      <c r="BTF31" s="41"/>
      <c r="BTG31" s="41"/>
      <c r="BTH31" s="41"/>
      <c r="BTI31" s="41"/>
      <c r="BTJ31" s="41"/>
      <c r="BTK31" s="76"/>
      <c r="BTL31" s="41"/>
      <c r="BTM31" s="41"/>
      <c r="BTN31" s="41"/>
      <c r="BTO31" s="41"/>
      <c r="BTP31" s="41"/>
      <c r="BTQ31" s="139"/>
      <c r="BTR31" s="41"/>
      <c r="BTS31" s="41"/>
      <c r="BTT31" s="41"/>
      <c r="BTU31" s="41"/>
      <c r="BTV31" s="41"/>
      <c r="BTW31" s="76"/>
      <c r="BTX31" s="66"/>
      <c r="BTY31" s="66"/>
      <c r="BTZ31" s="66"/>
      <c r="BUA31" s="66"/>
      <c r="BUB31" s="41"/>
      <c r="BUC31" s="139"/>
      <c r="BUD31" s="41"/>
      <c r="BUE31" s="41"/>
      <c r="BUF31" s="41"/>
      <c r="BUG31" s="41"/>
      <c r="BUH31" s="41"/>
      <c r="BUI31" s="76"/>
      <c r="BUJ31" s="41"/>
      <c r="BUK31" s="41"/>
      <c r="BUL31" s="41"/>
      <c r="BUM31" s="41"/>
      <c r="BUN31" s="41"/>
      <c r="BUO31" s="139"/>
      <c r="BUP31" s="41"/>
      <c r="BUQ31" s="41"/>
      <c r="BUR31" s="41"/>
      <c r="BUS31" s="41"/>
      <c r="BUT31" s="41"/>
      <c r="BUU31" s="76"/>
      <c r="BUV31" s="41"/>
      <c r="BUW31" s="41"/>
      <c r="BUX31" s="41"/>
      <c r="BUY31" s="41"/>
      <c r="BUZ31" s="41"/>
      <c r="BVA31" s="42"/>
      <c r="BVB31" s="90"/>
    </row>
    <row r="32" spans="1:1926" ht="20.100000000000001" customHeight="1" x14ac:dyDescent="0.3">
      <c r="A32" s="100" t="s">
        <v>21</v>
      </c>
      <c r="B32" s="63" t="str">
        <f>IF(LEN(C49)=0,"",C49)</f>
        <v/>
      </c>
      <c r="C32" s="190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28"/>
      <c r="BOE32" s="67"/>
      <c r="BOF32" s="67"/>
      <c r="BOG32" s="67"/>
      <c r="BOH32" s="29"/>
      <c r="BOI32" s="131"/>
      <c r="BOJ32" s="29"/>
      <c r="BOK32" s="29"/>
      <c r="BOL32" s="29"/>
      <c r="BOM32" s="29"/>
      <c r="BON32" s="29"/>
      <c r="BOO32" s="136"/>
      <c r="BOP32" s="29"/>
      <c r="BOQ32" s="29"/>
      <c r="BOR32" s="29"/>
      <c r="BOS32" s="29"/>
      <c r="BOT32" s="29"/>
      <c r="BOU32" s="73"/>
      <c r="BOV32" s="29"/>
      <c r="BOW32" s="29"/>
      <c r="BOX32" s="29"/>
      <c r="BOY32" s="29"/>
      <c r="BOZ32" s="29"/>
      <c r="BPA32" s="136"/>
      <c r="BPB32" s="29"/>
      <c r="BPC32" s="29"/>
      <c r="BPD32" s="29"/>
      <c r="BPE32" s="29"/>
      <c r="BPF32" s="29"/>
      <c r="BPG32" s="73"/>
      <c r="BPH32" s="67"/>
      <c r="BPI32" s="67"/>
      <c r="BPJ32" s="67"/>
      <c r="BPK32" s="67"/>
      <c r="BPL32" s="29"/>
      <c r="BPM32" s="136"/>
      <c r="BPN32" s="29"/>
      <c r="BPO32" s="29"/>
      <c r="BPP32" s="29"/>
      <c r="BPQ32" s="29"/>
      <c r="BPR32" s="29"/>
      <c r="BPS32" s="73"/>
      <c r="BPT32" s="29"/>
      <c r="BPU32" s="29"/>
      <c r="BPV32" s="29"/>
      <c r="BPW32" s="29"/>
      <c r="BPX32" s="29"/>
      <c r="BPY32" s="136"/>
      <c r="BPZ32" s="29"/>
      <c r="BQA32" s="29"/>
      <c r="BQB32" s="29"/>
      <c r="BQC32" s="29"/>
      <c r="BQD32" s="29"/>
      <c r="BQE32" s="73"/>
      <c r="BQF32" s="29"/>
      <c r="BQG32" s="29"/>
      <c r="BQH32" s="29"/>
      <c r="BQI32" s="29"/>
      <c r="BQJ32" s="29"/>
      <c r="BQK32" s="30"/>
      <c r="BQL32" s="28"/>
      <c r="BQM32" s="67"/>
      <c r="BQN32" s="67"/>
      <c r="BQO32" s="67"/>
      <c r="BQP32" s="29"/>
      <c r="BQQ32" s="131"/>
      <c r="BQR32" s="29"/>
      <c r="BQS32" s="29"/>
      <c r="BQT32" s="29"/>
      <c r="BQU32" s="29"/>
      <c r="BQV32" s="29"/>
      <c r="BQW32" s="136"/>
      <c r="BQX32" s="29"/>
      <c r="BQY32" s="29"/>
      <c r="BQZ32" s="29"/>
      <c r="BRA32" s="29"/>
      <c r="BRB32" s="29"/>
      <c r="BRC32" s="73"/>
      <c r="BRD32" s="29"/>
      <c r="BRE32" s="29"/>
      <c r="BRF32" s="29"/>
      <c r="BRG32" s="29"/>
      <c r="BRH32" s="29"/>
      <c r="BRI32" s="136"/>
      <c r="BRJ32" s="29"/>
      <c r="BRK32" s="29"/>
      <c r="BRL32" s="29"/>
      <c r="BRM32" s="29"/>
      <c r="BRN32" s="29"/>
      <c r="BRO32" s="73"/>
      <c r="BRP32" s="67"/>
      <c r="BRQ32" s="67"/>
      <c r="BRR32" s="67"/>
      <c r="BRS32" s="67"/>
      <c r="BRT32" s="29"/>
      <c r="BRU32" s="136"/>
      <c r="BRV32" s="29"/>
      <c r="BRW32" s="29"/>
      <c r="BRX32" s="29"/>
      <c r="BRY32" s="29"/>
      <c r="BRZ32" s="29"/>
      <c r="BSA32" s="73"/>
      <c r="BSB32" s="29"/>
      <c r="BSC32" s="29"/>
      <c r="BSD32" s="29"/>
      <c r="BSE32" s="29"/>
      <c r="BSF32" s="29"/>
      <c r="BSG32" s="136"/>
      <c r="BSH32" s="29"/>
      <c r="BSI32" s="29"/>
      <c r="BSJ32" s="29"/>
      <c r="BSK32" s="29"/>
      <c r="BSL32" s="29"/>
      <c r="BSM32" s="73"/>
      <c r="BSN32" s="29"/>
      <c r="BSO32" s="29"/>
      <c r="BSP32" s="29"/>
      <c r="BSQ32" s="29"/>
      <c r="BSR32" s="29"/>
      <c r="BSS32" s="30"/>
      <c r="BST32" s="28"/>
      <c r="BSU32" s="67"/>
      <c r="BSV32" s="67"/>
      <c r="BSW32" s="67"/>
      <c r="BSX32" s="29"/>
      <c r="BSY32" s="131"/>
      <c r="BSZ32" s="29"/>
      <c r="BTA32" s="29"/>
      <c r="BTB32" s="29"/>
      <c r="BTC32" s="29"/>
      <c r="BTD32" s="29"/>
      <c r="BTE32" s="136"/>
      <c r="BTF32" s="29"/>
      <c r="BTG32" s="29"/>
      <c r="BTH32" s="29"/>
      <c r="BTI32" s="29"/>
      <c r="BTJ32" s="29"/>
      <c r="BTK32" s="73"/>
      <c r="BTL32" s="29"/>
      <c r="BTM32" s="29"/>
      <c r="BTN32" s="29"/>
      <c r="BTO32" s="29"/>
      <c r="BTP32" s="29"/>
      <c r="BTQ32" s="136"/>
      <c r="BTR32" s="29"/>
      <c r="BTS32" s="29"/>
      <c r="BTT32" s="29"/>
      <c r="BTU32" s="29"/>
      <c r="BTV32" s="29"/>
      <c r="BTW32" s="73"/>
      <c r="BTX32" s="67"/>
      <c r="BTY32" s="67"/>
      <c r="BTZ32" s="67"/>
      <c r="BUA32" s="67"/>
      <c r="BUB32" s="29"/>
      <c r="BUC32" s="136"/>
      <c r="BUD32" s="29"/>
      <c r="BUE32" s="29"/>
      <c r="BUF32" s="29"/>
      <c r="BUG32" s="29"/>
      <c r="BUH32" s="29"/>
      <c r="BUI32" s="73"/>
      <c r="BUJ32" s="29"/>
      <c r="BUK32" s="29"/>
      <c r="BUL32" s="29"/>
      <c r="BUM32" s="29"/>
      <c r="BUN32" s="29"/>
      <c r="BUO32" s="136"/>
      <c r="BUP32" s="29"/>
      <c r="BUQ32" s="29"/>
      <c r="BUR32" s="29"/>
      <c r="BUS32" s="29"/>
      <c r="BUT32" s="29"/>
      <c r="BUU32" s="73"/>
      <c r="BUV32" s="29"/>
      <c r="BUW32" s="29"/>
      <c r="BUX32" s="29"/>
      <c r="BUY32" s="29"/>
      <c r="BUZ32" s="29"/>
      <c r="BVA32" s="30"/>
      <c r="BVB32" s="90"/>
    </row>
    <row r="33" spans="1:1926" ht="20.100000000000001" customHeight="1" x14ac:dyDescent="0.25">
      <c r="A33" s="100" t="s">
        <v>20</v>
      </c>
      <c r="B33" s="63" t="str">
        <f>IF(LEN(C51)=0,"",C51)</f>
        <v/>
      </c>
      <c r="C33" s="180" t="s">
        <v>90</v>
      </c>
      <c r="D33" s="146" t="str">
        <f t="shared" si="0"/>
        <v>1h</v>
      </c>
      <c r="E33" s="31">
        <v>12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222"/>
      <c r="RS33" s="223"/>
      <c r="RT33" s="223"/>
      <c r="RU33" s="223"/>
      <c r="RV33" s="218"/>
      <c r="RW33" s="224"/>
      <c r="RX33" s="218"/>
      <c r="RY33" s="218"/>
      <c r="RZ33" s="218"/>
      <c r="SA33" s="218"/>
      <c r="SB33" s="218"/>
      <c r="SC33" s="220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32"/>
      <c r="BOE33" s="64"/>
      <c r="BOF33" s="64"/>
      <c r="BOG33" s="64"/>
      <c r="BOH33" s="33"/>
      <c r="BOI33" s="132"/>
      <c r="BOJ33" s="33"/>
      <c r="BOK33" s="33"/>
      <c r="BOL33" s="33"/>
      <c r="BOM33" s="33"/>
      <c r="BON33" s="33"/>
      <c r="BOO33" s="137"/>
      <c r="BOP33" s="33"/>
      <c r="BOQ33" s="33"/>
      <c r="BOR33" s="33"/>
      <c r="BOS33" s="33"/>
      <c r="BOT33" s="33"/>
      <c r="BOU33" s="74"/>
      <c r="BOV33" s="33"/>
      <c r="BOW33" s="33"/>
      <c r="BOX33" s="33"/>
      <c r="BOY33" s="33"/>
      <c r="BOZ33" s="33"/>
      <c r="BPA33" s="137"/>
      <c r="BPB33" s="33"/>
      <c r="BPC33" s="33"/>
      <c r="BPD33" s="33"/>
      <c r="BPE33" s="33"/>
      <c r="BPF33" s="33"/>
      <c r="BPG33" s="74"/>
      <c r="BPH33" s="64"/>
      <c r="BPI33" s="64"/>
      <c r="BPJ33" s="64"/>
      <c r="BPK33" s="64"/>
      <c r="BPL33" s="33"/>
      <c r="BPM33" s="137"/>
      <c r="BPN33" s="33"/>
      <c r="BPO33" s="33"/>
      <c r="BPP33" s="33"/>
      <c r="BPQ33" s="33"/>
      <c r="BPR33" s="33"/>
      <c r="BPS33" s="74"/>
      <c r="BPT33" s="33"/>
      <c r="BPU33" s="33"/>
      <c r="BPV33" s="33"/>
      <c r="BPW33" s="33"/>
      <c r="BPX33" s="33"/>
      <c r="BPY33" s="137"/>
      <c r="BPZ33" s="33"/>
      <c r="BQA33" s="33"/>
      <c r="BQB33" s="33"/>
      <c r="BQC33" s="33"/>
      <c r="BQD33" s="33"/>
      <c r="BQE33" s="74"/>
      <c r="BQF33" s="33"/>
      <c r="BQG33" s="33"/>
      <c r="BQH33" s="33"/>
      <c r="BQI33" s="33"/>
      <c r="BQJ33" s="33"/>
      <c r="BQK33" s="34"/>
      <c r="BQL33" s="32"/>
      <c r="BQM33" s="64"/>
      <c r="BQN33" s="64"/>
      <c r="BQO33" s="64"/>
      <c r="BQP33" s="33"/>
      <c r="BQQ33" s="132"/>
      <c r="BQR33" s="33"/>
      <c r="BQS33" s="33"/>
      <c r="BQT33" s="33"/>
      <c r="BQU33" s="33"/>
      <c r="BQV33" s="33"/>
      <c r="BQW33" s="137"/>
      <c r="BQX33" s="33"/>
      <c r="BQY33" s="33"/>
      <c r="BQZ33" s="33"/>
      <c r="BRA33" s="33"/>
      <c r="BRB33" s="33"/>
      <c r="BRC33" s="74"/>
      <c r="BRD33" s="33"/>
      <c r="BRE33" s="33"/>
      <c r="BRF33" s="33"/>
      <c r="BRG33" s="33"/>
      <c r="BRH33" s="33"/>
      <c r="BRI33" s="137"/>
      <c r="BRJ33" s="33"/>
      <c r="BRK33" s="33"/>
      <c r="BRL33" s="33"/>
      <c r="BRM33" s="33"/>
      <c r="BRN33" s="33"/>
      <c r="BRO33" s="74"/>
      <c r="BRP33" s="64"/>
      <c r="BRQ33" s="64"/>
      <c r="BRR33" s="64"/>
      <c r="BRS33" s="64"/>
      <c r="BRT33" s="33"/>
      <c r="BRU33" s="137"/>
      <c r="BRV33" s="33"/>
      <c r="BRW33" s="33"/>
      <c r="BRX33" s="33"/>
      <c r="BRY33" s="33"/>
      <c r="BRZ33" s="33"/>
      <c r="BSA33" s="74"/>
      <c r="BSB33" s="33"/>
      <c r="BSC33" s="33"/>
      <c r="BSD33" s="33"/>
      <c r="BSE33" s="33"/>
      <c r="BSF33" s="33"/>
      <c r="BSG33" s="137"/>
      <c r="BSH33" s="33"/>
      <c r="BSI33" s="33"/>
      <c r="BSJ33" s="33"/>
      <c r="BSK33" s="33"/>
      <c r="BSL33" s="33"/>
      <c r="BSM33" s="74"/>
      <c r="BSN33" s="33"/>
      <c r="BSO33" s="33"/>
      <c r="BSP33" s="33"/>
      <c r="BSQ33" s="33"/>
      <c r="BSR33" s="33"/>
      <c r="BSS33" s="34"/>
      <c r="BST33" s="32"/>
      <c r="BSU33" s="64"/>
      <c r="BSV33" s="64"/>
      <c r="BSW33" s="64"/>
      <c r="BSX33" s="33"/>
      <c r="BSY33" s="132"/>
      <c r="BSZ33" s="33"/>
      <c r="BTA33" s="33"/>
      <c r="BTB33" s="33"/>
      <c r="BTC33" s="33"/>
      <c r="BTD33" s="33"/>
      <c r="BTE33" s="137"/>
      <c r="BTF33" s="33"/>
      <c r="BTG33" s="33"/>
      <c r="BTH33" s="33"/>
      <c r="BTI33" s="33"/>
      <c r="BTJ33" s="33"/>
      <c r="BTK33" s="74"/>
      <c r="BTL33" s="33"/>
      <c r="BTM33" s="33"/>
      <c r="BTN33" s="33"/>
      <c r="BTO33" s="33"/>
      <c r="BTP33" s="33"/>
      <c r="BTQ33" s="137"/>
      <c r="BTR33" s="33"/>
      <c r="BTS33" s="33"/>
      <c r="BTT33" s="33"/>
      <c r="BTU33" s="33"/>
      <c r="BTV33" s="33"/>
      <c r="BTW33" s="74"/>
      <c r="BTX33" s="64"/>
      <c r="BTY33" s="64"/>
      <c r="BTZ33" s="64"/>
      <c r="BUA33" s="64"/>
      <c r="BUB33" s="33"/>
      <c r="BUC33" s="137"/>
      <c r="BUD33" s="33"/>
      <c r="BUE33" s="33"/>
      <c r="BUF33" s="33"/>
      <c r="BUG33" s="33"/>
      <c r="BUH33" s="33"/>
      <c r="BUI33" s="74"/>
      <c r="BUJ33" s="33"/>
      <c r="BUK33" s="33"/>
      <c r="BUL33" s="33"/>
      <c r="BUM33" s="33"/>
      <c r="BUN33" s="33"/>
      <c r="BUO33" s="137"/>
      <c r="BUP33" s="33"/>
      <c r="BUQ33" s="33"/>
      <c r="BUR33" s="33"/>
      <c r="BUS33" s="33"/>
      <c r="BUT33" s="33"/>
      <c r="BUU33" s="74"/>
      <c r="BUV33" s="33"/>
      <c r="BUW33" s="33"/>
      <c r="BUX33" s="33"/>
      <c r="BUY33" s="33"/>
      <c r="BUZ33" s="33"/>
      <c r="BVA33" s="34"/>
      <c r="BVB33" s="90"/>
    </row>
    <row r="34" spans="1:1926" ht="20.100000000000001" customHeight="1" x14ac:dyDescent="0.3">
      <c r="A34" s="100" t="s">
        <v>21</v>
      </c>
      <c r="B34" s="63" t="str">
        <f>IF(LEN(C53)=0,"",C53)</f>
        <v/>
      </c>
      <c r="C34" s="190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36"/>
      <c r="BOE34" s="65"/>
      <c r="BOF34" s="65"/>
      <c r="BOG34" s="65"/>
      <c r="BOH34" s="37"/>
      <c r="BOI34" s="133"/>
      <c r="BOJ34" s="37"/>
      <c r="BOK34" s="37"/>
      <c r="BOL34" s="37"/>
      <c r="BOM34" s="37"/>
      <c r="BON34" s="37"/>
      <c r="BOO34" s="138"/>
      <c r="BOP34" s="37"/>
      <c r="BOQ34" s="37"/>
      <c r="BOR34" s="37"/>
      <c r="BOS34" s="37"/>
      <c r="BOT34" s="37"/>
      <c r="BOU34" s="75"/>
      <c r="BOV34" s="37"/>
      <c r="BOW34" s="37"/>
      <c r="BOX34" s="37"/>
      <c r="BOY34" s="37"/>
      <c r="BOZ34" s="37"/>
      <c r="BPA34" s="138"/>
      <c r="BPB34" s="37"/>
      <c r="BPC34" s="37"/>
      <c r="BPD34" s="37"/>
      <c r="BPE34" s="37"/>
      <c r="BPF34" s="37"/>
      <c r="BPG34" s="75"/>
      <c r="BPH34" s="65"/>
      <c r="BPI34" s="65"/>
      <c r="BPJ34" s="65"/>
      <c r="BPK34" s="65"/>
      <c r="BPL34" s="37"/>
      <c r="BPM34" s="138"/>
      <c r="BPN34" s="37"/>
      <c r="BPO34" s="37"/>
      <c r="BPP34" s="37"/>
      <c r="BPQ34" s="37"/>
      <c r="BPR34" s="37"/>
      <c r="BPS34" s="75"/>
      <c r="BPT34" s="37"/>
      <c r="BPU34" s="37"/>
      <c r="BPV34" s="37"/>
      <c r="BPW34" s="37"/>
      <c r="BPX34" s="37"/>
      <c r="BPY34" s="138"/>
      <c r="BPZ34" s="37"/>
      <c r="BQA34" s="37"/>
      <c r="BQB34" s="37"/>
      <c r="BQC34" s="37"/>
      <c r="BQD34" s="37"/>
      <c r="BQE34" s="75"/>
      <c r="BQF34" s="37"/>
      <c r="BQG34" s="37"/>
      <c r="BQH34" s="37"/>
      <c r="BQI34" s="37"/>
      <c r="BQJ34" s="37"/>
      <c r="BQK34" s="38"/>
      <c r="BQL34" s="36"/>
      <c r="BQM34" s="65"/>
      <c r="BQN34" s="65"/>
      <c r="BQO34" s="65"/>
      <c r="BQP34" s="37"/>
      <c r="BQQ34" s="133"/>
      <c r="BQR34" s="37"/>
      <c r="BQS34" s="37"/>
      <c r="BQT34" s="37"/>
      <c r="BQU34" s="37"/>
      <c r="BQV34" s="37"/>
      <c r="BQW34" s="138"/>
      <c r="BQX34" s="37"/>
      <c r="BQY34" s="37"/>
      <c r="BQZ34" s="37"/>
      <c r="BRA34" s="37"/>
      <c r="BRB34" s="37"/>
      <c r="BRC34" s="75"/>
      <c r="BRD34" s="37"/>
      <c r="BRE34" s="37"/>
      <c r="BRF34" s="37"/>
      <c r="BRG34" s="37"/>
      <c r="BRH34" s="37"/>
      <c r="BRI34" s="138"/>
      <c r="BRJ34" s="37"/>
      <c r="BRK34" s="37"/>
      <c r="BRL34" s="37"/>
      <c r="BRM34" s="37"/>
      <c r="BRN34" s="37"/>
      <c r="BRO34" s="75"/>
      <c r="BRP34" s="65"/>
      <c r="BRQ34" s="65"/>
      <c r="BRR34" s="65"/>
      <c r="BRS34" s="65"/>
      <c r="BRT34" s="37"/>
      <c r="BRU34" s="138"/>
      <c r="BRV34" s="37"/>
      <c r="BRW34" s="37"/>
      <c r="BRX34" s="37"/>
      <c r="BRY34" s="37"/>
      <c r="BRZ34" s="37"/>
      <c r="BSA34" s="75"/>
      <c r="BSB34" s="37"/>
      <c r="BSC34" s="37"/>
      <c r="BSD34" s="37"/>
      <c r="BSE34" s="37"/>
      <c r="BSF34" s="37"/>
      <c r="BSG34" s="138"/>
      <c r="BSH34" s="37"/>
      <c r="BSI34" s="37"/>
      <c r="BSJ34" s="37"/>
      <c r="BSK34" s="37"/>
      <c r="BSL34" s="37"/>
      <c r="BSM34" s="75"/>
      <c r="BSN34" s="37"/>
      <c r="BSO34" s="37"/>
      <c r="BSP34" s="37"/>
      <c r="BSQ34" s="37"/>
      <c r="BSR34" s="37"/>
      <c r="BSS34" s="38"/>
      <c r="BST34" s="36"/>
      <c r="BSU34" s="65"/>
      <c r="BSV34" s="65"/>
      <c r="BSW34" s="65"/>
      <c r="BSX34" s="37"/>
      <c r="BSY34" s="133"/>
      <c r="BSZ34" s="37"/>
      <c r="BTA34" s="37"/>
      <c r="BTB34" s="37"/>
      <c r="BTC34" s="37"/>
      <c r="BTD34" s="37"/>
      <c r="BTE34" s="138"/>
      <c r="BTF34" s="37"/>
      <c r="BTG34" s="37"/>
      <c r="BTH34" s="37"/>
      <c r="BTI34" s="37"/>
      <c r="BTJ34" s="37"/>
      <c r="BTK34" s="75"/>
      <c r="BTL34" s="37"/>
      <c r="BTM34" s="37"/>
      <c r="BTN34" s="37"/>
      <c r="BTO34" s="37"/>
      <c r="BTP34" s="37"/>
      <c r="BTQ34" s="138"/>
      <c r="BTR34" s="37"/>
      <c r="BTS34" s="37"/>
      <c r="BTT34" s="37"/>
      <c r="BTU34" s="37"/>
      <c r="BTV34" s="37"/>
      <c r="BTW34" s="75"/>
      <c r="BTX34" s="65"/>
      <c r="BTY34" s="65"/>
      <c r="BTZ34" s="65"/>
      <c r="BUA34" s="65"/>
      <c r="BUB34" s="37"/>
      <c r="BUC34" s="138"/>
      <c r="BUD34" s="37"/>
      <c r="BUE34" s="37"/>
      <c r="BUF34" s="37"/>
      <c r="BUG34" s="37"/>
      <c r="BUH34" s="37"/>
      <c r="BUI34" s="75"/>
      <c r="BUJ34" s="37"/>
      <c r="BUK34" s="37"/>
      <c r="BUL34" s="37"/>
      <c r="BUM34" s="37"/>
      <c r="BUN34" s="37"/>
      <c r="BUO34" s="138"/>
      <c r="BUP34" s="37"/>
      <c r="BUQ34" s="37"/>
      <c r="BUR34" s="37"/>
      <c r="BUS34" s="37"/>
      <c r="BUT34" s="37"/>
      <c r="BUU34" s="75"/>
      <c r="BUV34" s="37"/>
      <c r="BUW34" s="37"/>
      <c r="BUX34" s="37"/>
      <c r="BUY34" s="37"/>
      <c r="BUZ34" s="37"/>
      <c r="BVA34" s="38"/>
      <c r="BVB34" s="90"/>
    </row>
    <row r="35" spans="1:1926" ht="20.100000000000001" customHeight="1" x14ac:dyDescent="0.25">
      <c r="A35" s="100" t="s">
        <v>20</v>
      </c>
      <c r="B35" s="63" t="str">
        <f>IF(LEN(C55)=0,"",C55)</f>
        <v/>
      </c>
      <c r="C35" s="180" t="s">
        <v>91</v>
      </c>
      <c r="D35" s="146" t="str">
        <f t="shared" si="0"/>
        <v>1h30min</v>
      </c>
      <c r="E35" s="39">
        <v>18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213"/>
      <c r="DW35" s="214"/>
      <c r="DX35" s="214"/>
      <c r="DY35" s="214"/>
      <c r="DZ35" s="215"/>
      <c r="EA35" s="216"/>
      <c r="EB35" s="215"/>
      <c r="EC35" s="215"/>
      <c r="ED35" s="215"/>
      <c r="EE35" s="215"/>
      <c r="EF35" s="215"/>
      <c r="EG35" s="217"/>
      <c r="EH35" s="215"/>
      <c r="EI35" s="215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213"/>
      <c r="KU35" s="214"/>
      <c r="KV35" s="214"/>
      <c r="KW35" s="214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40"/>
      <c r="BOE35" s="66"/>
      <c r="BOF35" s="66"/>
      <c r="BOG35" s="66"/>
      <c r="BOH35" s="41"/>
      <c r="BOI35" s="134"/>
      <c r="BOJ35" s="41"/>
      <c r="BOK35" s="41"/>
      <c r="BOL35" s="41"/>
      <c r="BOM35" s="41"/>
      <c r="BON35" s="41"/>
      <c r="BOO35" s="139"/>
      <c r="BOP35" s="41"/>
      <c r="BOQ35" s="41"/>
      <c r="BOR35" s="41"/>
      <c r="BOS35" s="41"/>
      <c r="BOT35" s="41"/>
      <c r="BOU35" s="76"/>
      <c r="BOV35" s="41"/>
      <c r="BOW35" s="41"/>
      <c r="BOX35" s="41"/>
      <c r="BOY35" s="41"/>
      <c r="BOZ35" s="41"/>
      <c r="BPA35" s="139"/>
      <c r="BPB35" s="41"/>
      <c r="BPC35" s="41"/>
      <c r="BPD35" s="41"/>
      <c r="BPE35" s="41"/>
      <c r="BPF35" s="41"/>
      <c r="BPG35" s="76"/>
      <c r="BPH35" s="66"/>
      <c r="BPI35" s="66"/>
      <c r="BPJ35" s="66"/>
      <c r="BPK35" s="66"/>
      <c r="BPL35" s="41"/>
      <c r="BPM35" s="139"/>
      <c r="BPN35" s="41"/>
      <c r="BPO35" s="41"/>
      <c r="BPP35" s="41"/>
      <c r="BPQ35" s="41"/>
      <c r="BPR35" s="41"/>
      <c r="BPS35" s="76"/>
      <c r="BPT35" s="41"/>
      <c r="BPU35" s="41"/>
      <c r="BPV35" s="41"/>
      <c r="BPW35" s="41"/>
      <c r="BPX35" s="41"/>
      <c r="BPY35" s="139"/>
      <c r="BPZ35" s="41"/>
      <c r="BQA35" s="41"/>
      <c r="BQB35" s="41"/>
      <c r="BQC35" s="41"/>
      <c r="BQD35" s="41"/>
      <c r="BQE35" s="76"/>
      <c r="BQF35" s="41"/>
      <c r="BQG35" s="41"/>
      <c r="BQH35" s="41"/>
      <c r="BQI35" s="41"/>
      <c r="BQJ35" s="41"/>
      <c r="BQK35" s="42"/>
      <c r="BQL35" s="40"/>
      <c r="BQM35" s="66"/>
      <c r="BQN35" s="66"/>
      <c r="BQO35" s="66"/>
      <c r="BQP35" s="41"/>
      <c r="BQQ35" s="134"/>
      <c r="BQR35" s="41"/>
      <c r="BQS35" s="41"/>
      <c r="BQT35" s="41"/>
      <c r="BQU35" s="41"/>
      <c r="BQV35" s="41"/>
      <c r="BQW35" s="139"/>
      <c r="BQX35" s="41"/>
      <c r="BQY35" s="41"/>
      <c r="BQZ35" s="41"/>
      <c r="BRA35" s="41"/>
      <c r="BRB35" s="41"/>
      <c r="BRC35" s="76"/>
      <c r="BRD35" s="41"/>
      <c r="BRE35" s="41"/>
      <c r="BRF35" s="41"/>
      <c r="BRG35" s="41"/>
      <c r="BRH35" s="41"/>
      <c r="BRI35" s="139"/>
      <c r="BRJ35" s="41"/>
      <c r="BRK35" s="41"/>
      <c r="BRL35" s="41"/>
      <c r="BRM35" s="41"/>
      <c r="BRN35" s="41"/>
      <c r="BRO35" s="76"/>
      <c r="BRP35" s="66"/>
      <c r="BRQ35" s="66"/>
      <c r="BRR35" s="66"/>
      <c r="BRS35" s="66"/>
      <c r="BRT35" s="41"/>
      <c r="BRU35" s="139"/>
      <c r="BRV35" s="41"/>
      <c r="BRW35" s="41"/>
      <c r="BRX35" s="41"/>
      <c r="BRY35" s="41"/>
      <c r="BRZ35" s="41"/>
      <c r="BSA35" s="76"/>
      <c r="BSB35" s="41"/>
      <c r="BSC35" s="41"/>
      <c r="BSD35" s="41"/>
      <c r="BSE35" s="41"/>
      <c r="BSF35" s="41"/>
      <c r="BSG35" s="139"/>
      <c r="BSH35" s="41"/>
      <c r="BSI35" s="41"/>
      <c r="BSJ35" s="41"/>
      <c r="BSK35" s="41"/>
      <c r="BSL35" s="41"/>
      <c r="BSM35" s="76"/>
      <c r="BSN35" s="41"/>
      <c r="BSO35" s="41"/>
      <c r="BSP35" s="41"/>
      <c r="BSQ35" s="41"/>
      <c r="BSR35" s="41"/>
      <c r="BSS35" s="42"/>
      <c r="BST35" s="40"/>
      <c r="BSU35" s="66"/>
      <c r="BSV35" s="66"/>
      <c r="BSW35" s="66"/>
      <c r="BSX35" s="41"/>
      <c r="BSY35" s="134"/>
      <c r="BSZ35" s="41"/>
      <c r="BTA35" s="41"/>
      <c r="BTB35" s="41"/>
      <c r="BTC35" s="41"/>
      <c r="BTD35" s="41"/>
      <c r="BTE35" s="139"/>
      <c r="BTF35" s="41"/>
      <c r="BTG35" s="41"/>
      <c r="BTH35" s="41"/>
      <c r="BTI35" s="41"/>
      <c r="BTJ35" s="41"/>
      <c r="BTK35" s="76"/>
      <c r="BTL35" s="41"/>
      <c r="BTM35" s="41"/>
      <c r="BTN35" s="41"/>
      <c r="BTO35" s="41"/>
      <c r="BTP35" s="41"/>
      <c r="BTQ35" s="139"/>
      <c r="BTR35" s="41"/>
      <c r="BTS35" s="41"/>
      <c r="BTT35" s="41"/>
      <c r="BTU35" s="41"/>
      <c r="BTV35" s="41"/>
      <c r="BTW35" s="76"/>
      <c r="BTX35" s="66"/>
      <c r="BTY35" s="66"/>
      <c r="BTZ35" s="66"/>
      <c r="BUA35" s="66"/>
      <c r="BUB35" s="41"/>
      <c r="BUC35" s="139"/>
      <c r="BUD35" s="41"/>
      <c r="BUE35" s="41"/>
      <c r="BUF35" s="41"/>
      <c r="BUG35" s="41"/>
      <c r="BUH35" s="41"/>
      <c r="BUI35" s="76"/>
      <c r="BUJ35" s="41"/>
      <c r="BUK35" s="41"/>
      <c r="BUL35" s="41"/>
      <c r="BUM35" s="41"/>
      <c r="BUN35" s="41"/>
      <c r="BUO35" s="139"/>
      <c r="BUP35" s="41"/>
      <c r="BUQ35" s="41"/>
      <c r="BUR35" s="41"/>
      <c r="BUS35" s="41"/>
      <c r="BUT35" s="41"/>
      <c r="BUU35" s="76"/>
      <c r="BUV35" s="41"/>
      <c r="BUW35" s="41"/>
      <c r="BUX35" s="41"/>
      <c r="BUY35" s="41"/>
      <c r="BUZ35" s="41"/>
      <c r="BVA35" s="42"/>
      <c r="BVB35" s="90"/>
    </row>
    <row r="36" spans="1:1926" ht="20.100000000000001" customHeight="1" x14ac:dyDescent="0.25">
      <c r="A36" s="100" t="s">
        <v>21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28"/>
      <c r="BOE36" s="67"/>
      <c r="BOF36" s="67"/>
      <c r="BOG36" s="67"/>
      <c r="BOH36" s="29"/>
      <c r="BOI36" s="131"/>
      <c r="BOJ36" s="29"/>
      <c r="BOK36" s="29"/>
      <c r="BOL36" s="29"/>
      <c r="BOM36" s="29"/>
      <c r="BON36" s="29"/>
      <c r="BOO36" s="136"/>
      <c r="BOP36" s="29"/>
      <c r="BOQ36" s="29"/>
      <c r="BOR36" s="29"/>
      <c r="BOS36" s="29"/>
      <c r="BOT36" s="29"/>
      <c r="BOU36" s="73"/>
      <c r="BOV36" s="29"/>
      <c r="BOW36" s="29"/>
      <c r="BOX36" s="29"/>
      <c r="BOY36" s="29"/>
      <c r="BOZ36" s="29"/>
      <c r="BPA36" s="136"/>
      <c r="BPB36" s="29"/>
      <c r="BPC36" s="29"/>
      <c r="BPD36" s="29"/>
      <c r="BPE36" s="29"/>
      <c r="BPF36" s="29"/>
      <c r="BPG36" s="73"/>
      <c r="BPH36" s="67"/>
      <c r="BPI36" s="67"/>
      <c r="BPJ36" s="67"/>
      <c r="BPK36" s="67"/>
      <c r="BPL36" s="29"/>
      <c r="BPM36" s="136"/>
      <c r="BPN36" s="29"/>
      <c r="BPO36" s="29"/>
      <c r="BPP36" s="29"/>
      <c r="BPQ36" s="29"/>
      <c r="BPR36" s="29"/>
      <c r="BPS36" s="73"/>
      <c r="BPT36" s="29"/>
      <c r="BPU36" s="29"/>
      <c r="BPV36" s="29"/>
      <c r="BPW36" s="29"/>
      <c r="BPX36" s="29"/>
      <c r="BPY36" s="136"/>
      <c r="BPZ36" s="29"/>
      <c r="BQA36" s="29"/>
      <c r="BQB36" s="29"/>
      <c r="BQC36" s="29"/>
      <c r="BQD36" s="29"/>
      <c r="BQE36" s="73"/>
      <c r="BQF36" s="29"/>
      <c r="BQG36" s="29"/>
      <c r="BQH36" s="29"/>
      <c r="BQI36" s="29"/>
      <c r="BQJ36" s="29"/>
      <c r="BQK36" s="30"/>
      <c r="BQL36" s="28"/>
      <c r="BQM36" s="67"/>
      <c r="BQN36" s="67"/>
      <c r="BQO36" s="67"/>
      <c r="BQP36" s="29"/>
      <c r="BQQ36" s="131"/>
      <c r="BQR36" s="29"/>
      <c r="BQS36" s="29"/>
      <c r="BQT36" s="29"/>
      <c r="BQU36" s="29"/>
      <c r="BQV36" s="29"/>
      <c r="BQW36" s="136"/>
      <c r="BQX36" s="29"/>
      <c r="BQY36" s="29"/>
      <c r="BQZ36" s="29"/>
      <c r="BRA36" s="29"/>
      <c r="BRB36" s="29"/>
      <c r="BRC36" s="73"/>
      <c r="BRD36" s="29"/>
      <c r="BRE36" s="29"/>
      <c r="BRF36" s="29"/>
      <c r="BRG36" s="29"/>
      <c r="BRH36" s="29"/>
      <c r="BRI36" s="136"/>
      <c r="BRJ36" s="29"/>
      <c r="BRK36" s="29"/>
      <c r="BRL36" s="29"/>
      <c r="BRM36" s="29"/>
      <c r="BRN36" s="29"/>
      <c r="BRO36" s="73"/>
      <c r="BRP36" s="67"/>
      <c r="BRQ36" s="67"/>
      <c r="BRR36" s="67"/>
      <c r="BRS36" s="67"/>
      <c r="BRT36" s="29"/>
      <c r="BRU36" s="136"/>
      <c r="BRV36" s="29"/>
      <c r="BRW36" s="29"/>
      <c r="BRX36" s="29"/>
      <c r="BRY36" s="29"/>
      <c r="BRZ36" s="29"/>
      <c r="BSA36" s="73"/>
      <c r="BSB36" s="29"/>
      <c r="BSC36" s="29"/>
      <c r="BSD36" s="29"/>
      <c r="BSE36" s="29"/>
      <c r="BSF36" s="29"/>
      <c r="BSG36" s="136"/>
      <c r="BSH36" s="29"/>
      <c r="BSI36" s="29"/>
      <c r="BSJ36" s="29"/>
      <c r="BSK36" s="29"/>
      <c r="BSL36" s="29"/>
      <c r="BSM36" s="73"/>
      <c r="BSN36" s="29"/>
      <c r="BSO36" s="29"/>
      <c r="BSP36" s="29"/>
      <c r="BSQ36" s="29"/>
      <c r="BSR36" s="29"/>
      <c r="BSS36" s="30"/>
      <c r="BST36" s="28"/>
      <c r="BSU36" s="67"/>
      <c r="BSV36" s="67"/>
      <c r="BSW36" s="67"/>
      <c r="BSX36" s="29"/>
      <c r="BSY36" s="131"/>
      <c r="BSZ36" s="29"/>
      <c r="BTA36" s="29"/>
      <c r="BTB36" s="29"/>
      <c r="BTC36" s="29"/>
      <c r="BTD36" s="29"/>
      <c r="BTE36" s="136"/>
      <c r="BTF36" s="29"/>
      <c r="BTG36" s="29"/>
      <c r="BTH36" s="29"/>
      <c r="BTI36" s="29"/>
      <c r="BTJ36" s="29"/>
      <c r="BTK36" s="73"/>
      <c r="BTL36" s="29"/>
      <c r="BTM36" s="29"/>
      <c r="BTN36" s="29"/>
      <c r="BTO36" s="29"/>
      <c r="BTP36" s="29"/>
      <c r="BTQ36" s="136"/>
      <c r="BTR36" s="29"/>
      <c r="BTS36" s="29"/>
      <c r="BTT36" s="29"/>
      <c r="BTU36" s="29"/>
      <c r="BTV36" s="29"/>
      <c r="BTW36" s="73"/>
      <c r="BTX36" s="67"/>
      <c r="BTY36" s="67"/>
      <c r="BTZ36" s="67"/>
      <c r="BUA36" s="67"/>
      <c r="BUB36" s="29"/>
      <c r="BUC36" s="136"/>
      <c r="BUD36" s="29"/>
      <c r="BUE36" s="29"/>
      <c r="BUF36" s="29"/>
      <c r="BUG36" s="29"/>
      <c r="BUH36" s="29"/>
      <c r="BUI36" s="73"/>
      <c r="BUJ36" s="29"/>
      <c r="BUK36" s="29"/>
      <c r="BUL36" s="29"/>
      <c r="BUM36" s="29"/>
      <c r="BUN36" s="29"/>
      <c r="BUO36" s="136"/>
      <c r="BUP36" s="29"/>
      <c r="BUQ36" s="29"/>
      <c r="BUR36" s="29"/>
      <c r="BUS36" s="29"/>
      <c r="BUT36" s="29"/>
      <c r="BUU36" s="73"/>
      <c r="BUV36" s="29"/>
      <c r="BUW36" s="29"/>
      <c r="BUX36" s="29"/>
      <c r="BUY36" s="29"/>
      <c r="BUZ36" s="29"/>
      <c r="BVA36" s="30"/>
      <c r="BVB36" s="90"/>
    </row>
    <row r="37" spans="1:1926" ht="20.100000000000001" customHeight="1" x14ac:dyDescent="0.25">
      <c r="A37" s="100" t="s">
        <v>20</v>
      </c>
      <c r="B37" s="63" t="str">
        <f>IF(LEN(C59)=0,"",C59)</f>
        <v/>
      </c>
      <c r="C37" s="180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32"/>
      <c r="BOE37" s="64"/>
      <c r="BOF37" s="64"/>
      <c r="BOG37" s="64"/>
      <c r="BOH37" s="33"/>
      <c r="BOI37" s="132"/>
      <c r="BOJ37" s="33"/>
      <c r="BOK37" s="33"/>
      <c r="BOL37" s="33"/>
      <c r="BOM37" s="33"/>
      <c r="BON37" s="33"/>
      <c r="BOO37" s="137"/>
      <c r="BOP37" s="33"/>
      <c r="BOQ37" s="33"/>
      <c r="BOR37" s="33"/>
      <c r="BOS37" s="33"/>
      <c r="BOT37" s="33"/>
      <c r="BOU37" s="74"/>
      <c r="BOV37" s="33"/>
      <c r="BOW37" s="33"/>
      <c r="BOX37" s="33"/>
      <c r="BOY37" s="33"/>
      <c r="BOZ37" s="33"/>
      <c r="BPA37" s="137"/>
      <c r="BPB37" s="33"/>
      <c r="BPC37" s="33"/>
      <c r="BPD37" s="33"/>
      <c r="BPE37" s="33"/>
      <c r="BPF37" s="33"/>
      <c r="BPG37" s="74"/>
      <c r="BPH37" s="64"/>
      <c r="BPI37" s="64"/>
      <c r="BPJ37" s="64"/>
      <c r="BPK37" s="64"/>
      <c r="BPL37" s="33"/>
      <c r="BPM37" s="137"/>
      <c r="BPN37" s="33"/>
      <c r="BPO37" s="33"/>
      <c r="BPP37" s="33"/>
      <c r="BPQ37" s="33"/>
      <c r="BPR37" s="33"/>
      <c r="BPS37" s="74"/>
      <c r="BPT37" s="33"/>
      <c r="BPU37" s="33"/>
      <c r="BPV37" s="33"/>
      <c r="BPW37" s="33"/>
      <c r="BPX37" s="33"/>
      <c r="BPY37" s="137"/>
      <c r="BPZ37" s="33"/>
      <c r="BQA37" s="33"/>
      <c r="BQB37" s="33"/>
      <c r="BQC37" s="33"/>
      <c r="BQD37" s="33"/>
      <c r="BQE37" s="74"/>
      <c r="BQF37" s="33"/>
      <c r="BQG37" s="33"/>
      <c r="BQH37" s="33"/>
      <c r="BQI37" s="33"/>
      <c r="BQJ37" s="33"/>
      <c r="BQK37" s="34"/>
      <c r="BQL37" s="32"/>
      <c r="BQM37" s="64"/>
      <c r="BQN37" s="64"/>
      <c r="BQO37" s="64"/>
      <c r="BQP37" s="33"/>
      <c r="BQQ37" s="132"/>
      <c r="BQR37" s="33"/>
      <c r="BQS37" s="33"/>
      <c r="BQT37" s="33"/>
      <c r="BQU37" s="33"/>
      <c r="BQV37" s="33"/>
      <c r="BQW37" s="137"/>
      <c r="BQX37" s="33"/>
      <c r="BQY37" s="33"/>
      <c r="BQZ37" s="33"/>
      <c r="BRA37" s="33"/>
      <c r="BRB37" s="33"/>
      <c r="BRC37" s="74"/>
      <c r="BRD37" s="33"/>
      <c r="BRE37" s="33"/>
      <c r="BRF37" s="33"/>
      <c r="BRG37" s="33"/>
      <c r="BRH37" s="33"/>
      <c r="BRI37" s="137"/>
      <c r="BRJ37" s="33"/>
      <c r="BRK37" s="33"/>
      <c r="BRL37" s="33"/>
      <c r="BRM37" s="33"/>
      <c r="BRN37" s="33"/>
      <c r="BRO37" s="74"/>
      <c r="BRP37" s="64"/>
      <c r="BRQ37" s="64"/>
      <c r="BRR37" s="64"/>
      <c r="BRS37" s="64"/>
      <c r="BRT37" s="33"/>
      <c r="BRU37" s="137"/>
      <c r="BRV37" s="33"/>
      <c r="BRW37" s="33"/>
      <c r="BRX37" s="33"/>
      <c r="BRY37" s="33"/>
      <c r="BRZ37" s="33"/>
      <c r="BSA37" s="74"/>
      <c r="BSB37" s="33"/>
      <c r="BSC37" s="33"/>
      <c r="BSD37" s="33"/>
      <c r="BSE37" s="33"/>
      <c r="BSF37" s="33"/>
      <c r="BSG37" s="137"/>
      <c r="BSH37" s="33"/>
      <c r="BSI37" s="33"/>
      <c r="BSJ37" s="33"/>
      <c r="BSK37" s="33"/>
      <c r="BSL37" s="33"/>
      <c r="BSM37" s="74"/>
      <c r="BSN37" s="33"/>
      <c r="BSO37" s="33"/>
      <c r="BSP37" s="33"/>
      <c r="BSQ37" s="33"/>
      <c r="BSR37" s="33"/>
      <c r="BSS37" s="34"/>
      <c r="BST37" s="32"/>
      <c r="BSU37" s="64"/>
      <c r="BSV37" s="64"/>
      <c r="BSW37" s="64"/>
      <c r="BSX37" s="33"/>
      <c r="BSY37" s="132"/>
      <c r="BSZ37" s="33"/>
      <c r="BTA37" s="33"/>
      <c r="BTB37" s="33"/>
      <c r="BTC37" s="33"/>
      <c r="BTD37" s="33"/>
      <c r="BTE37" s="137"/>
      <c r="BTF37" s="33"/>
      <c r="BTG37" s="33"/>
      <c r="BTH37" s="33"/>
      <c r="BTI37" s="33"/>
      <c r="BTJ37" s="33"/>
      <c r="BTK37" s="74"/>
      <c r="BTL37" s="33"/>
      <c r="BTM37" s="33"/>
      <c r="BTN37" s="33"/>
      <c r="BTO37" s="33"/>
      <c r="BTP37" s="33"/>
      <c r="BTQ37" s="137"/>
      <c r="BTR37" s="33"/>
      <c r="BTS37" s="33"/>
      <c r="BTT37" s="33"/>
      <c r="BTU37" s="33"/>
      <c r="BTV37" s="33"/>
      <c r="BTW37" s="74"/>
      <c r="BTX37" s="64"/>
      <c r="BTY37" s="64"/>
      <c r="BTZ37" s="64"/>
      <c r="BUA37" s="64"/>
      <c r="BUB37" s="33"/>
      <c r="BUC37" s="137"/>
      <c r="BUD37" s="33"/>
      <c r="BUE37" s="33"/>
      <c r="BUF37" s="33"/>
      <c r="BUG37" s="33"/>
      <c r="BUH37" s="33"/>
      <c r="BUI37" s="74"/>
      <c r="BUJ37" s="33"/>
      <c r="BUK37" s="33"/>
      <c r="BUL37" s="33"/>
      <c r="BUM37" s="33"/>
      <c r="BUN37" s="33"/>
      <c r="BUO37" s="137"/>
      <c r="BUP37" s="33"/>
      <c r="BUQ37" s="33"/>
      <c r="BUR37" s="33"/>
      <c r="BUS37" s="33"/>
      <c r="BUT37" s="33"/>
      <c r="BUU37" s="74"/>
      <c r="BUV37" s="33"/>
      <c r="BUW37" s="33"/>
      <c r="BUX37" s="33"/>
      <c r="BUY37" s="33"/>
      <c r="BUZ37" s="33"/>
      <c r="BVA37" s="34"/>
      <c r="BVB37" s="90"/>
    </row>
    <row r="38" spans="1:1926" ht="20.100000000000001" customHeight="1" x14ac:dyDescent="0.3">
      <c r="A38" s="100" t="s">
        <v>21</v>
      </c>
      <c r="B38" s="63" t="str">
        <f>IF(LEN(C61)=0,"",C61)</f>
        <v/>
      </c>
      <c r="C38" s="181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36"/>
      <c r="BOE38" s="65"/>
      <c r="BOF38" s="65"/>
      <c r="BOG38" s="65"/>
      <c r="BOH38" s="37"/>
      <c r="BOI38" s="133"/>
      <c r="BOJ38" s="37"/>
      <c r="BOK38" s="37"/>
      <c r="BOL38" s="37"/>
      <c r="BOM38" s="37"/>
      <c r="BON38" s="37"/>
      <c r="BOO38" s="138"/>
      <c r="BOP38" s="37"/>
      <c r="BOQ38" s="37"/>
      <c r="BOR38" s="37"/>
      <c r="BOS38" s="37"/>
      <c r="BOT38" s="37"/>
      <c r="BOU38" s="75"/>
      <c r="BOV38" s="37"/>
      <c r="BOW38" s="37"/>
      <c r="BOX38" s="37"/>
      <c r="BOY38" s="37"/>
      <c r="BOZ38" s="37"/>
      <c r="BPA38" s="138"/>
      <c r="BPB38" s="37"/>
      <c r="BPC38" s="37"/>
      <c r="BPD38" s="37"/>
      <c r="BPE38" s="37"/>
      <c r="BPF38" s="37"/>
      <c r="BPG38" s="75"/>
      <c r="BPH38" s="65"/>
      <c r="BPI38" s="65"/>
      <c r="BPJ38" s="65"/>
      <c r="BPK38" s="65"/>
      <c r="BPL38" s="37"/>
      <c r="BPM38" s="138"/>
      <c r="BPN38" s="37"/>
      <c r="BPO38" s="37"/>
      <c r="BPP38" s="37"/>
      <c r="BPQ38" s="37"/>
      <c r="BPR38" s="37"/>
      <c r="BPS38" s="75"/>
      <c r="BPT38" s="37"/>
      <c r="BPU38" s="37"/>
      <c r="BPV38" s="37"/>
      <c r="BPW38" s="37"/>
      <c r="BPX38" s="37"/>
      <c r="BPY38" s="138"/>
      <c r="BPZ38" s="37"/>
      <c r="BQA38" s="37"/>
      <c r="BQB38" s="37"/>
      <c r="BQC38" s="37"/>
      <c r="BQD38" s="37"/>
      <c r="BQE38" s="75"/>
      <c r="BQF38" s="37"/>
      <c r="BQG38" s="37"/>
      <c r="BQH38" s="37"/>
      <c r="BQI38" s="37"/>
      <c r="BQJ38" s="37"/>
      <c r="BQK38" s="38"/>
      <c r="BQL38" s="36"/>
      <c r="BQM38" s="65"/>
      <c r="BQN38" s="65"/>
      <c r="BQO38" s="65"/>
      <c r="BQP38" s="37"/>
      <c r="BQQ38" s="133"/>
      <c r="BQR38" s="37"/>
      <c r="BQS38" s="37"/>
      <c r="BQT38" s="37"/>
      <c r="BQU38" s="37"/>
      <c r="BQV38" s="37"/>
      <c r="BQW38" s="138"/>
      <c r="BQX38" s="37"/>
      <c r="BQY38" s="37"/>
      <c r="BQZ38" s="37"/>
      <c r="BRA38" s="37"/>
      <c r="BRB38" s="37"/>
      <c r="BRC38" s="75"/>
      <c r="BRD38" s="37"/>
      <c r="BRE38" s="37"/>
      <c r="BRF38" s="37"/>
      <c r="BRG38" s="37"/>
      <c r="BRH38" s="37"/>
      <c r="BRI38" s="138"/>
      <c r="BRJ38" s="37"/>
      <c r="BRK38" s="37"/>
      <c r="BRL38" s="37"/>
      <c r="BRM38" s="37"/>
      <c r="BRN38" s="37"/>
      <c r="BRO38" s="75"/>
      <c r="BRP38" s="65"/>
      <c r="BRQ38" s="65"/>
      <c r="BRR38" s="65"/>
      <c r="BRS38" s="65"/>
      <c r="BRT38" s="37"/>
      <c r="BRU38" s="138"/>
      <c r="BRV38" s="37"/>
      <c r="BRW38" s="37"/>
      <c r="BRX38" s="37"/>
      <c r="BRY38" s="37"/>
      <c r="BRZ38" s="37"/>
      <c r="BSA38" s="75"/>
      <c r="BSB38" s="37"/>
      <c r="BSC38" s="37"/>
      <c r="BSD38" s="37"/>
      <c r="BSE38" s="37"/>
      <c r="BSF38" s="37"/>
      <c r="BSG38" s="138"/>
      <c r="BSH38" s="37"/>
      <c r="BSI38" s="37"/>
      <c r="BSJ38" s="37"/>
      <c r="BSK38" s="37"/>
      <c r="BSL38" s="37"/>
      <c r="BSM38" s="75"/>
      <c r="BSN38" s="37"/>
      <c r="BSO38" s="37"/>
      <c r="BSP38" s="37"/>
      <c r="BSQ38" s="37"/>
      <c r="BSR38" s="37"/>
      <c r="BSS38" s="38"/>
      <c r="BST38" s="36"/>
      <c r="BSU38" s="65"/>
      <c r="BSV38" s="65"/>
      <c r="BSW38" s="65"/>
      <c r="BSX38" s="37"/>
      <c r="BSY38" s="133"/>
      <c r="BSZ38" s="37"/>
      <c r="BTA38" s="37"/>
      <c r="BTB38" s="37"/>
      <c r="BTC38" s="37"/>
      <c r="BTD38" s="37"/>
      <c r="BTE38" s="138"/>
      <c r="BTF38" s="37"/>
      <c r="BTG38" s="37"/>
      <c r="BTH38" s="37"/>
      <c r="BTI38" s="37"/>
      <c r="BTJ38" s="37"/>
      <c r="BTK38" s="75"/>
      <c r="BTL38" s="37"/>
      <c r="BTM38" s="37"/>
      <c r="BTN38" s="37"/>
      <c r="BTO38" s="37"/>
      <c r="BTP38" s="37"/>
      <c r="BTQ38" s="138"/>
      <c r="BTR38" s="37"/>
      <c r="BTS38" s="37"/>
      <c r="BTT38" s="37"/>
      <c r="BTU38" s="37"/>
      <c r="BTV38" s="37"/>
      <c r="BTW38" s="75"/>
      <c r="BTX38" s="65"/>
      <c r="BTY38" s="65"/>
      <c r="BTZ38" s="65"/>
      <c r="BUA38" s="65"/>
      <c r="BUB38" s="37"/>
      <c r="BUC38" s="138"/>
      <c r="BUD38" s="37"/>
      <c r="BUE38" s="37"/>
      <c r="BUF38" s="37"/>
      <c r="BUG38" s="37"/>
      <c r="BUH38" s="37"/>
      <c r="BUI38" s="75"/>
      <c r="BUJ38" s="37"/>
      <c r="BUK38" s="37"/>
      <c r="BUL38" s="37"/>
      <c r="BUM38" s="37"/>
      <c r="BUN38" s="37"/>
      <c r="BUO38" s="138"/>
      <c r="BUP38" s="37"/>
      <c r="BUQ38" s="37"/>
      <c r="BUR38" s="37"/>
      <c r="BUS38" s="37"/>
      <c r="BUT38" s="37"/>
      <c r="BUU38" s="75"/>
      <c r="BUV38" s="37"/>
      <c r="BUW38" s="37"/>
      <c r="BUX38" s="37"/>
      <c r="BUY38" s="37"/>
      <c r="BUZ38" s="37"/>
      <c r="BVA38" s="38"/>
      <c r="BVB38" s="90"/>
    </row>
    <row r="39" spans="1:1926" ht="20.100000000000001" customHeight="1" x14ac:dyDescent="0.25">
      <c r="A39" s="100" t="s">
        <v>20</v>
      </c>
      <c r="B39" s="63" t="str">
        <f>IF(LEN(C63)=0,"",C63)</f>
        <v/>
      </c>
      <c r="C39" s="180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40"/>
      <c r="BOE39" s="66"/>
      <c r="BOF39" s="66"/>
      <c r="BOG39" s="66"/>
      <c r="BOH39" s="41"/>
      <c r="BOI39" s="134"/>
      <c r="BOJ39" s="41"/>
      <c r="BOK39" s="41"/>
      <c r="BOL39" s="41"/>
      <c r="BOM39" s="41"/>
      <c r="BON39" s="41"/>
      <c r="BOO39" s="139"/>
      <c r="BOP39" s="41"/>
      <c r="BOQ39" s="41"/>
      <c r="BOR39" s="41"/>
      <c r="BOS39" s="41"/>
      <c r="BOT39" s="41"/>
      <c r="BOU39" s="76"/>
      <c r="BOV39" s="41"/>
      <c r="BOW39" s="41"/>
      <c r="BOX39" s="41"/>
      <c r="BOY39" s="41"/>
      <c r="BOZ39" s="41"/>
      <c r="BPA39" s="139"/>
      <c r="BPB39" s="41"/>
      <c r="BPC39" s="41"/>
      <c r="BPD39" s="41"/>
      <c r="BPE39" s="41"/>
      <c r="BPF39" s="41"/>
      <c r="BPG39" s="76"/>
      <c r="BPH39" s="66"/>
      <c r="BPI39" s="66"/>
      <c r="BPJ39" s="66"/>
      <c r="BPK39" s="66"/>
      <c r="BPL39" s="41"/>
      <c r="BPM39" s="139"/>
      <c r="BPN39" s="41"/>
      <c r="BPO39" s="41"/>
      <c r="BPP39" s="41"/>
      <c r="BPQ39" s="41"/>
      <c r="BPR39" s="41"/>
      <c r="BPS39" s="76"/>
      <c r="BPT39" s="41"/>
      <c r="BPU39" s="41"/>
      <c r="BPV39" s="41"/>
      <c r="BPW39" s="41"/>
      <c r="BPX39" s="41"/>
      <c r="BPY39" s="139"/>
      <c r="BPZ39" s="41"/>
      <c r="BQA39" s="41"/>
      <c r="BQB39" s="41"/>
      <c r="BQC39" s="41"/>
      <c r="BQD39" s="41"/>
      <c r="BQE39" s="76"/>
      <c r="BQF39" s="41"/>
      <c r="BQG39" s="41"/>
      <c r="BQH39" s="41"/>
      <c r="BQI39" s="41"/>
      <c r="BQJ39" s="41"/>
      <c r="BQK39" s="42"/>
      <c r="BQL39" s="40"/>
      <c r="BQM39" s="66"/>
      <c r="BQN39" s="66"/>
      <c r="BQO39" s="66"/>
      <c r="BQP39" s="41"/>
      <c r="BQQ39" s="134"/>
      <c r="BQR39" s="41"/>
      <c r="BQS39" s="41"/>
      <c r="BQT39" s="41"/>
      <c r="BQU39" s="41"/>
      <c r="BQV39" s="41"/>
      <c r="BQW39" s="139"/>
      <c r="BQX39" s="41"/>
      <c r="BQY39" s="41"/>
      <c r="BQZ39" s="41"/>
      <c r="BRA39" s="41"/>
      <c r="BRB39" s="41"/>
      <c r="BRC39" s="76"/>
      <c r="BRD39" s="41"/>
      <c r="BRE39" s="41"/>
      <c r="BRF39" s="41"/>
      <c r="BRG39" s="41"/>
      <c r="BRH39" s="41"/>
      <c r="BRI39" s="139"/>
      <c r="BRJ39" s="41"/>
      <c r="BRK39" s="41"/>
      <c r="BRL39" s="41"/>
      <c r="BRM39" s="41"/>
      <c r="BRN39" s="41"/>
      <c r="BRO39" s="76"/>
      <c r="BRP39" s="66"/>
      <c r="BRQ39" s="66"/>
      <c r="BRR39" s="66"/>
      <c r="BRS39" s="66"/>
      <c r="BRT39" s="41"/>
      <c r="BRU39" s="139"/>
      <c r="BRV39" s="41"/>
      <c r="BRW39" s="41"/>
      <c r="BRX39" s="41"/>
      <c r="BRY39" s="41"/>
      <c r="BRZ39" s="41"/>
      <c r="BSA39" s="76"/>
      <c r="BSB39" s="41"/>
      <c r="BSC39" s="41"/>
      <c r="BSD39" s="41"/>
      <c r="BSE39" s="41"/>
      <c r="BSF39" s="41"/>
      <c r="BSG39" s="139"/>
      <c r="BSH39" s="41"/>
      <c r="BSI39" s="41"/>
      <c r="BSJ39" s="41"/>
      <c r="BSK39" s="41"/>
      <c r="BSL39" s="41"/>
      <c r="BSM39" s="76"/>
      <c r="BSN39" s="41"/>
      <c r="BSO39" s="41"/>
      <c r="BSP39" s="41"/>
      <c r="BSQ39" s="41"/>
      <c r="BSR39" s="41"/>
      <c r="BSS39" s="42"/>
      <c r="BST39" s="40"/>
      <c r="BSU39" s="66"/>
      <c r="BSV39" s="66"/>
      <c r="BSW39" s="66"/>
      <c r="BSX39" s="41"/>
      <c r="BSY39" s="134"/>
      <c r="BSZ39" s="41"/>
      <c r="BTA39" s="41"/>
      <c r="BTB39" s="41"/>
      <c r="BTC39" s="41"/>
      <c r="BTD39" s="41"/>
      <c r="BTE39" s="139"/>
      <c r="BTF39" s="41"/>
      <c r="BTG39" s="41"/>
      <c r="BTH39" s="41"/>
      <c r="BTI39" s="41"/>
      <c r="BTJ39" s="41"/>
      <c r="BTK39" s="76"/>
      <c r="BTL39" s="41"/>
      <c r="BTM39" s="41"/>
      <c r="BTN39" s="41"/>
      <c r="BTO39" s="41"/>
      <c r="BTP39" s="41"/>
      <c r="BTQ39" s="139"/>
      <c r="BTR39" s="41"/>
      <c r="BTS39" s="41"/>
      <c r="BTT39" s="41"/>
      <c r="BTU39" s="41"/>
      <c r="BTV39" s="41"/>
      <c r="BTW39" s="76"/>
      <c r="BTX39" s="66"/>
      <c r="BTY39" s="66"/>
      <c r="BTZ39" s="66"/>
      <c r="BUA39" s="66"/>
      <c r="BUB39" s="41"/>
      <c r="BUC39" s="139"/>
      <c r="BUD39" s="41"/>
      <c r="BUE39" s="41"/>
      <c r="BUF39" s="41"/>
      <c r="BUG39" s="41"/>
      <c r="BUH39" s="41"/>
      <c r="BUI39" s="76"/>
      <c r="BUJ39" s="41"/>
      <c r="BUK39" s="41"/>
      <c r="BUL39" s="41"/>
      <c r="BUM39" s="41"/>
      <c r="BUN39" s="41"/>
      <c r="BUO39" s="139"/>
      <c r="BUP39" s="41"/>
      <c r="BUQ39" s="41"/>
      <c r="BUR39" s="41"/>
      <c r="BUS39" s="41"/>
      <c r="BUT39" s="41"/>
      <c r="BUU39" s="76"/>
      <c r="BUV39" s="41"/>
      <c r="BUW39" s="41"/>
      <c r="BUX39" s="41"/>
      <c r="BUY39" s="41"/>
      <c r="BUZ39" s="41"/>
      <c r="BVA39" s="42"/>
      <c r="BVB39" s="90"/>
    </row>
    <row r="40" spans="1:1926" ht="20.100000000000001" customHeight="1" x14ac:dyDescent="0.25">
      <c r="A40" s="100" t="s">
        <v>21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28"/>
      <c r="BOE40" s="67"/>
      <c r="BOF40" s="67"/>
      <c r="BOG40" s="67"/>
      <c r="BOH40" s="29"/>
      <c r="BOI40" s="131"/>
      <c r="BOJ40" s="29"/>
      <c r="BOK40" s="29"/>
      <c r="BOL40" s="29"/>
      <c r="BOM40" s="29"/>
      <c r="BON40" s="29"/>
      <c r="BOO40" s="136"/>
      <c r="BOP40" s="29"/>
      <c r="BOQ40" s="29"/>
      <c r="BOR40" s="29"/>
      <c r="BOS40" s="29"/>
      <c r="BOT40" s="29"/>
      <c r="BOU40" s="73"/>
      <c r="BOV40" s="29"/>
      <c r="BOW40" s="29"/>
      <c r="BOX40" s="29"/>
      <c r="BOY40" s="29"/>
      <c r="BOZ40" s="29"/>
      <c r="BPA40" s="136"/>
      <c r="BPB40" s="29"/>
      <c r="BPC40" s="29"/>
      <c r="BPD40" s="29"/>
      <c r="BPE40" s="29"/>
      <c r="BPF40" s="29"/>
      <c r="BPG40" s="73"/>
      <c r="BPH40" s="67"/>
      <c r="BPI40" s="67"/>
      <c r="BPJ40" s="67"/>
      <c r="BPK40" s="67"/>
      <c r="BPL40" s="29"/>
      <c r="BPM40" s="136"/>
      <c r="BPN40" s="29"/>
      <c r="BPO40" s="29"/>
      <c r="BPP40" s="29"/>
      <c r="BPQ40" s="29"/>
      <c r="BPR40" s="29"/>
      <c r="BPS40" s="73"/>
      <c r="BPT40" s="29"/>
      <c r="BPU40" s="29"/>
      <c r="BPV40" s="29"/>
      <c r="BPW40" s="29"/>
      <c r="BPX40" s="29"/>
      <c r="BPY40" s="136"/>
      <c r="BPZ40" s="29"/>
      <c r="BQA40" s="29"/>
      <c r="BQB40" s="29"/>
      <c r="BQC40" s="29"/>
      <c r="BQD40" s="29"/>
      <c r="BQE40" s="73"/>
      <c r="BQF40" s="29"/>
      <c r="BQG40" s="29"/>
      <c r="BQH40" s="29"/>
      <c r="BQI40" s="29"/>
      <c r="BQJ40" s="29"/>
      <c r="BQK40" s="30"/>
      <c r="BQL40" s="28"/>
      <c r="BQM40" s="67"/>
      <c r="BQN40" s="67"/>
      <c r="BQO40" s="67"/>
      <c r="BQP40" s="29"/>
      <c r="BQQ40" s="131"/>
      <c r="BQR40" s="29"/>
      <c r="BQS40" s="29"/>
      <c r="BQT40" s="29"/>
      <c r="BQU40" s="29"/>
      <c r="BQV40" s="29"/>
      <c r="BQW40" s="136"/>
      <c r="BQX40" s="29"/>
      <c r="BQY40" s="29"/>
      <c r="BQZ40" s="29"/>
      <c r="BRA40" s="29"/>
      <c r="BRB40" s="29"/>
      <c r="BRC40" s="73"/>
      <c r="BRD40" s="29"/>
      <c r="BRE40" s="29"/>
      <c r="BRF40" s="29"/>
      <c r="BRG40" s="29"/>
      <c r="BRH40" s="29"/>
      <c r="BRI40" s="136"/>
      <c r="BRJ40" s="29"/>
      <c r="BRK40" s="29"/>
      <c r="BRL40" s="29"/>
      <c r="BRM40" s="29"/>
      <c r="BRN40" s="29"/>
      <c r="BRO40" s="73"/>
      <c r="BRP40" s="67"/>
      <c r="BRQ40" s="67"/>
      <c r="BRR40" s="67"/>
      <c r="BRS40" s="67"/>
      <c r="BRT40" s="29"/>
      <c r="BRU40" s="136"/>
      <c r="BRV40" s="29"/>
      <c r="BRW40" s="29"/>
      <c r="BRX40" s="29"/>
      <c r="BRY40" s="29"/>
      <c r="BRZ40" s="29"/>
      <c r="BSA40" s="73"/>
      <c r="BSB40" s="29"/>
      <c r="BSC40" s="29"/>
      <c r="BSD40" s="29"/>
      <c r="BSE40" s="29"/>
      <c r="BSF40" s="29"/>
      <c r="BSG40" s="136"/>
      <c r="BSH40" s="29"/>
      <c r="BSI40" s="29"/>
      <c r="BSJ40" s="29"/>
      <c r="BSK40" s="29"/>
      <c r="BSL40" s="29"/>
      <c r="BSM40" s="73"/>
      <c r="BSN40" s="29"/>
      <c r="BSO40" s="29"/>
      <c r="BSP40" s="29"/>
      <c r="BSQ40" s="29"/>
      <c r="BSR40" s="29"/>
      <c r="BSS40" s="30"/>
      <c r="BST40" s="28"/>
      <c r="BSU40" s="67"/>
      <c r="BSV40" s="67"/>
      <c r="BSW40" s="67"/>
      <c r="BSX40" s="29"/>
      <c r="BSY40" s="131"/>
      <c r="BSZ40" s="29"/>
      <c r="BTA40" s="29"/>
      <c r="BTB40" s="29"/>
      <c r="BTC40" s="29"/>
      <c r="BTD40" s="29"/>
      <c r="BTE40" s="136"/>
      <c r="BTF40" s="29"/>
      <c r="BTG40" s="29"/>
      <c r="BTH40" s="29"/>
      <c r="BTI40" s="29"/>
      <c r="BTJ40" s="29"/>
      <c r="BTK40" s="73"/>
      <c r="BTL40" s="29"/>
      <c r="BTM40" s="29"/>
      <c r="BTN40" s="29"/>
      <c r="BTO40" s="29"/>
      <c r="BTP40" s="29"/>
      <c r="BTQ40" s="136"/>
      <c r="BTR40" s="29"/>
      <c r="BTS40" s="29"/>
      <c r="BTT40" s="29"/>
      <c r="BTU40" s="29"/>
      <c r="BTV40" s="29"/>
      <c r="BTW40" s="73"/>
      <c r="BTX40" s="67"/>
      <c r="BTY40" s="67"/>
      <c r="BTZ40" s="67"/>
      <c r="BUA40" s="67"/>
      <c r="BUB40" s="29"/>
      <c r="BUC40" s="136"/>
      <c r="BUD40" s="29"/>
      <c r="BUE40" s="29"/>
      <c r="BUF40" s="29"/>
      <c r="BUG40" s="29"/>
      <c r="BUH40" s="29"/>
      <c r="BUI40" s="73"/>
      <c r="BUJ40" s="29"/>
      <c r="BUK40" s="29"/>
      <c r="BUL40" s="29"/>
      <c r="BUM40" s="29"/>
      <c r="BUN40" s="29"/>
      <c r="BUO40" s="136"/>
      <c r="BUP40" s="29"/>
      <c r="BUQ40" s="29"/>
      <c r="BUR40" s="29"/>
      <c r="BUS40" s="29"/>
      <c r="BUT40" s="29"/>
      <c r="BUU40" s="73"/>
      <c r="BUV40" s="29"/>
      <c r="BUW40" s="29"/>
      <c r="BUX40" s="29"/>
      <c r="BUY40" s="29"/>
      <c r="BUZ40" s="29"/>
      <c r="BVA40" s="30"/>
      <c r="BVB40" s="90"/>
    </row>
    <row r="41" spans="1:1926" ht="20.100000000000001" customHeight="1" x14ac:dyDescent="0.25">
      <c r="A41" s="100" t="s">
        <v>20</v>
      </c>
      <c r="B41" s="63" t="str">
        <f>IF(LEN(C67)=0,"",C67)</f>
        <v/>
      </c>
      <c r="C41" s="180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32"/>
      <c r="BOE41" s="64"/>
      <c r="BOF41" s="64"/>
      <c r="BOG41" s="64"/>
      <c r="BOH41" s="33"/>
      <c r="BOI41" s="132"/>
      <c r="BOJ41" s="33"/>
      <c r="BOK41" s="33"/>
      <c r="BOL41" s="33"/>
      <c r="BOM41" s="33"/>
      <c r="BON41" s="33"/>
      <c r="BOO41" s="137"/>
      <c r="BOP41" s="33"/>
      <c r="BOQ41" s="33"/>
      <c r="BOR41" s="33"/>
      <c r="BOS41" s="33"/>
      <c r="BOT41" s="33"/>
      <c r="BOU41" s="74"/>
      <c r="BOV41" s="33"/>
      <c r="BOW41" s="33"/>
      <c r="BOX41" s="33"/>
      <c r="BOY41" s="33"/>
      <c r="BOZ41" s="33"/>
      <c r="BPA41" s="137"/>
      <c r="BPB41" s="33"/>
      <c r="BPC41" s="33"/>
      <c r="BPD41" s="33"/>
      <c r="BPE41" s="33"/>
      <c r="BPF41" s="33"/>
      <c r="BPG41" s="74"/>
      <c r="BPH41" s="64"/>
      <c r="BPI41" s="64"/>
      <c r="BPJ41" s="64"/>
      <c r="BPK41" s="64"/>
      <c r="BPL41" s="33"/>
      <c r="BPM41" s="137"/>
      <c r="BPN41" s="33"/>
      <c r="BPO41" s="33"/>
      <c r="BPP41" s="33"/>
      <c r="BPQ41" s="33"/>
      <c r="BPR41" s="33"/>
      <c r="BPS41" s="74"/>
      <c r="BPT41" s="33"/>
      <c r="BPU41" s="33"/>
      <c r="BPV41" s="33"/>
      <c r="BPW41" s="33"/>
      <c r="BPX41" s="33"/>
      <c r="BPY41" s="137"/>
      <c r="BPZ41" s="33"/>
      <c r="BQA41" s="33"/>
      <c r="BQB41" s="33"/>
      <c r="BQC41" s="33"/>
      <c r="BQD41" s="33"/>
      <c r="BQE41" s="74"/>
      <c r="BQF41" s="33"/>
      <c r="BQG41" s="33"/>
      <c r="BQH41" s="33"/>
      <c r="BQI41" s="33"/>
      <c r="BQJ41" s="33"/>
      <c r="BQK41" s="34"/>
      <c r="BQL41" s="32"/>
      <c r="BQM41" s="64"/>
      <c r="BQN41" s="64"/>
      <c r="BQO41" s="64"/>
      <c r="BQP41" s="33"/>
      <c r="BQQ41" s="132"/>
      <c r="BQR41" s="33"/>
      <c r="BQS41" s="33"/>
      <c r="BQT41" s="33"/>
      <c r="BQU41" s="33"/>
      <c r="BQV41" s="33"/>
      <c r="BQW41" s="137"/>
      <c r="BQX41" s="33"/>
      <c r="BQY41" s="33"/>
      <c r="BQZ41" s="33"/>
      <c r="BRA41" s="33"/>
      <c r="BRB41" s="33"/>
      <c r="BRC41" s="74"/>
      <c r="BRD41" s="33"/>
      <c r="BRE41" s="33"/>
      <c r="BRF41" s="33"/>
      <c r="BRG41" s="33"/>
      <c r="BRH41" s="33"/>
      <c r="BRI41" s="137"/>
      <c r="BRJ41" s="33"/>
      <c r="BRK41" s="33"/>
      <c r="BRL41" s="33"/>
      <c r="BRM41" s="33"/>
      <c r="BRN41" s="33"/>
      <c r="BRO41" s="74"/>
      <c r="BRP41" s="64"/>
      <c r="BRQ41" s="64"/>
      <c r="BRR41" s="64"/>
      <c r="BRS41" s="64"/>
      <c r="BRT41" s="33"/>
      <c r="BRU41" s="137"/>
      <c r="BRV41" s="33"/>
      <c r="BRW41" s="33"/>
      <c r="BRX41" s="33"/>
      <c r="BRY41" s="33"/>
      <c r="BRZ41" s="33"/>
      <c r="BSA41" s="74"/>
      <c r="BSB41" s="33"/>
      <c r="BSC41" s="33"/>
      <c r="BSD41" s="33"/>
      <c r="BSE41" s="33"/>
      <c r="BSF41" s="33"/>
      <c r="BSG41" s="137"/>
      <c r="BSH41" s="33"/>
      <c r="BSI41" s="33"/>
      <c r="BSJ41" s="33"/>
      <c r="BSK41" s="33"/>
      <c r="BSL41" s="33"/>
      <c r="BSM41" s="74"/>
      <c r="BSN41" s="33"/>
      <c r="BSO41" s="33"/>
      <c r="BSP41" s="33"/>
      <c r="BSQ41" s="33"/>
      <c r="BSR41" s="33"/>
      <c r="BSS41" s="34"/>
      <c r="BST41" s="32"/>
      <c r="BSU41" s="64"/>
      <c r="BSV41" s="64"/>
      <c r="BSW41" s="64"/>
      <c r="BSX41" s="33"/>
      <c r="BSY41" s="132"/>
      <c r="BSZ41" s="33"/>
      <c r="BTA41" s="33"/>
      <c r="BTB41" s="33"/>
      <c r="BTC41" s="33"/>
      <c r="BTD41" s="33"/>
      <c r="BTE41" s="137"/>
      <c r="BTF41" s="33"/>
      <c r="BTG41" s="33"/>
      <c r="BTH41" s="33"/>
      <c r="BTI41" s="33"/>
      <c r="BTJ41" s="33"/>
      <c r="BTK41" s="74"/>
      <c r="BTL41" s="33"/>
      <c r="BTM41" s="33"/>
      <c r="BTN41" s="33"/>
      <c r="BTO41" s="33"/>
      <c r="BTP41" s="33"/>
      <c r="BTQ41" s="137"/>
      <c r="BTR41" s="33"/>
      <c r="BTS41" s="33"/>
      <c r="BTT41" s="33"/>
      <c r="BTU41" s="33"/>
      <c r="BTV41" s="33"/>
      <c r="BTW41" s="74"/>
      <c r="BTX41" s="64"/>
      <c r="BTY41" s="64"/>
      <c r="BTZ41" s="64"/>
      <c r="BUA41" s="64"/>
      <c r="BUB41" s="33"/>
      <c r="BUC41" s="137"/>
      <c r="BUD41" s="33"/>
      <c r="BUE41" s="33"/>
      <c r="BUF41" s="33"/>
      <c r="BUG41" s="33"/>
      <c r="BUH41" s="33"/>
      <c r="BUI41" s="74"/>
      <c r="BUJ41" s="33"/>
      <c r="BUK41" s="33"/>
      <c r="BUL41" s="33"/>
      <c r="BUM41" s="33"/>
      <c r="BUN41" s="33"/>
      <c r="BUO41" s="137"/>
      <c r="BUP41" s="33"/>
      <c r="BUQ41" s="33"/>
      <c r="BUR41" s="33"/>
      <c r="BUS41" s="33"/>
      <c r="BUT41" s="33"/>
      <c r="BUU41" s="74"/>
      <c r="BUV41" s="33"/>
      <c r="BUW41" s="33"/>
      <c r="BUX41" s="33"/>
      <c r="BUY41" s="33"/>
      <c r="BUZ41" s="33"/>
      <c r="BVA41" s="34"/>
      <c r="BVB41" s="90"/>
    </row>
    <row r="42" spans="1:1926" ht="20.100000000000001" customHeight="1" x14ac:dyDescent="0.3">
      <c r="A42" s="100" t="s">
        <v>21</v>
      </c>
      <c r="B42" s="63" t="str">
        <f>IF(LEN(C69)=0,"",C69)</f>
        <v/>
      </c>
      <c r="C42" s="18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36"/>
      <c r="BOE42" s="65"/>
      <c r="BOF42" s="65"/>
      <c r="BOG42" s="65"/>
      <c r="BOH42" s="37"/>
      <c r="BOI42" s="133"/>
      <c r="BOJ42" s="37"/>
      <c r="BOK42" s="37"/>
      <c r="BOL42" s="37"/>
      <c r="BOM42" s="37"/>
      <c r="BON42" s="37"/>
      <c r="BOO42" s="138"/>
      <c r="BOP42" s="37"/>
      <c r="BOQ42" s="37"/>
      <c r="BOR42" s="37"/>
      <c r="BOS42" s="37"/>
      <c r="BOT42" s="37"/>
      <c r="BOU42" s="75"/>
      <c r="BOV42" s="37"/>
      <c r="BOW42" s="37"/>
      <c r="BOX42" s="37"/>
      <c r="BOY42" s="37"/>
      <c r="BOZ42" s="37"/>
      <c r="BPA42" s="138"/>
      <c r="BPB42" s="37"/>
      <c r="BPC42" s="37"/>
      <c r="BPD42" s="37"/>
      <c r="BPE42" s="37"/>
      <c r="BPF42" s="37"/>
      <c r="BPG42" s="75"/>
      <c r="BPH42" s="65"/>
      <c r="BPI42" s="65"/>
      <c r="BPJ42" s="65"/>
      <c r="BPK42" s="65"/>
      <c r="BPL42" s="37"/>
      <c r="BPM42" s="138"/>
      <c r="BPN42" s="37"/>
      <c r="BPO42" s="37"/>
      <c r="BPP42" s="37"/>
      <c r="BPQ42" s="37"/>
      <c r="BPR42" s="37"/>
      <c r="BPS42" s="75"/>
      <c r="BPT42" s="37"/>
      <c r="BPU42" s="37"/>
      <c r="BPV42" s="37"/>
      <c r="BPW42" s="37"/>
      <c r="BPX42" s="37"/>
      <c r="BPY42" s="138"/>
      <c r="BPZ42" s="37"/>
      <c r="BQA42" s="37"/>
      <c r="BQB42" s="37"/>
      <c r="BQC42" s="37"/>
      <c r="BQD42" s="37"/>
      <c r="BQE42" s="75"/>
      <c r="BQF42" s="37"/>
      <c r="BQG42" s="37"/>
      <c r="BQH42" s="37"/>
      <c r="BQI42" s="37"/>
      <c r="BQJ42" s="37"/>
      <c r="BQK42" s="38"/>
      <c r="BQL42" s="36"/>
      <c r="BQM42" s="65"/>
      <c r="BQN42" s="65"/>
      <c r="BQO42" s="65"/>
      <c r="BQP42" s="37"/>
      <c r="BQQ42" s="133"/>
      <c r="BQR42" s="37"/>
      <c r="BQS42" s="37"/>
      <c r="BQT42" s="37"/>
      <c r="BQU42" s="37"/>
      <c r="BQV42" s="37"/>
      <c r="BQW42" s="138"/>
      <c r="BQX42" s="37"/>
      <c r="BQY42" s="37"/>
      <c r="BQZ42" s="37"/>
      <c r="BRA42" s="37"/>
      <c r="BRB42" s="37"/>
      <c r="BRC42" s="75"/>
      <c r="BRD42" s="37"/>
      <c r="BRE42" s="37"/>
      <c r="BRF42" s="37"/>
      <c r="BRG42" s="37"/>
      <c r="BRH42" s="37"/>
      <c r="BRI42" s="138"/>
      <c r="BRJ42" s="37"/>
      <c r="BRK42" s="37"/>
      <c r="BRL42" s="37"/>
      <c r="BRM42" s="37"/>
      <c r="BRN42" s="37"/>
      <c r="BRO42" s="75"/>
      <c r="BRP42" s="65"/>
      <c r="BRQ42" s="65"/>
      <c r="BRR42" s="65"/>
      <c r="BRS42" s="65"/>
      <c r="BRT42" s="37"/>
      <c r="BRU42" s="138"/>
      <c r="BRV42" s="37"/>
      <c r="BRW42" s="37"/>
      <c r="BRX42" s="37"/>
      <c r="BRY42" s="37"/>
      <c r="BRZ42" s="37"/>
      <c r="BSA42" s="75"/>
      <c r="BSB42" s="37"/>
      <c r="BSC42" s="37"/>
      <c r="BSD42" s="37"/>
      <c r="BSE42" s="37"/>
      <c r="BSF42" s="37"/>
      <c r="BSG42" s="138"/>
      <c r="BSH42" s="37"/>
      <c r="BSI42" s="37"/>
      <c r="BSJ42" s="37"/>
      <c r="BSK42" s="37"/>
      <c r="BSL42" s="37"/>
      <c r="BSM42" s="75"/>
      <c r="BSN42" s="37"/>
      <c r="BSO42" s="37"/>
      <c r="BSP42" s="37"/>
      <c r="BSQ42" s="37"/>
      <c r="BSR42" s="37"/>
      <c r="BSS42" s="38"/>
      <c r="BST42" s="36"/>
      <c r="BSU42" s="65"/>
      <c r="BSV42" s="65"/>
      <c r="BSW42" s="65"/>
      <c r="BSX42" s="37"/>
      <c r="BSY42" s="133"/>
      <c r="BSZ42" s="37"/>
      <c r="BTA42" s="37"/>
      <c r="BTB42" s="37"/>
      <c r="BTC42" s="37"/>
      <c r="BTD42" s="37"/>
      <c r="BTE42" s="138"/>
      <c r="BTF42" s="37"/>
      <c r="BTG42" s="37"/>
      <c r="BTH42" s="37"/>
      <c r="BTI42" s="37"/>
      <c r="BTJ42" s="37"/>
      <c r="BTK42" s="75"/>
      <c r="BTL42" s="37"/>
      <c r="BTM42" s="37"/>
      <c r="BTN42" s="37"/>
      <c r="BTO42" s="37"/>
      <c r="BTP42" s="37"/>
      <c r="BTQ42" s="138"/>
      <c r="BTR42" s="37"/>
      <c r="BTS42" s="37"/>
      <c r="BTT42" s="37"/>
      <c r="BTU42" s="37"/>
      <c r="BTV42" s="37"/>
      <c r="BTW42" s="75"/>
      <c r="BTX42" s="65"/>
      <c r="BTY42" s="65"/>
      <c r="BTZ42" s="65"/>
      <c r="BUA42" s="65"/>
      <c r="BUB42" s="37"/>
      <c r="BUC42" s="138"/>
      <c r="BUD42" s="37"/>
      <c r="BUE42" s="37"/>
      <c r="BUF42" s="37"/>
      <c r="BUG42" s="37"/>
      <c r="BUH42" s="37"/>
      <c r="BUI42" s="75"/>
      <c r="BUJ42" s="37"/>
      <c r="BUK42" s="37"/>
      <c r="BUL42" s="37"/>
      <c r="BUM42" s="37"/>
      <c r="BUN42" s="37"/>
      <c r="BUO42" s="138"/>
      <c r="BUP42" s="37"/>
      <c r="BUQ42" s="37"/>
      <c r="BUR42" s="37"/>
      <c r="BUS42" s="37"/>
      <c r="BUT42" s="37"/>
      <c r="BUU42" s="75"/>
      <c r="BUV42" s="37"/>
      <c r="BUW42" s="37"/>
      <c r="BUX42" s="37"/>
      <c r="BUY42" s="37"/>
      <c r="BUZ42" s="37"/>
      <c r="BVA42" s="38"/>
      <c r="BVB42" s="90"/>
    </row>
    <row r="43" spans="1:1926" ht="20.100000000000001" customHeight="1" x14ac:dyDescent="0.25">
      <c r="A43" s="100" t="s">
        <v>20</v>
      </c>
      <c r="B43" s="63" t="str">
        <f>IF(LEN(C71)=0,"",C71)</f>
        <v/>
      </c>
      <c r="C43" s="180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32"/>
      <c r="BOE43" s="64"/>
      <c r="BOF43" s="64"/>
      <c r="BOG43" s="64"/>
      <c r="BOH43" s="33"/>
      <c r="BOI43" s="132"/>
      <c r="BOJ43" s="33"/>
      <c r="BOK43" s="33"/>
      <c r="BOL43" s="33"/>
      <c r="BOM43" s="33"/>
      <c r="BON43" s="33"/>
      <c r="BOO43" s="137"/>
      <c r="BOP43" s="33"/>
      <c r="BOQ43" s="33"/>
      <c r="BOR43" s="33"/>
      <c r="BOS43" s="33"/>
      <c r="BOT43" s="33"/>
      <c r="BOU43" s="74"/>
      <c r="BOV43" s="33"/>
      <c r="BOW43" s="33"/>
      <c r="BOX43" s="33"/>
      <c r="BOY43" s="33"/>
      <c r="BOZ43" s="33"/>
      <c r="BPA43" s="137"/>
      <c r="BPB43" s="33"/>
      <c r="BPC43" s="33"/>
      <c r="BPD43" s="33"/>
      <c r="BPE43" s="33"/>
      <c r="BPF43" s="33"/>
      <c r="BPG43" s="74"/>
      <c r="BPH43" s="64"/>
      <c r="BPI43" s="64"/>
      <c r="BPJ43" s="64"/>
      <c r="BPK43" s="64"/>
      <c r="BPL43" s="33"/>
      <c r="BPM43" s="137"/>
      <c r="BPN43" s="33"/>
      <c r="BPO43" s="33"/>
      <c r="BPP43" s="33"/>
      <c r="BPQ43" s="33"/>
      <c r="BPR43" s="33"/>
      <c r="BPS43" s="74"/>
      <c r="BPT43" s="33"/>
      <c r="BPU43" s="33"/>
      <c r="BPV43" s="33"/>
      <c r="BPW43" s="33"/>
      <c r="BPX43" s="33"/>
      <c r="BPY43" s="137"/>
      <c r="BPZ43" s="33"/>
      <c r="BQA43" s="33"/>
      <c r="BQB43" s="33"/>
      <c r="BQC43" s="33"/>
      <c r="BQD43" s="33"/>
      <c r="BQE43" s="74"/>
      <c r="BQF43" s="33"/>
      <c r="BQG43" s="33"/>
      <c r="BQH43" s="33"/>
      <c r="BQI43" s="33"/>
      <c r="BQJ43" s="33"/>
      <c r="BQK43" s="34"/>
      <c r="BQL43" s="32"/>
      <c r="BQM43" s="64"/>
      <c r="BQN43" s="64"/>
      <c r="BQO43" s="64"/>
      <c r="BQP43" s="33"/>
      <c r="BQQ43" s="132"/>
      <c r="BQR43" s="33"/>
      <c r="BQS43" s="33"/>
      <c r="BQT43" s="33"/>
      <c r="BQU43" s="33"/>
      <c r="BQV43" s="33"/>
      <c r="BQW43" s="137"/>
      <c r="BQX43" s="33"/>
      <c r="BQY43" s="33"/>
      <c r="BQZ43" s="33"/>
      <c r="BRA43" s="33"/>
      <c r="BRB43" s="33"/>
      <c r="BRC43" s="74"/>
      <c r="BRD43" s="33"/>
      <c r="BRE43" s="33"/>
      <c r="BRF43" s="33"/>
      <c r="BRG43" s="33"/>
      <c r="BRH43" s="33"/>
      <c r="BRI43" s="137"/>
      <c r="BRJ43" s="33"/>
      <c r="BRK43" s="33"/>
      <c r="BRL43" s="33"/>
      <c r="BRM43" s="33"/>
      <c r="BRN43" s="33"/>
      <c r="BRO43" s="74"/>
      <c r="BRP43" s="64"/>
      <c r="BRQ43" s="64"/>
      <c r="BRR43" s="64"/>
      <c r="BRS43" s="64"/>
      <c r="BRT43" s="33"/>
      <c r="BRU43" s="137"/>
      <c r="BRV43" s="33"/>
      <c r="BRW43" s="33"/>
      <c r="BRX43" s="33"/>
      <c r="BRY43" s="33"/>
      <c r="BRZ43" s="33"/>
      <c r="BSA43" s="74"/>
      <c r="BSB43" s="33"/>
      <c r="BSC43" s="33"/>
      <c r="BSD43" s="33"/>
      <c r="BSE43" s="33"/>
      <c r="BSF43" s="33"/>
      <c r="BSG43" s="137"/>
      <c r="BSH43" s="33"/>
      <c r="BSI43" s="33"/>
      <c r="BSJ43" s="33"/>
      <c r="BSK43" s="33"/>
      <c r="BSL43" s="33"/>
      <c r="BSM43" s="74"/>
      <c r="BSN43" s="33"/>
      <c r="BSO43" s="33"/>
      <c r="BSP43" s="33"/>
      <c r="BSQ43" s="33"/>
      <c r="BSR43" s="33"/>
      <c r="BSS43" s="34"/>
      <c r="BST43" s="32"/>
      <c r="BSU43" s="64"/>
      <c r="BSV43" s="64"/>
      <c r="BSW43" s="64"/>
      <c r="BSX43" s="33"/>
      <c r="BSY43" s="132"/>
      <c r="BSZ43" s="33"/>
      <c r="BTA43" s="33"/>
      <c r="BTB43" s="33"/>
      <c r="BTC43" s="33"/>
      <c r="BTD43" s="33"/>
      <c r="BTE43" s="137"/>
      <c r="BTF43" s="33"/>
      <c r="BTG43" s="33"/>
      <c r="BTH43" s="33"/>
      <c r="BTI43" s="33"/>
      <c r="BTJ43" s="33"/>
      <c r="BTK43" s="74"/>
      <c r="BTL43" s="33"/>
      <c r="BTM43" s="33"/>
      <c r="BTN43" s="33"/>
      <c r="BTO43" s="33"/>
      <c r="BTP43" s="33"/>
      <c r="BTQ43" s="137"/>
      <c r="BTR43" s="33"/>
      <c r="BTS43" s="33"/>
      <c r="BTT43" s="33"/>
      <c r="BTU43" s="33"/>
      <c r="BTV43" s="33"/>
      <c r="BTW43" s="74"/>
      <c r="BTX43" s="64"/>
      <c r="BTY43" s="64"/>
      <c r="BTZ43" s="64"/>
      <c r="BUA43" s="64"/>
      <c r="BUB43" s="33"/>
      <c r="BUC43" s="137"/>
      <c r="BUD43" s="33"/>
      <c r="BUE43" s="33"/>
      <c r="BUF43" s="33"/>
      <c r="BUG43" s="33"/>
      <c r="BUH43" s="33"/>
      <c r="BUI43" s="74"/>
      <c r="BUJ43" s="33"/>
      <c r="BUK43" s="33"/>
      <c r="BUL43" s="33"/>
      <c r="BUM43" s="33"/>
      <c r="BUN43" s="33"/>
      <c r="BUO43" s="137"/>
      <c r="BUP43" s="33"/>
      <c r="BUQ43" s="33"/>
      <c r="BUR43" s="33"/>
      <c r="BUS43" s="33"/>
      <c r="BUT43" s="33"/>
      <c r="BUU43" s="74"/>
      <c r="BUV43" s="33"/>
      <c r="BUW43" s="33"/>
      <c r="BUX43" s="33"/>
      <c r="BUY43" s="33"/>
      <c r="BUZ43" s="33"/>
      <c r="BVA43" s="34"/>
      <c r="BVB43" s="90"/>
    </row>
    <row r="44" spans="1:1926" ht="20.100000000000001" customHeight="1" x14ac:dyDescent="0.3">
      <c r="A44" s="100" t="s">
        <v>21</v>
      </c>
      <c r="B44" s="63" t="str">
        <f>IF(LEN(C73)=0,"",C73)</f>
        <v/>
      </c>
      <c r="C44" s="181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36"/>
      <c r="BOE44" s="65"/>
      <c r="BOF44" s="65"/>
      <c r="BOG44" s="65"/>
      <c r="BOH44" s="37"/>
      <c r="BOI44" s="133"/>
      <c r="BOJ44" s="37"/>
      <c r="BOK44" s="37"/>
      <c r="BOL44" s="37"/>
      <c r="BOM44" s="37"/>
      <c r="BON44" s="37"/>
      <c r="BOO44" s="138"/>
      <c r="BOP44" s="37"/>
      <c r="BOQ44" s="37"/>
      <c r="BOR44" s="37"/>
      <c r="BOS44" s="37"/>
      <c r="BOT44" s="37"/>
      <c r="BOU44" s="75"/>
      <c r="BOV44" s="37"/>
      <c r="BOW44" s="37"/>
      <c r="BOX44" s="37"/>
      <c r="BOY44" s="37"/>
      <c r="BOZ44" s="37"/>
      <c r="BPA44" s="138"/>
      <c r="BPB44" s="37"/>
      <c r="BPC44" s="37"/>
      <c r="BPD44" s="37"/>
      <c r="BPE44" s="37"/>
      <c r="BPF44" s="37"/>
      <c r="BPG44" s="75"/>
      <c r="BPH44" s="65"/>
      <c r="BPI44" s="65"/>
      <c r="BPJ44" s="65"/>
      <c r="BPK44" s="65"/>
      <c r="BPL44" s="37"/>
      <c r="BPM44" s="138"/>
      <c r="BPN44" s="37"/>
      <c r="BPO44" s="37"/>
      <c r="BPP44" s="37"/>
      <c r="BPQ44" s="37"/>
      <c r="BPR44" s="37"/>
      <c r="BPS44" s="75"/>
      <c r="BPT44" s="37"/>
      <c r="BPU44" s="37"/>
      <c r="BPV44" s="37"/>
      <c r="BPW44" s="37"/>
      <c r="BPX44" s="37"/>
      <c r="BPY44" s="138"/>
      <c r="BPZ44" s="37"/>
      <c r="BQA44" s="37"/>
      <c r="BQB44" s="37"/>
      <c r="BQC44" s="37"/>
      <c r="BQD44" s="37"/>
      <c r="BQE44" s="75"/>
      <c r="BQF44" s="37"/>
      <c r="BQG44" s="37"/>
      <c r="BQH44" s="37"/>
      <c r="BQI44" s="37"/>
      <c r="BQJ44" s="37"/>
      <c r="BQK44" s="38"/>
      <c r="BQL44" s="36"/>
      <c r="BQM44" s="65"/>
      <c r="BQN44" s="65"/>
      <c r="BQO44" s="65"/>
      <c r="BQP44" s="37"/>
      <c r="BQQ44" s="133"/>
      <c r="BQR44" s="37"/>
      <c r="BQS44" s="37"/>
      <c r="BQT44" s="37"/>
      <c r="BQU44" s="37"/>
      <c r="BQV44" s="37"/>
      <c r="BQW44" s="138"/>
      <c r="BQX44" s="37"/>
      <c r="BQY44" s="37"/>
      <c r="BQZ44" s="37"/>
      <c r="BRA44" s="37"/>
      <c r="BRB44" s="37"/>
      <c r="BRC44" s="75"/>
      <c r="BRD44" s="37"/>
      <c r="BRE44" s="37"/>
      <c r="BRF44" s="37"/>
      <c r="BRG44" s="37"/>
      <c r="BRH44" s="37"/>
      <c r="BRI44" s="138"/>
      <c r="BRJ44" s="37"/>
      <c r="BRK44" s="37"/>
      <c r="BRL44" s="37"/>
      <c r="BRM44" s="37"/>
      <c r="BRN44" s="37"/>
      <c r="BRO44" s="75"/>
      <c r="BRP44" s="65"/>
      <c r="BRQ44" s="65"/>
      <c r="BRR44" s="65"/>
      <c r="BRS44" s="65"/>
      <c r="BRT44" s="37"/>
      <c r="BRU44" s="138"/>
      <c r="BRV44" s="37"/>
      <c r="BRW44" s="37"/>
      <c r="BRX44" s="37"/>
      <c r="BRY44" s="37"/>
      <c r="BRZ44" s="37"/>
      <c r="BSA44" s="75"/>
      <c r="BSB44" s="37"/>
      <c r="BSC44" s="37"/>
      <c r="BSD44" s="37"/>
      <c r="BSE44" s="37"/>
      <c r="BSF44" s="37"/>
      <c r="BSG44" s="138"/>
      <c r="BSH44" s="37"/>
      <c r="BSI44" s="37"/>
      <c r="BSJ44" s="37"/>
      <c r="BSK44" s="37"/>
      <c r="BSL44" s="37"/>
      <c r="BSM44" s="75"/>
      <c r="BSN44" s="37"/>
      <c r="BSO44" s="37"/>
      <c r="BSP44" s="37"/>
      <c r="BSQ44" s="37"/>
      <c r="BSR44" s="37"/>
      <c r="BSS44" s="38"/>
      <c r="BST44" s="36"/>
      <c r="BSU44" s="65"/>
      <c r="BSV44" s="65"/>
      <c r="BSW44" s="65"/>
      <c r="BSX44" s="37"/>
      <c r="BSY44" s="133"/>
      <c r="BSZ44" s="37"/>
      <c r="BTA44" s="37"/>
      <c r="BTB44" s="37"/>
      <c r="BTC44" s="37"/>
      <c r="BTD44" s="37"/>
      <c r="BTE44" s="138"/>
      <c r="BTF44" s="37"/>
      <c r="BTG44" s="37"/>
      <c r="BTH44" s="37"/>
      <c r="BTI44" s="37"/>
      <c r="BTJ44" s="37"/>
      <c r="BTK44" s="75"/>
      <c r="BTL44" s="37"/>
      <c r="BTM44" s="37"/>
      <c r="BTN44" s="37"/>
      <c r="BTO44" s="37"/>
      <c r="BTP44" s="37"/>
      <c r="BTQ44" s="138"/>
      <c r="BTR44" s="37"/>
      <c r="BTS44" s="37"/>
      <c r="BTT44" s="37"/>
      <c r="BTU44" s="37"/>
      <c r="BTV44" s="37"/>
      <c r="BTW44" s="75"/>
      <c r="BTX44" s="65"/>
      <c r="BTY44" s="65"/>
      <c r="BTZ44" s="65"/>
      <c r="BUA44" s="65"/>
      <c r="BUB44" s="37"/>
      <c r="BUC44" s="138"/>
      <c r="BUD44" s="37"/>
      <c r="BUE44" s="37"/>
      <c r="BUF44" s="37"/>
      <c r="BUG44" s="37"/>
      <c r="BUH44" s="37"/>
      <c r="BUI44" s="75"/>
      <c r="BUJ44" s="37"/>
      <c r="BUK44" s="37"/>
      <c r="BUL44" s="37"/>
      <c r="BUM44" s="37"/>
      <c r="BUN44" s="37"/>
      <c r="BUO44" s="138"/>
      <c r="BUP44" s="37"/>
      <c r="BUQ44" s="37"/>
      <c r="BUR44" s="37"/>
      <c r="BUS44" s="37"/>
      <c r="BUT44" s="37"/>
      <c r="BUU44" s="75"/>
      <c r="BUV44" s="37"/>
      <c r="BUW44" s="37"/>
      <c r="BUX44" s="37"/>
      <c r="BUY44" s="37"/>
      <c r="BUZ44" s="37"/>
      <c r="BVA44" s="38"/>
      <c r="BVB44" s="90"/>
    </row>
    <row r="45" spans="1:1926" ht="20.100000000000001" customHeight="1" x14ac:dyDescent="0.25">
      <c r="A45" s="100" t="s">
        <v>20</v>
      </c>
      <c r="B45" s="63" t="str">
        <f>IF(LEN(C75)=0,"",C75)</f>
        <v/>
      </c>
      <c r="C45" s="180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40"/>
      <c r="BOE45" s="66"/>
      <c r="BOF45" s="66"/>
      <c r="BOG45" s="66"/>
      <c r="BOH45" s="41"/>
      <c r="BOI45" s="134"/>
      <c r="BOJ45" s="41"/>
      <c r="BOK45" s="41"/>
      <c r="BOL45" s="41"/>
      <c r="BOM45" s="41"/>
      <c r="BON45" s="41"/>
      <c r="BOO45" s="139"/>
      <c r="BOP45" s="41"/>
      <c r="BOQ45" s="41"/>
      <c r="BOR45" s="41"/>
      <c r="BOS45" s="41"/>
      <c r="BOT45" s="41"/>
      <c r="BOU45" s="76"/>
      <c r="BOV45" s="41"/>
      <c r="BOW45" s="41"/>
      <c r="BOX45" s="41"/>
      <c r="BOY45" s="41"/>
      <c r="BOZ45" s="41"/>
      <c r="BPA45" s="139"/>
      <c r="BPB45" s="41"/>
      <c r="BPC45" s="41"/>
      <c r="BPD45" s="41"/>
      <c r="BPE45" s="41"/>
      <c r="BPF45" s="41"/>
      <c r="BPG45" s="76"/>
      <c r="BPH45" s="66"/>
      <c r="BPI45" s="66"/>
      <c r="BPJ45" s="66"/>
      <c r="BPK45" s="66"/>
      <c r="BPL45" s="41"/>
      <c r="BPM45" s="139"/>
      <c r="BPN45" s="41"/>
      <c r="BPO45" s="41"/>
      <c r="BPP45" s="41"/>
      <c r="BPQ45" s="41"/>
      <c r="BPR45" s="41"/>
      <c r="BPS45" s="76"/>
      <c r="BPT45" s="41"/>
      <c r="BPU45" s="41"/>
      <c r="BPV45" s="41"/>
      <c r="BPW45" s="41"/>
      <c r="BPX45" s="41"/>
      <c r="BPY45" s="139"/>
      <c r="BPZ45" s="41"/>
      <c r="BQA45" s="41"/>
      <c r="BQB45" s="41"/>
      <c r="BQC45" s="41"/>
      <c r="BQD45" s="41"/>
      <c r="BQE45" s="76"/>
      <c r="BQF45" s="41"/>
      <c r="BQG45" s="41"/>
      <c r="BQH45" s="41"/>
      <c r="BQI45" s="41"/>
      <c r="BQJ45" s="41"/>
      <c r="BQK45" s="42"/>
      <c r="BQL45" s="40"/>
      <c r="BQM45" s="66"/>
      <c r="BQN45" s="66"/>
      <c r="BQO45" s="66"/>
      <c r="BQP45" s="41"/>
      <c r="BQQ45" s="134"/>
      <c r="BQR45" s="41"/>
      <c r="BQS45" s="41"/>
      <c r="BQT45" s="41"/>
      <c r="BQU45" s="41"/>
      <c r="BQV45" s="41"/>
      <c r="BQW45" s="139"/>
      <c r="BQX45" s="41"/>
      <c r="BQY45" s="41"/>
      <c r="BQZ45" s="41"/>
      <c r="BRA45" s="41"/>
      <c r="BRB45" s="41"/>
      <c r="BRC45" s="76"/>
      <c r="BRD45" s="41"/>
      <c r="BRE45" s="41"/>
      <c r="BRF45" s="41"/>
      <c r="BRG45" s="41"/>
      <c r="BRH45" s="41"/>
      <c r="BRI45" s="139"/>
      <c r="BRJ45" s="41"/>
      <c r="BRK45" s="41"/>
      <c r="BRL45" s="41"/>
      <c r="BRM45" s="41"/>
      <c r="BRN45" s="41"/>
      <c r="BRO45" s="76"/>
      <c r="BRP45" s="66"/>
      <c r="BRQ45" s="66"/>
      <c r="BRR45" s="66"/>
      <c r="BRS45" s="66"/>
      <c r="BRT45" s="41"/>
      <c r="BRU45" s="139"/>
      <c r="BRV45" s="41"/>
      <c r="BRW45" s="41"/>
      <c r="BRX45" s="41"/>
      <c r="BRY45" s="41"/>
      <c r="BRZ45" s="41"/>
      <c r="BSA45" s="76"/>
      <c r="BSB45" s="41"/>
      <c r="BSC45" s="41"/>
      <c r="BSD45" s="41"/>
      <c r="BSE45" s="41"/>
      <c r="BSF45" s="41"/>
      <c r="BSG45" s="139"/>
      <c r="BSH45" s="41"/>
      <c r="BSI45" s="41"/>
      <c r="BSJ45" s="41"/>
      <c r="BSK45" s="41"/>
      <c r="BSL45" s="41"/>
      <c r="BSM45" s="76"/>
      <c r="BSN45" s="41"/>
      <c r="BSO45" s="41"/>
      <c r="BSP45" s="41"/>
      <c r="BSQ45" s="41"/>
      <c r="BSR45" s="41"/>
      <c r="BSS45" s="42"/>
      <c r="BST45" s="40"/>
      <c r="BSU45" s="66"/>
      <c r="BSV45" s="66"/>
      <c r="BSW45" s="66"/>
      <c r="BSX45" s="41"/>
      <c r="BSY45" s="134"/>
      <c r="BSZ45" s="41"/>
      <c r="BTA45" s="41"/>
      <c r="BTB45" s="41"/>
      <c r="BTC45" s="41"/>
      <c r="BTD45" s="41"/>
      <c r="BTE45" s="139"/>
      <c r="BTF45" s="41"/>
      <c r="BTG45" s="41"/>
      <c r="BTH45" s="41"/>
      <c r="BTI45" s="41"/>
      <c r="BTJ45" s="41"/>
      <c r="BTK45" s="76"/>
      <c r="BTL45" s="41"/>
      <c r="BTM45" s="41"/>
      <c r="BTN45" s="41"/>
      <c r="BTO45" s="41"/>
      <c r="BTP45" s="41"/>
      <c r="BTQ45" s="139"/>
      <c r="BTR45" s="41"/>
      <c r="BTS45" s="41"/>
      <c r="BTT45" s="41"/>
      <c r="BTU45" s="41"/>
      <c r="BTV45" s="41"/>
      <c r="BTW45" s="76"/>
      <c r="BTX45" s="66"/>
      <c r="BTY45" s="66"/>
      <c r="BTZ45" s="66"/>
      <c r="BUA45" s="66"/>
      <c r="BUB45" s="41"/>
      <c r="BUC45" s="139"/>
      <c r="BUD45" s="41"/>
      <c r="BUE45" s="41"/>
      <c r="BUF45" s="41"/>
      <c r="BUG45" s="41"/>
      <c r="BUH45" s="41"/>
      <c r="BUI45" s="76"/>
      <c r="BUJ45" s="41"/>
      <c r="BUK45" s="41"/>
      <c r="BUL45" s="41"/>
      <c r="BUM45" s="41"/>
      <c r="BUN45" s="41"/>
      <c r="BUO45" s="139"/>
      <c r="BUP45" s="41"/>
      <c r="BUQ45" s="41"/>
      <c r="BUR45" s="41"/>
      <c r="BUS45" s="41"/>
      <c r="BUT45" s="41"/>
      <c r="BUU45" s="76"/>
      <c r="BUV45" s="41"/>
      <c r="BUW45" s="41"/>
      <c r="BUX45" s="41"/>
      <c r="BUY45" s="41"/>
      <c r="BUZ45" s="41"/>
      <c r="BVA45" s="42"/>
      <c r="BVB45" s="90"/>
    </row>
    <row r="46" spans="1:1926" ht="20.100000000000001" customHeight="1" x14ac:dyDescent="0.25">
      <c r="A46" s="100" t="s">
        <v>21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36"/>
      <c r="BOE46" s="65"/>
      <c r="BOF46" s="65"/>
      <c r="BOG46" s="65"/>
      <c r="BOH46" s="37"/>
      <c r="BOI46" s="133"/>
      <c r="BOJ46" s="37"/>
      <c r="BOK46" s="37"/>
      <c r="BOL46" s="37"/>
      <c r="BOM46" s="37"/>
      <c r="BON46" s="37"/>
      <c r="BOO46" s="138"/>
      <c r="BOP46" s="37"/>
      <c r="BOQ46" s="37"/>
      <c r="BOR46" s="37"/>
      <c r="BOS46" s="37"/>
      <c r="BOT46" s="37"/>
      <c r="BOU46" s="75"/>
      <c r="BOV46" s="37"/>
      <c r="BOW46" s="37"/>
      <c r="BOX46" s="37"/>
      <c r="BOY46" s="37"/>
      <c r="BOZ46" s="37"/>
      <c r="BPA46" s="138"/>
      <c r="BPB46" s="37"/>
      <c r="BPC46" s="37"/>
      <c r="BPD46" s="37"/>
      <c r="BPE46" s="37"/>
      <c r="BPF46" s="37"/>
      <c r="BPG46" s="75"/>
      <c r="BPH46" s="65"/>
      <c r="BPI46" s="65"/>
      <c r="BPJ46" s="65"/>
      <c r="BPK46" s="65"/>
      <c r="BPL46" s="37"/>
      <c r="BPM46" s="138"/>
      <c r="BPN46" s="37"/>
      <c r="BPO46" s="37"/>
      <c r="BPP46" s="37"/>
      <c r="BPQ46" s="37"/>
      <c r="BPR46" s="37"/>
      <c r="BPS46" s="75"/>
      <c r="BPT46" s="37"/>
      <c r="BPU46" s="37"/>
      <c r="BPV46" s="37"/>
      <c r="BPW46" s="37"/>
      <c r="BPX46" s="37"/>
      <c r="BPY46" s="138"/>
      <c r="BPZ46" s="37"/>
      <c r="BQA46" s="37"/>
      <c r="BQB46" s="37"/>
      <c r="BQC46" s="37"/>
      <c r="BQD46" s="37"/>
      <c r="BQE46" s="75"/>
      <c r="BQF46" s="37"/>
      <c r="BQG46" s="37"/>
      <c r="BQH46" s="37"/>
      <c r="BQI46" s="37"/>
      <c r="BQJ46" s="37"/>
      <c r="BQK46" s="38"/>
      <c r="BQL46" s="36"/>
      <c r="BQM46" s="65"/>
      <c r="BQN46" s="65"/>
      <c r="BQO46" s="65"/>
      <c r="BQP46" s="37"/>
      <c r="BQQ46" s="133"/>
      <c r="BQR46" s="37"/>
      <c r="BQS46" s="37"/>
      <c r="BQT46" s="37"/>
      <c r="BQU46" s="37"/>
      <c r="BQV46" s="37"/>
      <c r="BQW46" s="138"/>
      <c r="BQX46" s="37"/>
      <c r="BQY46" s="37"/>
      <c r="BQZ46" s="37"/>
      <c r="BRA46" s="37"/>
      <c r="BRB46" s="37"/>
      <c r="BRC46" s="75"/>
      <c r="BRD46" s="37"/>
      <c r="BRE46" s="37"/>
      <c r="BRF46" s="37"/>
      <c r="BRG46" s="37"/>
      <c r="BRH46" s="37"/>
      <c r="BRI46" s="138"/>
      <c r="BRJ46" s="37"/>
      <c r="BRK46" s="37"/>
      <c r="BRL46" s="37"/>
      <c r="BRM46" s="37"/>
      <c r="BRN46" s="37"/>
      <c r="BRO46" s="75"/>
      <c r="BRP46" s="65"/>
      <c r="BRQ46" s="65"/>
      <c r="BRR46" s="65"/>
      <c r="BRS46" s="65"/>
      <c r="BRT46" s="37"/>
      <c r="BRU46" s="138"/>
      <c r="BRV46" s="37"/>
      <c r="BRW46" s="37"/>
      <c r="BRX46" s="37"/>
      <c r="BRY46" s="37"/>
      <c r="BRZ46" s="37"/>
      <c r="BSA46" s="75"/>
      <c r="BSB46" s="37"/>
      <c r="BSC46" s="37"/>
      <c r="BSD46" s="37"/>
      <c r="BSE46" s="37"/>
      <c r="BSF46" s="37"/>
      <c r="BSG46" s="138"/>
      <c r="BSH46" s="37"/>
      <c r="BSI46" s="37"/>
      <c r="BSJ46" s="37"/>
      <c r="BSK46" s="37"/>
      <c r="BSL46" s="37"/>
      <c r="BSM46" s="75"/>
      <c r="BSN46" s="37"/>
      <c r="BSO46" s="37"/>
      <c r="BSP46" s="37"/>
      <c r="BSQ46" s="37"/>
      <c r="BSR46" s="37"/>
      <c r="BSS46" s="38"/>
      <c r="BST46" s="36"/>
      <c r="BSU46" s="65"/>
      <c r="BSV46" s="65"/>
      <c r="BSW46" s="65"/>
      <c r="BSX46" s="37"/>
      <c r="BSY46" s="133"/>
      <c r="BSZ46" s="37"/>
      <c r="BTA46" s="37"/>
      <c r="BTB46" s="37"/>
      <c r="BTC46" s="37"/>
      <c r="BTD46" s="37"/>
      <c r="BTE46" s="138"/>
      <c r="BTF46" s="37"/>
      <c r="BTG46" s="37"/>
      <c r="BTH46" s="37"/>
      <c r="BTI46" s="37"/>
      <c r="BTJ46" s="37"/>
      <c r="BTK46" s="75"/>
      <c r="BTL46" s="37"/>
      <c r="BTM46" s="37"/>
      <c r="BTN46" s="37"/>
      <c r="BTO46" s="37"/>
      <c r="BTP46" s="37"/>
      <c r="BTQ46" s="138"/>
      <c r="BTR46" s="37"/>
      <c r="BTS46" s="37"/>
      <c r="BTT46" s="37"/>
      <c r="BTU46" s="37"/>
      <c r="BTV46" s="37"/>
      <c r="BTW46" s="75"/>
      <c r="BTX46" s="65"/>
      <c r="BTY46" s="65"/>
      <c r="BTZ46" s="65"/>
      <c r="BUA46" s="65"/>
      <c r="BUB46" s="37"/>
      <c r="BUC46" s="138"/>
      <c r="BUD46" s="37"/>
      <c r="BUE46" s="37"/>
      <c r="BUF46" s="37"/>
      <c r="BUG46" s="37"/>
      <c r="BUH46" s="37"/>
      <c r="BUI46" s="75"/>
      <c r="BUJ46" s="37"/>
      <c r="BUK46" s="37"/>
      <c r="BUL46" s="37"/>
      <c r="BUM46" s="37"/>
      <c r="BUN46" s="37"/>
      <c r="BUO46" s="138"/>
      <c r="BUP46" s="37"/>
      <c r="BUQ46" s="37"/>
      <c r="BUR46" s="37"/>
      <c r="BUS46" s="37"/>
      <c r="BUT46" s="37"/>
      <c r="BUU46" s="75"/>
      <c r="BUV46" s="37"/>
      <c r="BUW46" s="37"/>
      <c r="BUX46" s="37"/>
      <c r="BUY46" s="37"/>
      <c r="BUZ46" s="37"/>
      <c r="BVA46" s="38"/>
      <c r="BVB46" s="90"/>
    </row>
    <row r="47" spans="1:1926" ht="20.100000000000001" customHeight="1" x14ac:dyDescent="0.25">
      <c r="A47" s="100" t="s">
        <v>20</v>
      </c>
      <c r="B47" s="63" t="str">
        <f>IF(LEN(C79)=0,"",C79)</f>
        <v/>
      </c>
      <c r="C47" s="180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40"/>
      <c r="BOE47" s="66"/>
      <c r="BOF47" s="66"/>
      <c r="BOG47" s="66"/>
      <c r="BOH47" s="41"/>
      <c r="BOI47" s="134"/>
      <c r="BOJ47" s="41"/>
      <c r="BOK47" s="41"/>
      <c r="BOL47" s="41"/>
      <c r="BOM47" s="41"/>
      <c r="BON47" s="41"/>
      <c r="BOO47" s="139"/>
      <c r="BOP47" s="41"/>
      <c r="BOQ47" s="41"/>
      <c r="BOR47" s="41"/>
      <c r="BOS47" s="41"/>
      <c r="BOT47" s="41"/>
      <c r="BOU47" s="76"/>
      <c r="BOV47" s="41"/>
      <c r="BOW47" s="41"/>
      <c r="BOX47" s="41"/>
      <c r="BOY47" s="41"/>
      <c r="BOZ47" s="41"/>
      <c r="BPA47" s="139"/>
      <c r="BPB47" s="41"/>
      <c r="BPC47" s="41"/>
      <c r="BPD47" s="41"/>
      <c r="BPE47" s="41"/>
      <c r="BPF47" s="41"/>
      <c r="BPG47" s="76"/>
      <c r="BPH47" s="66"/>
      <c r="BPI47" s="66"/>
      <c r="BPJ47" s="66"/>
      <c r="BPK47" s="66"/>
      <c r="BPL47" s="41"/>
      <c r="BPM47" s="139"/>
      <c r="BPN47" s="41"/>
      <c r="BPO47" s="41"/>
      <c r="BPP47" s="41"/>
      <c r="BPQ47" s="41"/>
      <c r="BPR47" s="41"/>
      <c r="BPS47" s="76"/>
      <c r="BPT47" s="41"/>
      <c r="BPU47" s="41"/>
      <c r="BPV47" s="41"/>
      <c r="BPW47" s="41"/>
      <c r="BPX47" s="41"/>
      <c r="BPY47" s="139"/>
      <c r="BPZ47" s="41"/>
      <c r="BQA47" s="41"/>
      <c r="BQB47" s="41"/>
      <c r="BQC47" s="41"/>
      <c r="BQD47" s="41"/>
      <c r="BQE47" s="76"/>
      <c r="BQF47" s="41"/>
      <c r="BQG47" s="41"/>
      <c r="BQH47" s="41"/>
      <c r="BQI47" s="41"/>
      <c r="BQJ47" s="41"/>
      <c r="BQK47" s="42"/>
      <c r="BQL47" s="40"/>
      <c r="BQM47" s="66"/>
      <c r="BQN47" s="66"/>
      <c r="BQO47" s="66"/>
      <c r="BQP47" s="41"/>
      <c r="BQQ47" s="134"/>
      <c r="BQR47" s="41"/>
      <c r="BQS47" s="41"/>
      <c r="BQT47" s="41"/>
      <c r="BQU47" s="41"/>
      <c r="BQV47" s="41"/>
      <c r="BQW47" s="139"/>
      <c r="BQX47" s="41"/>
      <c r="BQY47" s="41"/>
      <c r="BQZ47" s="41"/>
      <c r="BRA47" s="41"/>
      <c r="BRB47" s="41"/>
      <c r="BRC47" s="76"/>
      <c r="BRD47" s="41"/>
      <c r="BRE47" s="41"/>
      <c r="BRF47" s="41"/>
      <c r="BRG47" s="41"/>
      <c r="BRH47" s="41"/>
      <c r="BRI47" s="139"/>
      <c r="BRJ47" s="41"/>
      <c r="BRK47" s="41"/>
      <c r="BRL47" s="41"/>
      <c r="BRM47" s="41"/>
      <c r="BRN47" s="41"/>
      <c r="BRO47" s="76"/>
      <c r="BRP47" s="66"/>
      <c r="BRQ47" s="66"/>
      <c r="BRR47" s="66"/>
      <c r="BRS47" s="66"/>
      <c r="BRT47" s="41"/>
      <c r="BRU47" s="139"/>
      <c r="BRV47" s="41"/>
      <c r="BRW47" s="41"/>
      <c r="BRX47" s="41"/>
      <c r="BRY47" s="41"/>
      <c r="BRZ47" s="41"/>
      <c r="BSA47" s="76"/>
      <c r="BSB47" s="41"/>
      <c r="BSC47" s="41"/>
      <c r="BSD47" s="41"/>
      <c r="BSE47" s="41"/>
      <c r="BSF47" s="41"/>
      <c r="BSG47" s="139"/>
      <c r="BSH47" s="41"/>
      <c r="BSI47" s="41"/>
      <c r="BSJ47" s="41"/>
      <c r="BSK47" s="41"/>
      <c r="BSL47" s="41"/>
      <c r="BSM47" s="76"/>
      <c r="BSN47" s="41"/>
      <c r="BSO47" s="41"/>
      <c r="BSP47" s="41"/>
      <c r="BSQ47" s="41"/>
      <c r="BSR47" s="41"/>
      <c r="BSS47" s="42"/>
      <c r="BST47" s="40"/>
      <c r="BSU47" s="66"/>
      <c r="BSV47" s="66"/>
      <c r="BSW47" s="66"/>
      <c r="BSX47" s="41"/>
      <c r="BSY47" s="134"/>
      <c r="BSZ47" s="41"/>
      <c r="BTA47" s="41"/>
      <c r="BTB47" s="41"/>
      <c r="BTC47" s="41"/>
      <c r="BTD47" s="41"/>
      <c r="BTE47" s="139"/>
      <c r="BTF47" s="41"/>
      <c r="BTG47" s="41"/>
      <c r="BTH47" s="41"/>
      <c r="BTI47" s="41"/>
      <c r="BTJ47" s="41"/>
      <c r="BTK47" s="76"/>
      <c r="BTL47" s="41"/>
      <c r="BTM47" s="41"/>
      <c r="BTN47" s="41"/>
      <c r="BTO47" s="41"/>
      <c r="BTP47" s="41"/>
      <c r="BTQ47" s="139"/>
      <c r="BTR47" s="41"/>
      <c r="BTS47" s="41"/>
      <c r="BTT47" s="41"/>
      <c r="BTU47" s="41"/>
      <c r="BTV47" s="41"/>
      <c r="BTW47" s="76"/>
      <c r="BTX47" s="66"/>
      <c r="BTY47" s="66"/>
      <c r="BTZ47" s="66"/>
      <c r="BUA47" s="66"/>
      <c r="BUB47" s="41"/>
      <c r="BUC47" s="139"/>
      <c r="BUD47" s="41"/>
      <c r="BUE47" s="41"/>
      <c r="BUF47" s="41"/>
      <c r="BUG47" s="41"/>
      <c r="BUH47" s="41"/>
      <c r="BUI47" s="76"/>
      <c r="BUJ47" s="41"/>
      <c r="BUK47" s="41"/>
      <c r="BUL47" s="41"/>
      <c r="BUM47" s="41"/>
      <c r="BUN47" s="41"/>
      <c r="BUO47" s="139"/>
      <c r="BUP47" s="41"/>
      <c r="BUQ47" s="41"/>
      <c r="BUR47" s="41"/>
      <c r="BUS47" s="41"/>
      <c r="BUT47" s="41"/>
      <c r="BUU47" s="76"/>
      <c r="BUV47" s="41"/>
      <c r="BUW47" s="41"/>
      <c r="BUX47" s="41"/>
      <c r="BUY47" s="41"/>
      <c r="BUZ47" s="41"/>
      <c r="BVA47" s="42"/>
      <c r="BVB47" s="90"/>
    </row>
    <row r="48" spans="1:1926" ht="20.100000000000001" customHeight="1" x14ac:dyDescent="0.3">
      <c r="A48" s="100" t="s">
        <v>21</v>
      </c>
      <c r="B48" s="63" t="str">
        <f>IF(LEN(C81)=0,"",C81)</f>
        <v/>
      </c>
      <c r="C48" s="18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28"/>
      <c r="BOE48" s="67"/>
      <c r="BOF48" s="67"/>
      <c r="BOG48" s="67"/>
      <c r="BOH48" s="29"/>
      <c r="BOI48" s="131"/>
      <c r="BOJ48" s="29"/>
      <c r="BOK48" s="29"/>
      <c r="BOL48" s="29"/>
      <c r="BOM48" s="29"/>
      <c r="BON48" s="29"/>
      <c r="BOO48" s="136"/>
      <c r="BOP48" s="29"/>
      <c r="BOQ48" s="29"/>
      <c r="BOR48" s="29"/>
      <c r="BOS48" s="29"/>
      <c r="BOT48" s="29"/>
      <c r="BOU48" s="73"/>
      <c r="BOV48" s="29"/>
      <c r="BOW48" s="29"/>
      <c r="BOX48" s="29"/>
      <c r="BOY48" s="29"/>
      <c r="BOZ48" s="29"/>
      <c r="BPA48" s="136"/>
      <c r="BPB48" s="29"/>
      <c r="BPC48" s="29"/>
      <c r="BPD48" s="29"/>
      <c r="BPE48" s="29"/>
      <c r="BPF48" s="29"/>
      <c r="BPG48" s="73"/>
      <c r="BPH48" s="67"/>
      <c r="BPI48" s="67"/>
      <c r="BPJ48" s="67"/>
      <c r="BPK48" s="67"/>
      <c r="BPL48" s="29"/>
      <c r="BPM48" s="136"/>
      <c r="BPN48" s="29"/>
      <c r="BPO48" s="29"/>
      <c r="BPP48" s="29"/>
      <c r="BPQ48" s="29"/>
      <c r="BPR48" s="29"/>
      <c r="BPS48" s="73"/>
      <c r="BPT48" s="29"/>
      <c r="BPU48" s="29"/>
      <c r="BPV48" s="29"/>
      <c r="BPW48" s="29"/>
      <c r="BPX48" s="29"/>
      <c r="BPY48" s="136"/>
      <c r="BPZ48" s="29"/>
      <c r="BQA48" s="29"/>
      <c r="BQB48" s="29"/>
      <c r="BQC48" s="29"/>
      <c r="BQD48" s="29"/>
      <c r="BQE48" s="73"/>
      <c r="BQF48" s="29"/>
      <c r="BQG48" s="29"/>
      <c r="BQH48" s="29"/>
      <c r="BQI48" s="29"/>
      <c r="BQJ48" s="29"/>
      <c r="BQK48" s="30"/>
      <c r="BQL48" s="28"/>
      <c r="BQM48" s="67"/>
      <c r="BQN48" s="67"/>
      <c r="BQO48" s="67"/>
      <c r="BQP48" s="29"/>
      <c r="BQQ48" s="131"/>
      <c r="BQR48" s="29"/>
      <c r="BQS48" s="29"/>
      <c r="BQT48" s="29"/>
      <c r="BQU48" s="29"/>
      <c r="BQV48" s="29"/>
      <c r="BQW48" s="136"/>
      <c r="BQX48" s="29"/>
      <c r="BQY48" s="29"/>
      <c r="BQZ48" s="29"/>
      <c r="BRA48" s="29"/>
      <c r="BRB48" s="29"/>
      <c r="BRC48" s="73"/>
      <c r="BRD48" s="29"/>
      <c r="BRE48" s="29"/>
      <c r="BRF48" s="29"/>
      <c r="BRG48" s="29"/>
      <c r="BRH48" s="29"/>
      <c r="BRI48" s="136"/>
      <c r="BRJ48" s="29"/>
      <c r="BRK48" s="29"/>
      <c r="BRL48" s="29"/>
      <c r="BRM48" s="29"/>
      <c r="BRN48" s="29"/>
      <c r="BRO48" s="73"/>
      <c r="BRP48" s="67"/>
      <c r="BRQ48" s="67"/>
      <c r="BRR48" s="67"/>
      <c r="BRS48" s="67"/>
      <c r="BRT48" s="29"/>
      <c r="BRU48" s="136"/>
      <c r="BRV48" s="29"/>
      <c r="BRW48" s="29"/>
      <c r="BRX48" s="29"/>
      <c r="BRY48" s="29"/>
      <c r="BRZ48" s="29"/>
      <c r="BSA48" s="73"/>
      <c r="BSB48" s="29"/>
      <c r="BSC48" s="29"/>
      <c r="BSD48" s="29"/>
      <c r="BSE48" s="29"/>
      <c r="BSF48" s="29"/>
      <c r="BSG48" s="136"/>
      <c r="BSH48" s="29"/>
      <c r="BSI48" s="29"/>
      <c r="BSJ48" s="29"/>
      <c r="BSK48" s="29"/>
      <c r="BSL48" s="29"/>
      <c r="BSM48" s="73"/>
      <c r="BSN48" s="29"/>
      <c r="BSO48" s="29"/>
      <c r="BSP48" s="29"/>
      <c r="BSQ48" s="29"/>
      <c r="BSR48" s="29"/>
      <c r="BSS48" s="30"/>
      <c r="BST48" s="28"/>
      <c r="BSU48" s="67"/>
      <c r="BSV48" s="67"/>
      <c r="BSW48" s="67"/>
      <c r="BSX48" s="29"/>
      <c r="BSY48" s="131"/>
      <c r="BSZ48" s="29"/>
      <c r="BTA48" s="29"/>
      <c r="BTB48" s="29"/>
      <c r="BTC48" s="29"/>
      <c r="BTD48" s="29"/>
      <c r="BTE48" s="136"/>
      <c r="BTF48" s="29"/>
      <c r="BTG48" s="29"/>
      <c r="BTH48" s="29"/>
      <c r="BTI48" s="29"/>
      <c r="BTJ48" s="29"/>
      <c r="BTK48" s="73"/>
      <c r="BTL48" s="29"/>
      <c r="BTM48" s="29"/>
      <c r="BTN48" s="29"/>
      <c r="BTO48" s="29"/>
      <c r="BTP48" s="29"/>
      <c r="BTQ48" s="136"/>
      <c r="BTR48" s="29"/>
      <c r="BTS48" s="29"/>
      <c r="BTT48" s="29"/>
      <c r="BTU48" s="29"/>
      <c r="BTV48" s="29"/>
      <c r="BTW48" s="73"/>
      <c r="BTX48" s="67"/>
      <c r="BTY48" s="67"/>
      <c r="BTZ48" s="67"/>
      <c r="BUA48" s="67"/>
      <c r="BUB48" s="29"/>
      <c r="BUC48" s="136"/>
      <c r="BUD48" s="29"/>
      <c r="BUE48" s="29"/>
      <c r="BUF48" s="29"/>
      <c r="BUG48" s="29"/>
      <c r="BUH48" s="29"/>
      <c r="BUI48" s="73"/>
      <c r="BUJ48" s="29"/>
      <c r="BUK48" s="29"/>
      <c r="BUL48" s="29"/>
      <c r="BUM48" s="29"/>
      <c r="BUN48" s="29"/>
      <c r="BUO48" s="136"/>
      <c r="BUP48" s="29"/>
      <c r="BUQ48" s="29"/>
      <c r="BUR48" s="29"/>
      <c r="BUS48" s="29"/>
      <c r="BUT48" s="29"/>
      <c r="BUU48" s="73"/>
      <c r="BUV48" s="29"/>
      <c r="BUW48" s="29"/>
      <c r="BUX48" s="29"/>
      <c r="BUY48" s="29"/>
      <c r="BUZ48" s="29"/>
      <c r="BVA48" s="30"/>
      <c r="BVB48" s="90"/>
    </row>
    <row r="49" spans="1:1926" ht="20.100000000000001" customHeight="1" x14ac:dyDescent="0.25">
      <c r="A49" s="100" t="s">
        <v>20</v>
      </c>
      <c r="B49" s="63" t="str">
        <f>IF(LEN(C83)=0,"",C83)</f>
        <v/>
      </c>
      <c r="C49" s="180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32"/>
      <c r="BOE49" s="64"/>
      <c r="BOF49" s="64"/>
      <c r="BOG49" s="64"/>
      <c r="BOH49" s="33"/>
      <c r="BOI49" s="132"/>
      <c r="BOJ49" s="33"/>
      <c r="BOK49" s="33"/>
      <c r="BOL49" s="33"/>
      <c r="BOM49" s="33"/>
      <c r="BON49" s="33"/>
      <c r="BOO49" s="137"/>
      <c r="BOP49" s="33"/>
      <c r="BOQ49" s="33"/>
      <c r="BOR49" s="33"/>
      <c r="BOS49" s="33"/>
      <c r="BOT49" s="33"/>
      <c r="BOU49" s="74"/>
      <c r="BOV49" s="33"/>
      <c r="BOW49" s="33"/>
      <c r="BOX49" s="33"/>
      <c r="BOY49" s="33"/>
      <c r="BOZ49" s="33"/>
      <c r="BPA49" s="137"/>
      <c r="BPB49" s="33"/>
      <c r="BPC49" s="33"/>
      <c r="BPD49" s="33"/>
      <c r="BPE49" s="33"/>
      <c r="BPF49" s="33"/>
      <c r="BPG49" s="74"/>
      <c r="BPH49" s="64"/>
      <c r="BPI49" s="64"/>
      <c r="BPJ49" s="64"/>
      <c r="BPK49" s="64"/>
      <c r="BPL49" s="33"/>
      <c r="BPM49" s="137"/>
      <c r="BPN49" s="33"/>
      <c r="BPO49" s="33"/>
      <c r="BPP49" s="33"/>
      <c r="BPQ49" s="33"/>
      <c r="BPR49" s="33"/>
      <c r="BPS49" s="74"/>
      <c r="BPT49" s="33"/>
      <c r="BPU49" s="33"/>
      <c r="BPV49" s="33"/>
      <c r="BPW49" s="33"/>
      <c r="BPX49" s="33"/>
      <c r="BPY49" s="137"/>
      <c r="BPZ49" s="33"/>
      <c r="BQA49" s="33"/>
      <c r="BQB49" s="33"/>
      <c r="BQC49" s="33"/>
      <c r="BQD49" s="33"/>
      <c r="BQE49" s="74"/>
      <c r="BQF49" s="33"/>
      <c r="BQG49" s="33"/>
      <c r="BQH49" s="33"/>
      <c r="BQI49" s="33"/>
      <c r="BQJ49" s="33"/>
      <c r="BQK49" s="34"/>
      <c r="BQL49" s="32"/>
      <c r="BQM49" s="64"/>
      <c r="BQN49" s="64"/>
      <c r="BQO49" s="64"/>
      <c r="BQP49" s="33"/>
      <c r="BQQ49" s="132"/>
      <c r="BQR49" s="33"/>
      <c r="BQS49" s="33"/>
      <c r="BQT49" s="33"/>
      <c r="BQU49" s="33"/>
      <c r="BQV49" s="33"/>
      <c r="BQW49" s="137"/>
      <c r="BQX49" s="33"/>
      <c r="BQY49" s="33"/>
      <c r="BQZ49" s="33"/>
      <c r="BRA49" s="33"/>
      <c r="BRB49" s="33"/>
      <c r="BRC49" s="74"/>
      <c r="BRD49" s="33"/>
      <c r="BRE49" s="33"/>
      <c r="BRF49" s="33"/>
      <c r="BRG49" s="33"/>
      <c r="BRH49" s="33"/>
      <c r="BRI49" s="137"/>
      <c r="BRJ49" s="33"/>
      <c r="BRK49" s="33"/>
      <c r="BRL49" s="33"/>
      <c r="BRM49" s="33"/>
      <c r="BRN49" s="33"/>
      <c r="BRO49" s="74"/>
      <c r="BRP49" s="64"/>
      <c r="BRQ49" s="64"/>
      <c r="BRR49" s="64"/>
      <c r="BRS49" s="64"/>
      <c r="BRT49" s="33"/>
      <c r="BRU49" s="137"/>
      <c r="BRV49" s="33"/>
      <c r="BRW49" s="33"/>
      <c r="BRX49" s="33"/>
      <c r="BRY49" s="33"/>
      <c r="BRZ49" s="33"/>
      <c r="BSA49" s="74"/>
      <c r="BSB49" s="33"/>
      <c r="BSC49" s="33"/>
      <c r="BSD49" s="33"/>
      <c r="BSE49" s="33"/>
      <c r="BSF49" s="33"/>
      <c r="BSG49" s="137"/>
      <c r="BSH49" s="33"/>
      <c r="BSI49" s="33"/>
      <c r="BSJ49" s="33"/>
      <c r="BSK49" s="33"/>
      <c r="BSL49" s="33"/>
      <c r="BSM49" s="74"/>
      <c r="BSN49" s="33"/>
      <c r="BSO49" s="33"/>
      <c r="BSP49" s="33"/>
      <c r="BSQ49" s="33"/>
      <c r="BSR49" s="33"/>
      <c r="BSS49" s="34"/>
      <c r="BST49" s="32"/>
      <c r="BSU49" s="64"/>
      <c r="BSV49" s="64"/>
      <c r="BSW49" s="64"/>
      <c r="BSX49" s="33"/>
      <c r="BSY49" s="132"/>
      <c r="BSZ49" s="33"/>
      <c r="BTA49" s="33"/>
      <c r="BTB49" s="33"/>
      <c r="BTC49" s="33"/>
      <c r="BTD49" s="33"/>
      <c r="BTE49" s="137"/>
      <c r="BTF49" s="33"/>
      <c r="BTG49" s="33"/>
      <c r="BTH49" s="33"/>
      <c r="BTI49" s="33"/>
      <c r="BTJ49" s="33"/>
      <c r="BTK49" s="74"/>
      <c r="BTL49" s="33"/>
      <c r="BTM49" s="33"/>
      <c r="BTN49" s="33"/>
      <c r="BTO49" s="33"/>
      <c r="BTP49" s="33"/>
      <c r="BTQ49" s="137"/>
      <c r="BTR49" s="33"/>
      <c r="BTS49" s="33"/>
      <c r="BTT49" s="33"/>
      <c r="BTU49" s="33"/>
      <c r="BTV49" s="33"/>
      <c r="BTW49" s="74"/>
      <c r="BTX49" s="64"/>
      <c r="BTY49" s="64"/>
      <c r="BTZ49" s="64"/>
      <c r="BUA49" s="64"/>
      <c r="BUB49" s="33"/>
      <c r="BUC49" s="137"/>
      <c r="BUD49" s="33"/>
      <c r="BUE49" s="33"/>
      <c r="BUF49" s="33"/>
      <c r="BUG49" s="33"/>
      <c r="BUH49" s="33"/>
      <c r="BUI49" s="74"/>
      <c r="BUJ49" s="33"/>
      <c r="BUK49" s="33"/>
      <c r="BUL49" s="33"/>
      <c r="BUM49" s="33"/>
      <c r="BUN49" s="33"/>
      <c r="BUO49" s="137"/>
      <c r="BUP49" s="33"/>
      <c r="BUQ49" s="33"/>
      <c r="BUR49" s="33"/>
      <c r="BUS49" s="33"/>
      <c r="BUT49" s="33"/>
      <c r="BUU49" s="74"/>
      <c r="BUV49" s="33"/>
      <c r="BUW49" s="33"/>
      <c r="BUX49" s="33"/>
      <c r="BUY49" s="33"/>
      <c r="BUZ49" s="33"/>
      <c r="BVA49" s="34"/>
      <c r="BVB49" s="90"/>
    </row>
    <row r="50" spans="1:1926" ht="20.100000000000001" customHeight="1" x14ac:dyDescent="0.3">
      <c r="A50" s="100" t="s">
        <v>21</v>
      </c>
      <c r="B50" s="63" t="str">
        <f>IF(LEN(C85)=0,"",C85)</f>
        <v/>
      </c>
      <c r="C50" s="181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36"/>
      <c r="BOE50" s="65"/>
      <c r="BOF50" s="65"/>
      <c r="BOG50" s="65"/>
      <c r="BOH50" s="37"/>
      <c r="BOI50" s="133"/>
      <c r="BOJ50" s="37"/>
      <c r="BOK50" s="37"/>
      <c r="BOL50" s="37"/>
      <c r="BOM50" s="37"/>
      <c r="BON50" s="37"/>
      <c r="BOO50" s="138"/>
      <c r="BOP50" s="37"/>
      <c r="BOQ50" s="37"/>
      <c r="BOR50" s="37"/>
      <c r="BOS50" s="37"/>
      <c r="BOT50" s="37"/>
      <c r="BOU50" s="75"/>
      <c r="BOV50" s="37"/>
      <c r="BOW50" s="37"/>
      <c r="BOX50" s="37"/>
      <c r="BOY50" s="37"/>
      <c r="BOZ50" s="37"/>
      <c r="BPA50" s="138"/>
      <c r="BPB50" s="37"/>
      <c r="BPC50" s="37"/>
      <c r="BPD50" s="37"/>
      <c r="BPE50" s="37"/>
      <c r="BPF50" s="37"/>
      <c r="BPG50" s="75"/>
      <c r="BPH50" s="65"/>
      <c r="BPI50" s="65"/>
      <c r="BPJ50" s="65"/>
      <c r="BPK50" s="65"/>
      <c r="BPL50" s="37"/>
      <c r="BPM50" s="138"/>
      <c r="BPN50" s="37"/>
      <c r="BPO50" s="37"/>
      <c r="BPP50" s="37"/>
      <c r="BPQ50" s="37"/>
      <c r="BPR50" s="37"/>
      <c r="BPS50" s="75"/>
      <c r="BPT50" s="37"/>
      <c r="BPU50" s="37"/>
      <c r="BPV50" s="37"/>
      <c r="BPW50" s="37"/>
      <c r="BPX50" s="37"/>
      <c r="BPY50" s="138"/>
      <c r="BPZ50" s="37"/>
      <c r="BQA50" s="37"/>
      <c r="BQB50" s="37"/>
      <c r="BQC50" s="37"/>
      <c r="BQD50" s="37"/>
      <c r="BQE50" s="75"/>
      <c r="BQF50" s="37"/>
      <c r="BQG50" s="37"/>
      <c r="BQH50" s="37"/>
      <c r="BQI50" s="37"/>
      <c r="BQJ50" s="37"/>
      <c r="BQK50" s="38"/>
      <c r="BQL50" s="36"/>
      <c r="BQM50" s="65"/>
      <c r="BQN50" s="65"/>
      <c r="BQO50" s="65"/>
      <c r="BQP50" s="37"/>
      <c r="BQQ50" s="133"/>
      <c r="BQR50" s="37"/>
      <c r="BQS50" s="37"/>
      <c r="BQT50" s="37"/>
      <c r="BQU50" s="37"/>
      <c r="BQV50" s="37"/>
      <c r="BQW50" s="138"/>
      <c r="BQX50" s="37"/>
      <c r="BQY50" s="37"/>
      <c r="BQZ50" s="37"/>
      <c r="BRA50" s="37"/>
      <c r="BRB50" s="37"/>
      <c r="BRC50" s="75"/>
      <c r="BRD50" s="37"/>
      <c r="BRE50" s="37"/>
      <c r="BRF50" s="37"/>
      <c r="BRG50" s="37"/>
      <c r="BRH50" s="37"/>
      <c r="BRI50" s="138"/>
      <c r="BRJ50" s="37"/>
      <c r="BRK50" s="37"/>
      <c r="BRL50" s="37"/>
      <c r="BRM50" s="37"/>
      <c r="BRN50" s="37"/>
      <c r="BRO50" s="75"/>
      <c r="BRP50" s="65"/>
      <c r="BRQ50" s="65"/>
      <c r="BRR50" s="65"/>
      <c r="BRS50" s="65"/>
      <c r="BRT50" s="37"/>
      <c r="BRU50" s="138"/>
      <c r="BRV50" s="37"/>
      <c r="BRW50" s="37"/>
      <c r="BRX50" s="37"/>
      <c r="BRY50" s="37"/>
      <c r="BRZ50" s="37"/>
      <c r="BSA50" s="75"/>
      <c r="BSB50" s="37"/>
      <c r="BSC50" s="37"/>
      <c r="BSD50" s="37"/>
      <c r="BSE50" s="37"/>
      <c r="BSF50" s="37"/>
      <c r="BSG50" s="138"/>
      <c r="BSH50" s="37"/>
      <c r="BSI50" s="37"/>
      <c r="BSJ50" s="37"/>
      <c r="BSK50" s="37"/>
      <c r="BSL50" s="37"/>
      <c r="BSM50" s="75"/>
      <c r="BSN50" s="37"/>
      <c r="BSO50" s="37"/>
      <c r="BSP50" s="37"/>
      <c r="BSQ50" s="37"/>
      <c r="BSR50" s="37"/>
      <c r="BSS50" s="38"/>
      <c r="BST50" s="36"/>
      <c r="BSU50" s="65"/>
      <c r="BSV50" s="65"/>
      <c r="BSW50" s="65"/>
      <c r="BSX50" s="37"/>
      <c r="BSY50" s="133"/>
      <c r="BSZ50" s="37"/>
      <c r="BTA50" s="37"/>
      <c r="BTB50" s="37"/>
      <c r="BTC50" s="37"/>
      <c r="BTD50" s="37"/>
      <c r="BTE50" s="138"/>
      <c r="BTF50" s="37"/>
      <c r="BTG50" s="37"/>
      <c r="BTH50" s="37"/>
      <c r="BTI50" s="37"/>
      <c r="BTJ50" s="37"/>
      <c r="BTK50" s="75"/>
      <c r="BTL50" s="37"/>
      <c r="BTM50" s="37"/>
      <c r="BTN50" s="37"/>
      <c r="BTO50" s="37"/>
      <c r="BTP50" s="37"/>
      <c r="BTQ50" s="138"/>
      <c r="BTR50" s="37"/>
      <c r="BTS50" s="37"/>
      <c r="BTT50" s="37"/>
      <c r="BTU50" s="37"/>
      <c r="BTV50" s="37"/>
      <c r="BTW50" s="75"/>
      <c r="BTX50" s="65"/>
      <c r="BTY50" s="65"/>
      <c r="BTZ50" s="65"/>
      <c r="BUA50" s="65"/>
      <c r="BUB50" s="37"/>
      <c r="BUC50" s="138"/>
      <c r="BUD50" s="37"/>
      <c r="BUE50" s="37"/>
      <c r="BUF50" s="37"/>
      <c r="BUG50" s="37"/>
      <c r="BUH50" s="37"/>
      <c r="BUI50" s="75"/>
      <c r="BUJ50" s="37"/>
      <c r="BUK50" s="37"/>
      <c r="BUL50" s="37"/>
      <c r="BUM50" s="37"/>
      <c r="BUN50" s="37"/>
      <c r="BUO50" s="138"/>
      <c r="BUP50" s="37"/>
      <c r="BUQ50" s="37"/>
      <c r="BUR50" s="37"/>
      <c r="BUS50" s="37"/>
      <c r="BUT50" s="37"/>
      <c r="BUU50" s="75"/>
      <c r="BUV50" s="37"/>
      <c r="BUW50" s="37"/>
      <c r="BUX50" s="37"/>
      <c r="BUY50" s="37"/>
      <c r="BUZ50" s="37"/>
      <c r="BVA50" s="38"/>
      <c r="BVB50" s="90"/>
    </row>
    <row r="51" spans="1:1926" ht="20.100000000000001" customHeight="1" x14ac:dyDescent="0.25">
      <c r="A51" s="100" t="s">
        <v>20</v>
      </c>
      <c r="B51" s="63" t="str">
        <f>IF(LEN(C87)=0,"",C87)</f>
        <v/>
      </c>
      <c r="C51" s="180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40"/>
      <c r="BOE51" s="66"/>
      <c r="BOF51" s="66"/>
      <c r="BOG51" s="66"/>
      <c r="BOH51" s="41"/>
      <c r="BOI51" s="134"/>
      <c r="BOJ51" s="41"/>
      <c r="BOK51" s="41"/>
      <c r="BOL51" s="41"/>
      <c r="BOM51" s="41"/>
      <c r="BON51" s="41"/>
      <c r="BOO51" s="139"/>
      <c r="BOP51" s="41"/>
      <c r="BOQ51" s="41"/>
      <c r="BOR51" s="41"/>
      <c r="BOS51" s="41"/>
      <c r="BOT51" s="41"/>
      <c r="BOU51" s="76"/>
      <c r="BOV51" s="41"/>
      <c r="BOW51" s="41"/>
      <c r="BOX51" s="41"/>
      <c r="BOY51" s="41"/>
      <c r="BOZ51" s="41"/>
      <c r="BPA51" s="139"/>
      <c r="BPB51" s="41"/>
      <c r="BPC51" s="41"/>
      <c r="BPD51" s="41"/>
      <c r="BPE51" s="41"/>
      <c r="BPF51" s="41"/>
      <c r="BPG51" s="76"/>
      <c r="BPH51" s="66"/>
      <c r="BPI51" s="66"/>
      <c r="BPJ51" s="66"/>
      <c r="BPK51" s="66"/>
      <c r="BPL51" s="41"/>
      <c r="BPM51" s="139"/>
      <c r="BPN51" s="41"/>
      <c r="BPO51" s="41"/>
      <c r="BPP51" s="41"/>
      <c r="BPQ51" s="41"/>
      <c r="BPR51" s="41"/>
      <c r="BPS51" s="76"/>
      <c r="BPT51" s="41"/>
      <c r="BPU51" s="41"/>
      <c r="BPV51" s="41"/>
      <c r="BPW51" s="41"/>
      <c r="BPX51" s="41"/>
      <c r="BPY51" s="139"/>
      <c r="BPZ51" s="41"/>
      <c r="BQA51" s="41"/>
      <c r="BQB51" s="41"/>
      <c r="BQC51" s="41"/>
      <c r="BQD51" s="41"/>
      <c r="BQE51" s="76"/>
      <c r="BQF51" s="41"/>
      <c r="BQG51" s="41"/>
      <c r="BQH51" s="41"/>
      <c r="BQI51" s="41"/>
      <c r="BQJ51" s="41"/>
      <c r="BQK51" s="42"/>
      <c r="BQL51" s="40"/>
      <c r="BQM51" s="66"/>
      <c r="BQN51" s="66"/>
      <c r="BQO51" s="66"/>
      <c r="BQP51" s="41"/>
      <c r="BQQ51" s="134"/>
      <c r="BQR51" s="41"/>
      <c r="BQS51" s="41"/>
      <c r="BQT51" s="41"/>
      <c r="BQU51" s="41"/>
      <c r="BQV51" s="41"/>
      <c r="BQW51" s="139"/>
      <c r="BQX51" s="41"/>
      <c r="BQY51" s="41"/>
      <c r="BQZ51" s="41"/>
      <c r="BRA51" s="41"/>
      <c r="BRB51" s="41"/>
      <c r="BRC51" s="76"/>
      <c r="BRD51" s="41"/>
      <c r="BRE51" s="41"/>
      <c r="BRF51" s="41"/>
      <c r="BRG51" s="41"/>
      <c r="BRH51" s="41"/>
      <c r="BRI51" s="139"/>
      <c r="BRJ51" s="41"/>
      <c r="BRK51" s="41"/>
      <c r="BRL51" s="41"/>
      <c r="BRM51" s="41"/>
      <c r="BRN51" s="41"/>
      <c r="BRO51" s="76"/>
      <c r="BRP51" s="66"/>
      <c r="BRQ51" s="66"/>
      <c r="BRR51" s="66"/>
      <c r="BRS51" s="66"/>
      <c r="BRT51" s="41"/>
      <c r="BRU51" s="139"/>
      <c r="BRV51" s="41"/>
      <c r="BRW51" s="41"/>
      <c r="BRX51" s="41"/>
      <c r="BRY51" s="41"/>
      <c r="BRZ51" s="41"/>
      <c r="BSA51" s="76"/>
      <c r="BSB51" s="41"/>
      <c r="BSC51" s="41"/>
      <c r="BSD51" s="41"/>
      <c r="BSE51" s="41"/>
      <c r="BSF51" s="41"/>
      <c r="BSG51" s="139"/>
      <c r="BSH51" s="41"/>
      <c r="BSI51" s="41"/>
      <c r="BSJ51" s="41"/>
      <c r="BSK51" s="41"/>
      <c r="BSL51" s="41"/>
      <c r="BSM51" s="76"/>
      <c r="BSN51" s="41"/>
      <c r="BSO51" s="41"/>
      <c r="BSP51" s="41"/>
      <c r="BSQ51" s="41"/>
      <c r="BSR51" s="41"/>
      <c r="BSS51" s="42"/>
      <c r="BST51" s="40"/>
      <c r="BSU51" s="66"/>
      <c r="BSV51" s="66"/>
      <c r="BSW51" s="66"/>
      <c r="BSX51" s="41"/>
      <c r="BSY51" s="134"/>
      <c r="BSZ51" s="41"/>
      <c r="BTA51" s="41"/>
      <c r="BTB51" s="41"/>
      <c r="BTC51" s="41"/>
      <c r="BTD51" s="41"/>
      <c r="BTE51" s="139"/>
      <c r="BTF51" s="41"/>
      <c r="BTG51" s="41"/>
      <c r="BTH51" s="41"/>
      <c r="BTI51" s="41"/>
      <c r="BTJ51" s="41"/>
      <c r="BTK51" s="76"/>
      <c r="BTL51" s="41"/>
      <c r="BTM51" s="41"/>
      <c r="BTN51" s="41"/>
      <c r="BTO51" s="41"/>
      <c r="BTP51" s="41"/>
      <c r="BTQ51" s="139"/>
      <c r="BTR51" s="41"/>
      <c r="BTS51" s="41"/>
      <c r="BTT51" s="41"/>
      <c r="BTU51" s="41"/>
      <c r="BTV51" s="41"/>
      <c r="BTW51" s="76"/>
      <c r="BTX51" s="66"/>
      <c r="BTY51" s="66"/>
      <c r="BTZ51" s="66"/>
      <c r="BUA51" s="66"/>
      <c r="BUB51" s="41"/>
      <c r="BUC51" s="139"/>
      <c r="BUD51" s="41"/>
      <c r="BUE51" s="41"/>
      <c r="BUF51" s="41"/>
      <c r="BUG51" s="41"/>
      <c r="BUH51" s="41"/>
      <c r="BUI51" s="76"/>
      <c r="BUJ51" s="41"/>
      <c r="BUK51" s="41"/>
      <c r="BUL51" s="41"/>
      <c r="BUM51" s="41"/>
      <c r="BUN51" s="41"/>
      <c r="BUO51" s="139"/>
      <c r="BUP51" s="41"/>
      <c r="BUQ51" s="41"/>
      <c r="BUR51" s="41"/>
      <c r="BUS51" s="41"/>
      <c r="BUT51" s="41"/>
      <c r="BUU51" s="76"/>
      <c r="BUV51" s="41"/>
      <c r="BUW51" s="41"/>
      <c r="BUX51" s="41"/>
      <c r="BUY51" s="41"/>
      <c r="BUZ51" s="41"/>
      <c r="BVA51" s="42"/>
      <c r="BVB51" s="90"/>
    </row>
    <row r="52" spans="1:1926" ht="20.100000000000001" customHeight="1" x14ac:dyDescent="0.25">
      <c r="A52" s="100" t="s">
        <v>21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28"/>
      <c r="BOE52" s="67"/>
      <c r="BOF52" s="67"/>
      <c r="BOG52" s="67"/>
      <c r="BOH52" s="29"/>
      <c r="BOI52" s="131"/>
      <c r="BOJ52" s="29"/>
      <c r="BOK52" s="29"/>
      <c r="BOL52" s="29"/>
      <c r="BOM52" s="29"/>
      <c r="BON52" s="29"/>
      <c r="BOO52" s="136"/>
      <c r="BOP52" s="29"/>
      <c r="BOQ52" s="29"/>
      <c r="BOR52" s="29"/>
      <c r="BOS52" s="29"/>
      <c r="BOT52" s="29"/>
      <c r="BOU52" s="75"/>
      <c r="BOV52" s="29"/>
      <c r="BOW52" s="29"/>
      <c r="BOX52" s="29"/>
      <c r="BOY52" s="29"/>
      <c r="BOZ52" s="29"/>
      <c r="BPA52" s="136"/>
      <c r="BPB52" s="29"/>
      <c r="BPC52" s="29"/>
      <c r="BPD52" s="29"/>
      <c r="BPE52" s="29"/>
      <c r="BPF52" s="29"/>
      <c r="BPG52" s="75"/>
      <c r="BPH52" s="67"/>
      <c r="BPI52" s="67"/>
      <c r="BPJ52" s="67"/>
      <c r="BPK52" s="67"/>
      <c r="BPL52" s="29"/>
      <c r="BPM52" s="136"/>
      <c r="BPN52" s="29"/>
      <c r="BPO52" s="29"/>
      <c r="BPP52" s="29"/>
      <c r="BPQ52" s="29"/>
      <c r="BPR52" s="37"/>
      <c r="BPS52" s="75"/>
      <c r="BPT52" s="29"/>
      <c r="BPU52" s="29"/>
      <c r="BPV52" s="29"/>
      <c r="BPW52" s="29"/>
      <c r="BPX52" s="29"/>
      <c r="BPY52" s="136"/>
      <c r="BPZ52" s="29"/>
      <c r="BQA52" s="29"/>
      <c r="BQB52" s="29"/>
      <c r="BQC52" s="29"/>
      <c r="BQD52" s="29"/>
      <c r="BQE52" s="75"/>
      <c r="BQF52" s="29"/>
      <c r="BQG52" s="29"/>
      <c r="BQH52" s="29"/>
      <c r="BQI52" s="29"/>
      <c r="BQJ52" s="29"/>
      <c r="BQK52" s="30"/>
      <c r="BQL52" s="28"/>
      <c r="BQM52" s="67"/>
      <c r="BQN52" s="67"/>
      <c r="BQO52" s="67"/>
      <c r="BQP52" s="29"/>
      <c r="BQQ52" s="131"/>
      <c r="BQR52" s="29"/>
      <c r="BQS52" s="29"/>
      <c r="BQT52" s="29"/>
      <c r="BQU52" s="29"/>
      <c r="BQV52" s="29"/>
      <c r="BQW52" s="136"/>
      <c r="BQX52" s="29"/>
      <c r="BQY52" s="29"/>
      <c r="BQZ52" s="29"/>
      <c r="BRA52" s="29"/>
      <c r="BRB52" s="29"/>
      <c r="BRC52" s="75"/>
      <c r="BRD52" s="29"/>
      <c r="BRE52" s="29"/>
      <c r="BRF52" s="29"/>
      <c r="BRG52" s="29"/>
      <c r="BRH52" s="29"/>
      <c r="BRI52" s="136"/>
      <c r="BRJ52" s="29"/>
      <c r="BRK52" s="29"/>
      <c r="BRL52" s="29"/>
      <c r="BRM52" s="29"/>
      <c r="BRN52" s="29"/>
      <c r="BRO52" s="75"/>
      <c r="BRP52" s="67"/>
      <c r="BRQ52" s="67"/>
      <c r="BRR52" s="67"/>
      <c r="BRS52" s="67"/>
      <c r="BRT52" s="29"/>
      <c r="BRU52" s="136"/>
      <c r="BRV52" s="29"/>
      <c r="BRW52" s="29"/>
      <c r="BRX52" s="29"/>
      <c r="BRY52" s="29"/>
      <c r="BRZ52" s="37"/>
      <c r="BSA52" s="75"/>
      <c r="BSB52" s="29"/>
      <c r="BSC52" s="29"/>
      <c r="BSD52" s="29"/>
      <c r="BSE52" s="29"/>
      <c r="BSF52" s="29"/>
      <c r="BSG52" s="136"/>
      <c r="BSH52" s="29"/>
      <c r="BSI52" s="29"/>
      <c r="BSJ52" s="29"/>
      <c r="BSK52" s="29"/>
      <c r="BSL52" s="29"/>
      <c r="BSM52" s="75"/>
      <c r="BSN52" s="29"/>
      <c r="BSO52" s="29"/>
      <c r="BSP52" s="29"/>
      <c r="BSQ52" s="29"/>
      <c r="BSR52" s="29"/>
      <c r="BSS52" s="30"/>
      <c r="BST52" s="28"/>
      <c r="BSU52" s="67"/>
      <c r="BSV52" s="67"/>
      <c r="BSW52" s="67"/>
      <c r="BSX52" s="29"/>
      <c r="BSY52" s="131"/>
      <c r="BSZ52" s="29"/>
      <c r="BTA52" s="29"/>
      <c r="BTB52" s="29"/>
      <c r="BTC52" s="29"/>
      <c r="BTD52" s="29"/>
      <c r="BTE52" s="136"/>
      <c r="BTF52" s="29"/>
      <c r="BTG52" s="29"/>
      <c r="BTH52" s="29"/>
      <c r="BTI52" s="29"/>
      <c r="BTJ52" s="29"/>
      <c r="BTK52" s="75"/>
      <c r="BTL52" s="29"/>
      <c r="BTM52" s="29"/>
      <c r="BTN52" s="29"/>
      <c r="BTO52" s="29"/>
      <c r="BTP52" s="29"/>
      <c r="BTQ52" s="136"/>
      <c r="BTR52" s="29"/>
      <c r="BTS52" s="29"/>
      <c r="BTT52" s="29"/>
      <c r="BTU52" s="29"/>
      <c r="BTV52" s="29"/>
      <c r="BTW52" s="75"/>
      <c r="BTX52" s="67"/>
      <c r="BTY52" s="67"/>
      <c r="BTZ52" s="67"/>
      <c r="BUA52" s="67"/>
      <c r="BUB52" s="29"/>
      <c r="BUC52" s="136"/>
      <c r="BUD52" s="29"/>
      <c r="BUE52" s="29"/>
      <c r="BUF52" s="29"/>
      <c r="BUG52" s="29"/>
      <c r="BUH52" s="37"/>
      <c r="BUI52" s="75"/>
      <c r="BUJ52" s="29"/>
      <c r="BUK52" s="29"/>
      <c r="BUL52" s="29"/>
      <c r="BUM52" s="29"/>
      <c r="BUN52" s="29"/>
      <c r="BUO52" s="136"/>
      <c r="BUP52" s="29"/>
      <c r="BUQ52" s="29"/>
      <c r="BUR52" s="29"/>
      <c r="BUS52" s="29"/>
      <c r="BUT52" s="29"/>
      <c r="BUU52" s="75"/>
      <c r="BUV52" s="29"/>
      <c r="BUW52" s="29"/>
      <c r="BUX52" s="29"/>
      <c r="BUY52" s="29"/>
      <c r="BUZ52" s="29"/>
      <c r="BVA52" s="30"/>
      <c r="BVB52" s="90"/>
    </row>
    <row r="53" spans="1:1926" ht="20.100000000000001" customHeight="1" x14ac:dyDescent="0.25">
      <c r="A53" s="100" t="s">
        <v>20</v>
      </c>
      <c r="B53" s="63" t="str">
        <f>IF(LEN(C91)=0,"",C91)</f>
        <v/>
      </c>
      <c r="C53" s="180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32"/>
      <c r="BOE53" s="64"/>
      <c r="BOF53" s="64"/>
      <c r="BOG53" s="64"/>
      <c r="BOH53" s="33"/>
      <c r="BOI53" s="132"/>
      <c r="BOJ53" s="33"/>
      <c r="BOK53" s="33"/>
      <c r="BOL53" s="33"/>
      <c r="BOM53" s="33"/>
      <c r="BON53" s="33"/>
      <c r="BOO53" s="137"/>
      <c r="BOP53" s="33"/>
      <c r="BOQ53" s="33"/>
      <c r="BOR53" s="33"/>
      <c r="BOS53" s="33"/>
      <c r="BOT53" s="33"/>
      <c r="BOU53" s="74"/>
      <c r="BOV53" s="33"/>
      <c r="BOW53" s="33"/>
      <c r="BOX53" s="33"/>
      <c r="BOY53" s="33"/>
      <c r="BOZ53" s="33"/>
      <c r="BPA53" s="137"/>
      <c r="BPB53" s="33"/>
      <c r="BPC53" s="33"/>
      <c r="BPD53" s="33"/>
      <c r="BPE53" s="33"/>
      <c r="BPF53" s="33"/>
      <c r="BPG53" s="74"/>
      <c r="BPH53" s="64"/>
      <c r="BPI53" s="64"/>
      <c r="BPJ53" s="64"/>
      <c r="BPK53" s="64"/>
      <c r="BPL53" s="33"/>
      <c r="BPM53" s="137"/>
      <c r="BPN53" s="33"/>
      <c r="BPO53" s="33"/>
      <c r="BPP53" s="33"/>
      <c r="BPQ53" s="33"/>
      <c r="BPR53" s="33"/>
      <c r="BPS53" s="74"/>
      <c r="BPT53" s="33"/>
      <c r="BPU53" s="33"/>
      <c r="BPV53" s="33"/>
      <c r="BPW53" s="33"/>
      <c r="BPX53" s="33"/>
      <c r="BPY53" s="137"/>
      <c r="BPZ53" s="33"/>
      <c r="BQA53" s="33"/>
      <c r="BQB53" s="33"/>
      <c r="BQC53" s="33"/>
      <c r="BQD53" s="33"/>
      <c r="BQE53" s="74"/>
      <c r="BQF53" s="33"/>
      <c r="BQG53" s="33"/>
      <c r="BQH53" s="33"/>
      <c r="BQI53" s="33"/>
      <c r="BQJ53" s="33"/>
      <c r="BQK53" s="34"/>
      <c r="BQL53" s="32"/>
      <c r="BQM53" s="64"/>
      <c r="BQN53" s="64"/>
      <c r="BQO53" s="64"/>
      <c r="BQP53" s="33"/>
      <c r="BQQ53" s="132"/>
      <c r="BQR53" s="33"/>
      <c r="BQS53" s="33"/>
      <c r="BQT53" s="33"/>
      <c r="BQU53" s="33"/>
      <c r="BQV53" s="33"/>
      <c r="BQW53" s="137"/>
      <c r="BQX53" s="33"/>
      <c r="BQY53" s="33"/>
      <c r="BQZ53" s="33"/>
      <c r="BRA53" s="33"/>
      <c r="BRB53" s="33"/>
      <c r="BRC53" s="74"/>
      <c r="BRD53" s="33"/>
      <c r="BRE53" s="33"/>
      <c r="BRF53" s="33"/>
      <c r="BRG53" s="33"/>
      <c r="BRH53" s="33"/>
      <c r="BRI53" s="137"/>
      <c r="BRJ53" s="33"/>
      <c r="BRK53" s="33"/>
      <c r="BRL53" s="33"/>
      <c r="BRM53" s="33"/>
      <c r="BRN53" s="33"/>
      <c r="BRO53" s="74"/>
      <c r="BRP53" s="64"/>
      <c r="BRQ53" s="64"/>
      <c r="BRR53" s="64"/>
      <c r="BRS53" s="64"/>
      <c r="BRT53" s="33"/>
      <c r="BRU53" s="137"/>
      <c r="BRV53" s="33"/>
      <c r="BRW53" s="33"/>
      <c r="BRX53" s="33"/>
      <c r="BRY53" s="33"/>
      <c r="BRZ53" s="33"/>
      <c r="BSA53" s="74"/>
      <c r="BSB53" s="33"/>
      <c r="BSC53" s="33"/>
      <c r="BSD53" s="33"/>
      <c r="BSE53" s="33"/>
      <c r="BSF53" s="33"/>
      <c r="BSG53" s="137"/>
      <c r="BSH53" s="33"/>
      <c r="BSI53" s="33"/>
      <c r="BSJ53" s="33"/>
      <c r="BSK53" s="33"/>
      <c r="BSL53" s="33"/>
      <c r="BSM53" s="74"/>
      <c r="BSN53" s="33"/>
      <c r="BSO53" s="33"/>
      <c r="BSP53" s="33"/>
      <c r="BSQ53" s="33"/>
      <c r="BSR53" s="33"/>
      <c r="BSS53" s="34"/>
      <c r="BST53" s="32"/>
      <c r="BSU53" s="64"/>
      <c r="BSV53" s="64"/>
      <c r="BSW53" s="64"/>
      <c r="BSX53" s="33"/>
      <c r="BSY53" s="132"/>
      <c r="BSZ53" s="33"/>
      <c r="BTA53" s="33"/>
      <c r="BTB53" s="33"/>
      <c r="BTC53" s="33"/>
      <c r="BTD53" s="33"/>
      <c r="BTE53" s="137"/>
      <c r="BTF53" s="33"/>
      <c r="BTG53" s="33"/>
      <c r="BTH53" s="33"/>
      <c r="BTI53" s="33"/>
      <c r="BTJ53" s="33"/>
      <c r="BTK53" s="74"/>
      <c r="BTL53" s="33"/>
      <c r="BTM53" s="33"/>
      <c r="BTN53" s="33"/>
      <c r="BTO53" s="33"/>
      <c r="BTP53" s="33"/>
      <c r="BTQ53" s="137"/>
      <c r="BTR53" s="33"/>
      <c r="BTS53" s="33"/>
      <c r="BTT53" s="33"/>
      <c r="BTU53" s="33"/>
      <c r="BTV53" s="33"/>
      <c r="BTW53" s="74"/>
      <c r="BTX53" s="64"/>
      <c r="BTY53" s="64"/>
      <c r="BTZ53" s="64"/>
      <c r="BUA53" s="64"/>
      <c r="BUB53" s="33"/>
      <c r="BUC53" s="137"/>
      <c r="BUD53" s="33"/>
      <c r="BUE53" s="33"/>
      <c r="BUF53" s="33"/>
      <c r="BUG53" s="33"/>
      <c r="BUH53" s="33"/>
      <c r="BUI53" s="74"/>
      <c r="BUJ53" s="33"/>
      <c r="BUK53" s="33"/>
      <c r="BUL53" s="33"/>
      <c r="BUM53" s="33"/>
      <c r="BUN53" s="33"/>
      <c r="BUO53" s="137"/>
      <c r="BUP53" s="33"/>
      <c r="BUQ53" s="33"/>
      <c r="BUR53" s="33"/>
      <c r="BUS53" s="33"/>
      <c r="BUT53" s="33"/>
      <c r="BUU53" s="74"/>
      <c r="BUV53" s="33"/>
      <c r="BUW53" s="33"/>
      <c r="BUX53" s="33"/>
      <c r="BUY53" s="33"/>
      <c r="BUZ53" s="33"/>
      <c r="BVA53" s="34"/>
      <c r="BVB53" s="90"/>
    </row>
    <row r="54" spans="1:1926" ht="20.100000000000001" customHeight="1" x14ac:dyDescent="0.3">
      <c r="A54" s="100" t="s">
        <v>21</v>
      </c>
      <c r="B54" s="63" t="str">
        <f>IF(LEN(C93)=0,"",C93)</f>
        <v/>
      </c>
      <c r="C54" s="181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36"/>
      <c r="BOE54" s="65"/>
      <c r="BOF54" s="65"/>
      <c r="BOG54" s="65"/>
      <c r="BOH54" s="37"/>
      <c r="BOI54" s="133"/>
      <c r="BOJ54" s="37"/>
      <c r="BOK54" s="37"/>
      <c r="BOL54" s="37"/>
      <c r="BOM54" s="37"/>
      <c r="BON54" s="37"/>
      <c r="BOO54" s="138"/>
      <c r="BOP54" s="37"/>
      <c r="BOQ54" s="37"/>
      <c r="BOR54" s="37"/>
      <c r="BOS54" s="37"/>
      <c r="BOT54" s="37"/>
      <c r="BOU54" s="75"/>
      <c r="BOV54" s="37"/>
      <c r="BOW54" s="37"/>
      <c r="BOX54" s="37"/>
      <c r="BOY54" s="37"/>
      <c r="BOZ54" s="37"/>
      <c r="BPA54" s="138"/>
      <c r="BPB54" s="37"/>
      <c r="BPC54" s="37"/>
      <c r="BPD54" s="37"/>
      <c r="BPE54" s="37"/>
      <c r="BPF54" s="37"/>
      <c r="BPG54" s="75"/>
      <c r="BPH54" s="65"/>
      <c r="BPI54" s="65"/>
      <c r="BPJ54" s="65"/>
      <c r="BPK54" s="65"/>
      <c r="BPL54" s="37"/>
      <c r="BPM54" s="138"/>
      <c r="BPN54" s="37"/>
      <c r="BPO54" s="37"/>
      <c r="BPP54" s="37"/>
      <c r="BPQ54" s="37"/>
      <c r="BPR54" s="37"/>
      <c r="BPS54" s="75"/>
      <c r="BPT54" s="37"/>
      <c r="BPU54" s="37"/>
      <c r="BPV54" s="37"/>
      <c r="BPW54" s="37"/>
      <c r="BPX54" s="37"/>
      <c r="BPY54" s="138"/>
      <c r="BPZ54" s="37"/>
      <c r="BQA54" s="37"/>
      <c r="BQB54" s="37"/>
      <c r="BQC54" s="37"/>
      <c r="BQD54" s="37"/>
      <c r="BQE54" s="75"/>
      <c r="BQF54" s="37"/>
      <c r="BQG54" s="37"/>
      <c r="BQH54" s="37"/>
      <c r="BQI54" s="37"/>
      <c r="BQJ54" s="37"/>
      <c r="BQK54" s="38"/>
      <c r="BQL54" s="36"/>
      <c r="BQM54" s="65"/>
      <c r="BQN54" s="65"/>
      <c r="BQO54" s="65"/>
      <c r="BQP54" s="37"/>
      <c r="BQQ54" s="133"/>
      <c r="BQR54" s="37"/>
      <c r="BQS54" s="37"/>
      <c r="BQT54" s="37"/>
      <c r="BQU54" s="37"/>
      <c r="BQV54" s="37"/>
      <c r="BQW54" s="138"/>
      <c r="BQX54" s="37"/>
      <c r="BQY54" s="37"/>
      <c r="BQZ54" s="37"/>
      <c r="BRA54" s="37"/>
      <c r="BRB54" s="37"/>
      <c r="BRC54" s="75"/>
      <c r="BRD54" s="37"/>
      <c r="BRE54" s="37"/>
      <c r="BRF54" s="37"/>
      <c r="BRG54" s="37"/>
      <c r="BRH54" s="37"/>
      <c r="BRI54" s="138"/>
      <c r="BRJ54" s="37"/>
      <c r="BRK54" s="37"/>
      <c r="BRL54" s="37"/>
      <c r="BRM54" s="37"/>
      <c r="BRN54" s="37"/>
      <c r="BRO54" s="75"/>
      <c r="BRP54" s="65"/>
      <c r="BRQ54" s="65"/>
      <c r="BRR54" s="65"/>
      <c r="BRS54" s="65"/>
      <c r="BRT54" s="37"/>
      <c r="BRU54" s="138"/>
      <c r="BRV54" s="37"/>
      <c r="BRW54" s="37"/>
      <c r="BRX54" s="37"/>
      <c r="BRY54" s="37"/>
      <c r="BRZ54" s="37"/>
      <c r="BSA54" s="75"/>
      <c r="BSB54" s="37"/>
      <c r="BSC54" s="37"/>
      <c r="BSD54" s="37"/>
      <c r="BSE54" s="37"/>
      <c r="BSF54" s="37"/>
      <c r="BSG54" s="138"/>
      <c r="BSH54" s="37"/>
      <c r="BSI54" s="37"/>
      <c r="BSJ54" s="37"/>
      <c r="BSK54" s="37"/>
      <c r="BSL54" s="37"/>
      <c r="BSM54" s="75"/>
      <c r="BSN54" s="37"/>
      <c r="BSO54" s="37"/>
      <c r="BSP54" s="37"/>
      <c r="BSQ54" s="37"/>
      <c r="BSR54" s="37"/>
      <c r="BSS54" s="38"/>
      <c r="BST54" s="36"/>
      <c r="BSU54" s="65"/>
      <c r="BSV54" s="65"/>
      <c r="BSW54" s="65"/>
      <c r="BSX54" s="37"/>
      <c r="BSY54" s="133"/>
      <c r="BSZ54" s="37"/>
      <c r="BTA54" s="37"/>
      <c r="BTB54" s="37"/>
      <c r="BTC54" s="37"/>
      <c r="BTD54" s="37"/>
      <c r="BTE54" s="138"/>
      <c r="BTF54" s="37"/>
      <c r="BTG54" s="37"/>
      <c r="BTH54" s="37"/>
      <c r="BTI54" s="37"/>
      <c r="BTJ54" s="37"/>
      <c r="BTK54" s="75"/>
      <c r="BTL54" s="37"/>
      <c r="BTM54" s="37"/>
      <c r="BTN54" s="37"/>
      <c r="BTO54" s="37"/>
      <c r="BTP54" s="37"/>
      <c r="BTQ54" s="138"/>
      <c r="BTR54" s="37"/>
      <c r="BTS54" s="37"/>
      <c r="BTT54" s="37"/>
      <c r="BTU54" s="37"/>
      <c r="BTV54" s="37"/>
      <c r="BTW54" s="75"/>
      <c r="BTX54" s="65"/>
      <c r="BTY54" s="65"/>
      <c r="BTZ54" s="65"/>
      <c r="BUA54" s="65"/>
      <c r="BUB54" s="37"/>
      <c r="BUC54" s="138"/>
      <c r="BUD54" s="37"/>
      <c r="BUE54" s="37"/>
      <c r="BUF54" s="37"/>
      <c r="BUG54" s="37"/>
      <c r="BUH54" s="37"/>
      <c r="BUI54" s="75"/>
      <c r="BUJ54" s="37"/>
      <c r="BUK54" s="37"/>
      <c r="BUL54" s="37"/>
      <c r="BUM54" s="37"/>
      <c r="BUN54" s="37"/>
      <c r="BUO54" s="138"/>
      <c r="BUP54" s="37"/>
      <c r="BUQ54" s="37"/>
      <c r="BUR54" s="37"/>
      <c r="BUS54" s="37"/>
      <c r="BUT54" s="37"/>
      <c r="BUU54" s="75"/>
      <c r="BUV54" s="37"/>
      <c r="BUW54" s="37"/>
      <c r="BUX54" s="37"/>
      <c r="BUY54" s="37"/>
      <c r="BUZ54" s="37"/>
      <c r="BVA54" s="38"/>
      <c r="BVB54" s="90"/>
    </row>
    <row r="55" spans="1:1926" ht="20.100000000000001" customHeight="1" x14ac:dyDescent="0.25">
      <c r="A55" s="100" t="s">
        <v>20</v>
      </c>
      <c r="B55" s="63"/>
      <c r="C55" s="180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40"/>
      <c r="BOE55" s="66"/>
      <c r="BOF55" s="66"/>
      <c r="BOG55" s="66"/>
      <c r="BOH55" s="41"/>
      <c r="BOI55" s="134"/>
      <c r="BOJ55" s="41"/>
      <c r="BOK55" s="41"/>
      <c r="BOL55" s="41"/>
      <c r="BOM55" s="41"/>
      <c r="BON55" s="41"/>
      <c r="BOO55" s="139"/>
      <c r="BOP55" s="41"/>
      <c r="BOQ55" s="41"/>
      <c r="BOR55" s="41"/>
      <c r="BOS55" s="41"/>
      <c r="BOT55" s="41"/>
      <c r="BOU55" s="76"/>
      <c r="BOV55" s="41"/>
      <c r="BOW55" s="41"/>
      <c r="BOX55" s="41"/>
      <c r="BOY55" s="41"/>
      <c r="BOZ55" s="41"/>
      <c r="BPA55" s="139"/>
      <c r="BPB55" s="41"/>
      <c r="BPC55" s="41"/>
      <c r="BPD55" s="41"/>
      <c r="BPE55" s="41"/>
      <c r="BPF55" s="41"/>
      <c r="BPG55" s="76"/>
      <c r="BPH55" s="66"/>
      <c r="BPI55" s="66"/>
      <c r="BPJ55" s="66"/>
      <c r="BPK55" s="66"/>
      <c r="BPL55" s="41"/>
      <c r="BPM55" s="139"/>
      <c r="BPN55" s="41"/>
      <c r="BPO55" s="41"/>
      <c r="BPP55" s="41"/>
      <c r="BPQ55" s="41"/>
      <c r="BPR55" s="41"/>
      <c r="BPS55" s="76"/>
      <c r="BPT55" s="41"/>
      <c r="BPU55" s="41"/>
      <c r="BPV55" s="41"/>
      <c r="BPW55" s="41"/>
      <c r="BPX55" s="41"/>
      <c r="BPY55" s="139"/>
      <c r="BPZ55" s="41"/>
      <c r="BQA55" s="41"/>
      <c r="BQB55" s="41"/>
      <c r="BQC55" s="41"/>
      <c r="BQD55" s="41"/>
      <c r="BQE55" s="76"/>
      <c r="BQF55" s="41"/>
      <c r="BQG55" s="41"/>
      <c r="BQH55" s="41"/>
      <c r="BQI55" s="41"/>
      <c r="BQJ55" s="41"/>
      <c r="BQK55" s="42"/>
      <c r="BQL55" s="40"/>
      <c r="BQM55" s="66"/>
      <c r="BQN55" s="66"/>
      <c r="BQO55" s="66"/>
      <c r="BQP55" s="41"/>
      <c r="BQQ55" s="134"/>
      <c r="BQR55" s="41"/>
      <c r="BQS55" s="41"/>
      <c r="BQT55" s="41"/>
      <c r="BQU55" s="41"/>
      <c r="BQV55" s="41"/>
      <c r="BQW55" s="139"/>
      <c r="BQX55" s="41"/>
      <c r="BQY55" s="41"/>
      <c r="BQZ55" s="41"/>
      <c r="BRA55" s="41"/>
      <c r="BRB55" s="41"/>
      <c r="BRC55" s="76"/>
      <c r="BRD55" s="41"/>
      <c r="BRE55" s="41"/>
      <c r="BRF55" s="41"/>
      <c r="BRG55" s="41"/>
      <c r="BRH55" s="41"/>
      <c r="BRI55" s="139"/>
      <c r="BRJ55" s="41"/>
      <c r="BRK55" s="41"/>
      <c r="BRL55" s="41"/>
      <c r="BRM55" s="41"/>
      <c r="BRN55" s="41"/>
      <c r="BRO55" s="76"/>
      <c r="BRP55" s="66"/>
      <c r="BRQ55" s="66"/>
      <c r="BRR55" s="66"/>
      <c r="BRS55" s="66"/>
      <c r="BRT55" s="41"/>
      <c r="BRU55" s="139"/>
      <c r="BRV55" s="41"/>
      <c r="BRW55" s="41"/>
      <c r="BRX55" s="41"/>
      <c r="BRY55" s="41"/>
      <c r="BRZ55" s="41"/>
      <c r="BSA55" s="76"/>
      <c r="BSB55" s="41"/>
      <c r="BSC55" s="41"/>
      <c r="BSD55" s="41"/>
      <c r="BSE55" s="41"/>
      <c r="BSF55" s="41"/>
      <c r="BSG55" s="139"/>
      <c r="BSH55" s="41"/>
      <c r="BSI55" s="41"/>
      <c r="BSJ55" s="41"/>
      <c r="BSK55" s="41"/>
      <c r="BSL55" s="41"/>
      <c r="BSM55" s="76"/>
      <c r="BSN55" s="41"/>
      <c r="BSO55" s="41"/>
      <c r="BSP55" s="41"/>
      <c r="BSQ55" s="41"/>
      <c r="BSR55" s="41"/>
      <c r="BSS55" s="42"/>
      <c r="BST55" s="40"/>
      <c r="BSU55" s="66"/>
      <c r="BSV55" s="66"/>
      <c r="BSW55" s="66"/>
      <c r="BSX55" s="41"/>
      <c r="BSY55" s="134"/>
      <c r="BSZ55" s="41"/>
      <c r="BTA55" s="41"/>
      <c r="BTB55" s="41"/>
      <c r="BTC55" s="41"/>
      <c r="BTD55" s="41"/>
      <c r="BTE55" s="139"/>
      <c r="BTF55" s="41"/>
      <c r="BTG55" s="41"/>
      <c r="BTH55" s="41"/>
      <c r="BTI55" s="41"/>
      <c r="BTJ55" s="41"/>
      <c r="BTK55" s="76"/>
      <c r="BTL55" s="41"/>
      <c r="BTM55" s="41"/>
      <c r="BTN55" s="41"/>
      <c r="BTO55" s="41"/>
      <c r="BTP55" s="41"/>
      <c r="BTQ55" s="139"/>
      <c r="BTR55" s="41"/>
      <c r="BTS55" s="41"/>
      <c r="BTT55" s="41"/>
      <c r="BTU55" s="41"/>
      <c r="BTV55" s="41"/>
      <c r="BTW55" s="76"/>
      <c r="BTX55" s="66"/>
      <c r="BTY55" s="66"/>
      <c r="BTZ55" s="66"/>
      <c r="BUA55" s="66"/>
      <c r="BUB55" s="41"/>
      <c r="BUC55" s="139"/>
      <c r="BUD55" s="41"/>
      <c r="BUE55" s="41"/>
      <c r="BUF55" s="41"/>
      <c r="BUG55" s="41"/>
      <c r="BUH55" s="41"/>
      <c r="BUI55" s="76"/>
      <c r="BUJ55" s="41"/>
      <c r="BUK55" s="41"/>
      <c r="BUL55" s="41"/>
      <c r="BUM55" s="41"/>
      <c r="BUN55" s="41"/>
      <c r="BUO55" s="139"/>
      <c r="BUP55" s="41"/>
      <c r="BUQ55" s="41"/>
      <c r="BUR55" s="41"/>
      <c r="BUS55" s="41"/>
      <c r="BUT55" s="41"/>
      <c r="BUU55" s="76"/>
      <c r="BUV55" s="41"/>
      <c r="BUW55" s="41"/>
      <c r="BUX55" s="41"/>
      <c r="BUY55" s="41"/>
      <c r="BUZ55" s="41"/>
      <c r="BVA55" s="42"/>
      <c r="BVB55" s="90"/>
    </row>
    <row r="56" spans="1:1926" ht="20.100000000000001" customHeight="1" x14ac:dyDescent="0.25">
      <c r="A56" s="100" t="s">
        <v>21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28"/>
      <c r="BOE56" s="67"/>
      <c r="BOF56" s="67"/>
      <c r="BOG56" s="67"/>
      <c r="BOH56" s="29"/>
      <c r="BOI56" s="131"/>
      <c r="BOJ56" s="29"/>
      <c r="BOK56" s="29"/>
      <c r="BOL56" s="29"/>
      <c r="BOM56" s="29"/>
      <c r="BON56" s="29"/>
      <c r="BOO56" s="136"/>
      <c r="BOP56" s="29"/>
      <c r="BOQ56" s="29"/>
      <c r="BOR56" s="29"/>
      <c r="BOS56" s="29"/>
      <c r="BOT56" s="29"/>
      <c r="BOU56" s="73"/>
      <c r="BOV56" s="29"/>
      <c r="BOW56" s="29"/>
      <c r="BOX56" s="29"/>
      <c r="BOY56" s="29"/>
      <c r="BOZ56" s="29"/>
      <c r="BPA56" s="136"/>
      <c r="BPB56" s="29"/>
      <c r="BPC56" s="29"/>
      <c r="BPD56" s="29"/>
      <c r="BPE56" s="29"/>
      <c r="BPF56" s="29"/>
      <c r="BPG56" s="73"/>
      <c r="BPH56" s="67"/>
      <c r="BPI56" s="67"/>
      <c r="BPJ56" s="67"/>
      <c r="BPK56" s="67"/>
      <c r="BPL56" s="29"/>
      <c r="BPM56" s="136"/>
      <c r="BPN56" s="29"/>
      <c r="BPO56" s="29"/>
      <c r="BPP56" s="29"/>
      <c r="BPQ56" s="29"/>
      <c r="BPR56" s="29"/>
      <c r="BPS56" s="73"/>
      <c r="BPT56" s="29"/>
      <c r="BPU56" s="29"/>
      <c r="BPV56" s="29"/>
      <c r="BPW56" s="29"/>
      <c r="BPX56" s="29"/>
      <c r="BPY56" s="136"/>
      <c r="BPZ56" s="29"/>
      <c r="BQA56" s="29"/>
      <c r="BQB56" s="29"/>
      <c r="BQC56" s="29"/>
      <c r="BQD56" s="29"/>
      <c r="BQE56" s="73"/>
      <c r="BQF56" s="29"/>
      <c r="BQG56" s="29"/>
      <c r="BQH56" s="29"/>
      <c r="BQI56" s="29"/>
      <c r="BQJ56" s="29"/>
      <c r="BQK56" s="30"/>
      <c r="BQL56" s="28"/>
      <c r="BQM56" s="67"/>
      <c r="BQN56" s="67"/>
      <c r="BQO56" s="67"/>
      <c r="BQP56" s="29"/>
      <c r="BQQ56" s="131"/>
      <c r="BQR56" s="29"/>
      <c r="BQS56" s="29"/>
      <c r="BQT56" s="29"/>
      <c r="BQU56" s="29"/>
      <c r="BQV56" s="29"/>
      <c r="BQW56" s="136"/>
      <c r="BQX56" s="29"/>
      <c r="BQY56" s="29"/>
      <c r="BQZ56" s="29"/>
      <c r="BRA56" s="29"/>
      <c r="BRB56" s="29"/>
      <c r="BRC56" s="73"/>
      <c r="BRD56" s="29"/>
      <c r="BRE56" s="29"/>
      <c r="BRF56" s="29"/>
      <c r="BRG56" s="29"/>
      <c r="BRH56" s="29"/>
      <c r="BRI56" s="136"/>
      <c r="BRJ56" s="29"/>
      <c r="BRK56" s="29"/>
      <c r="BRL56" s="29"/>
      <c r="BRM56" s="29"/>
      <c r="BRN56" s="29"/>
      <c r="BRO56" s="73"/>
      <c r="BRP56" s="67"/>
      <c r="BRQ56" s="67"/>
      <c r="BRR56" s="67"/>
      <c r="BRS56" s="67"/>
      <c r="BRT56" s="29"/>
      <c r="BRU56" s="136"/>
      <c r="BRV56" s="29"/>
      <c r="BRW56" s="29"/>
      <c r="BRX56" s="29"/>
      <c r="BRY56" s="29"/>
      <c r="BRZ56" s="29"/>
      <c r="BSA56" s="73"/>
      <c r="BSB56" s="29"/>
      <c r="BSC56" s="29"/>
      <c r="BSD56" s="29"/>
      <c r="BSE56" s="29"/>
      <c r="BSF56" s="29"/>
      <c r="BSG56" s="136"/>
      <c r="BSH56" s="29"/>
      <c r="BSI56" s="29"/>
      <c r="BSJ56" s="29"/>
      <c r="BSK56" s="29"/>
      <c r="BSL56" s="29"/>
      <c r="BSM56" s="73"/>
      <c r="BSN56" s="29"/>
      <c r="BSO56" s="29"/>
      <c r="BSP56" s="29"/>
      <c r="BSQ56" s="29"/>
      <c r="BSR56" s="29"/>
      <c r="BSS56" s="30"/>
      <c r="BST56" s="28"/>
      <c r="BSU56" s="67"/>
      <c r="BSV56" s="67"/>
      <c r="BSW56" s="67"/>
      <c r="BSX56" s="29"/>
      <c r="BSY56" s="131"/>
      <c r="BSZ56" s="29"/>
      <c r="BTA56" s="29"/>
      <c r="BTB56" s="29"/>
      <c r="BTC56" s="29"/>
      <c r="BTD56" s="29"/>
      <c r="BTE56" s="136"/>
      <c r="BTF56" s="29"/>
      <c r="BTG56" s="29"/>
      <c r="BTH56" s="29"/>
      <c r="BTI56" s="29"/>
      <c r="BTJ56" s="29"/>
      <c r="BTK56" s="73"/>
      <c r="BTL56" s="29"/>
      <c r="BTM56" s="29"/>
      <c r="BTN56" s="29"/>
      <c r="BTO56" s="29"/>
      <c r="BTP56" s="29"/>
      <c r="BTQ56" s="136"/>
      <c r="BTR56" s="29"/>
      <c r="BTS56" s="29"/>
      <c r="BTT56" s="29"/>
      <c r="BTU56" s="29"/>
      <c r="BTV56" s="29"/>
      <c r="BTW56" s="73"/>
      <c r="BTX56" s="67"/>
      <c r="BTY56" s="67"/>
      <c r="BTZ56" s="67"/>
      <c r="BUA56" s="67"/>
      <c r="BUB56" s="29"/>
      <c r="BUC56" s="136"/>
      <c r="BUD56" s="29"/>
      <c r="BUE56" s="29"/>
      <c r="BUF56" s="29"/>
      <c r="BUG56" s="29"/>
      <c r="BUH56" s="29"/>
      <c r="BUI56" s="73"/>
      <c r="BUJ56" s="29"/>
      <c r="BUK56" s="29"/>
      <c r="BUL56" s="29"/>
      <c r="BUM56" s="29"/>
      <c r="BUN56" s="29"/>
      <c r="BUO56" s="136"/>
      <c r="BUP56" s="29"/>
      <c r="BUQ56" s="29"/>
      <c r="BUR56" s="29"/>
      <c r="BUS56" s="29"/>
      <c r="BUT56" s="29"/>
      <c r="BUU56" s="73"/>
      <c r="BUV56" s="29"/>
      <c r="BUW56" s="29"/>
      <c r="BUX56" s="29"/>
      <c r="BUY56" s="29"/>
      <c r="BUZ56" s="29"/>
      <c r="BVA56" s="30"/>
      <c r="BVB56" s="90"/>
    </row>
    <row r="57" spans="1:1926" ht="20.100000000000001" customHeight="1" x14ac:dyDescent="0.25">
      <c r="A57" s="100" t="s">
        <v>20</v>
      </c>
      <c r="B57" s="63"/>
      <c r="C57" s="180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32"/>
      <c r="BOE57" s="64"/>
      <c r="BOF57" s="64"/>
      <c r="BOG57" s="64"/>
      <c r="BOH57" s="33"/>
      <c r="BOI57" s="132"/>
      <c r="BOJ57" s="33"/>
      <c r="BOK57" s="33"/>
      <c r="BOL57" s="33"/>
      <c r="BOM57" s="33"/>
      <c r="BON57" s="33"/>
      <c r="BOO57" s="137"/>
      <c r="BOP57" s="33"/>
      <c r="BOQ57" s="33"/>
      <c r="BOR57" s="33"/>
      <c r="BOS57" s="33"/>
      <c r="BOT57" s="33"/>
      <c r="BOU57" s="74"/>
      <c r="BOV57" s="33"/>
      <c r="BOW57" s="33"/>
      <c r="BOX57" s="33"/>
      <c r="BOY57" s="33"/>
      <c r="BOZ57" s="33"/>
      <c r="BPA57" s="137"/>
      <c r="BPB57" s="33"/>
      <c r="BPC57" s="33"/>
      <c r="BPD57" s="33"/>
      <c r="BPE57" s="33"/>
      <c r="BPF57" s="33"/>
      <c r="BPG57" s="74"/>
      <c r="BPH57" s="64"/>
      <c r="BPI57" s="64"/>
      <c r="BPJ57" s="64"/>
      <c r="BPK57" s="64"/>
      <c r="BPL57" s="33"/>
      <c r="BPM57" s="137"/>
      <c r="BPN57" s="33"/>
      <c r="BPO57" s="33"/>
      <c r="BPP57" s="33"/>
      <c r="BPQ57" s="33"/>
      <c r="BPR57" s="33"/>
      <c r="BPS57" s="74"/>
      <c r="BPT57" s="33"/>
      <c r="BPU57" s="33"/>
      <c r="BPV57" s="33"/>
      <c r="BPW57" s="33"/>
      <c r="BPX57" s="33"/>
      <c r="BPY57" s="137"/>
      <c r="BPZ57" s="33"/>
      <c r="BQA57" s="33"/>
      <c r="BQB57" s="33"/>
      <c r="BQC57" s="33"/>
      <c r="BQD57" s="33"/>
      <c r="BQE57" s="74"/>
      <c r="BQF57" s="33"/>
      <c r="BQG57" s="33"/>
      <c r="BQH57" s="33"/>
      <c r="BQI57" s="33"/>
      <c r="BQJ57" s="33"/>
      <c r="BQK57" s="34"/>
      <c r="BQL57" s="32"/>
      <c r="BQM57" s="64"/>
      <c r="BQN57" s="64"/>
      <c r="BQO57" s="64"/>
      <c r="BQP57" s="33"/>
      <c r="BQQ57" s="132"/>
      <c r="BQR57" s="33"/>
      <c r="BQS57" s="33"/>
      <c r="BQT57" s="33"/>
      <c r="BQU57" s="33"/>
      <c r="BQV57" s="33"/>
      <c r="BQW57" s="137"/>
      <c r="BQX57" s="33"/>
      <c r="BQY57" s="33"/>
      <c r="BQZ57" s="33"/>
      <c r="BRA57" s="33"/>
      <c r="BRB57" s="33"/>
      <c r="BRC57" s="74"/>
      <c r="BRD57" s="33"/>
      <c r="BRE57" s="33"/>
      <c r="BRF57" s="33"/>
      <c r="BRG57" s="33"/>
      <c r="BRH57" s="33"/>
      <c r="BRI57" s="137"/>
      <c r="BRJ57" s="33"/>
      <c r="BRK57" s="33"/>
      <c r="BRL57" s="33"/>
      <c r="BRM57" s="33"/>
      <c r="BRN57" s="33"/>
      <c r="BRO57" s="74"/>
      <c r="BRP57" s="64"/>
      <c r="BRQ57" s="64"/>
      <c r="BRR57" s="64"/>
      <c r="BRS57" s="64"/>
      <c r="BRT57" s="33"/>
      <c r="BRU57" s="137"/>
      <c r="BRV57" s="33"/>
      <c r="BRW57" s="33"/>
      <c r="BRX57" s="33"/>
      <c r="BRY57" s="33"/>
      <c r="BRZ57" s="33"/>
      <c r="BSA57" s="74"/>
      <c r="BSB57" s="33"/>
      <c r="BSC57" s="33"/>
      <c r="BSD57" s="33"/>
      <c r="BSE57" s="33"/>
      <c r="BSF57" s="33"/>
      <c r="BSG57" s="137"/>
      <c r="BSH57" s="33"/>
      <c r="BSI57" s="33"/>
      <c r="BSJ57" s="33"/>
      <c r="BSK57" s="33"/>
      <c r="BSL57" s="33"/>
      <c r="BSM57" s="74"/>
      <c r="BSN57" s="33"/>
      <c r="BSO57" s="33"/>
      <c r="BSP57" s="33"/>
      <c r="BSQ57" s="33"/>
      <c r="BSR57" s="33"/>
      <c r="BSS57" s="34"/>
      <c r="BST57" s="32"/>
      <c r="BSU57" s="64"/>
      <c r="BSV57" s="64"/>
      <c r="BSW57" s="64"/>
      <c r="BSX57" s="33"/>
      <c r="BSY57" s="132"/>
      <c r="BSZ57" s="33"/>
      <c r="BTA57" s="33"/>
      <c r="BTB57" s="33"/>
      <c r="BTC57" s="33"/>
      <c r="BTD57" s="33"/>
      <c r="BTE57" s="137"/>
      <c r="BTF57" s="33"/>
      <c r="BTG57" s="33"/>
      <c r="BTH57" s="33"/>
      <c r="BTI57" s="33"/>
      <c r="BTJ57" s="33"/>
      <c r="BTK57" s="74"/>
      <c r="BTL57" s="33"/>
      <c r="BTM57" s="33"/>
      <c r="BTN57" s="33"/>
      <c r="BTO57" s="33"/>
      <c r="BTP57" s="33"/>
      <c r="BTQ57" s="137"/>
      <c r="BTR57" s="33"/>
      <c r="BTS57" s="33"/>
      <c r="BTT57" s="33"/>
      <c r="BTU57" s="33"/>
      <c r="BTV57" s="33"/>
      <c r="BTW57" s="74"/>
      <c r="BTX57" s="64"/>
      <c r="BTY57" s="64"/>
      <c r="BTZ57" s="64"/>
      <c r="BUA57" s="64"/>
      <c r="BUB57" s="33"/>
      <c r="BUC57" s="137"/>
      <c r="BUD57" s="33"/>
      <c r="BUE57" s="33"/>
      <c r="BUF57" s="33"/>
      <c r="BUG57" s="33"/>
      <c r="BUH57" s="33"/>
      <c r="BUI57" s="74"/>
      <c r="BUJ57" s="33"/>
      <c r="BUK57" s="33"/>
      <c r="BUL57" s="33"/>
      <c r="BUM57" s="33"/>
      <c r="BUN57" s="33"/>
      <c r="BUO57" s="137"/>
      <c r="BUP57" s="33"/>
      <c r="BUQ57" s="33"/>
      <c r="BUR57" s="33"/>
      <c r="BUS57" s="33"/>
      <c r="BUT57" s="33"/>
      <c r="BUU57" s="74"/>
      <c r="BUV57" s="33"/>
      <c r="BUW57" s="33"/>
      <c r="BUX57" s="33"/>
      <c r="BUY57" s="33"/>
      <c r="BUZ57" s="33"/>
      <c r="BVA57" s="34"/>
      <c r="BVB57" s="90"/>
    </row>
    <row r="58" spans="1:1926" ht="20.100000000000001" customHeight="1" x14ac:dyDescent="0.3">
      <c r="A58" s="100" t="s">
        <v>21</v>
      </c>
      <c r="B58" s="63"/>
      <c r="C58" s="18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36"/>
      <c r="BOE58" s="65"/>
      <c r="BOF58" s="65"/>
      <c r="BOG58" s="65"/>
      <c r="BOH58" s="37"/>
      <c r="BOI58" s="133"/>
      <c r="BOJ58" s="37"/>
      <c r="BOK58" s="37"/>
      <c r="BOL58" s="37"/>
      <c r="BOM58" s="37"/>
      <c r="BON58" s="37"/>
      <c r="BOO58" s="138"/>
      <c r="BOP58" s="37"/>
      <c r="BOQ58" s="37"/>
      <c r="BOR58" s="37"/>
      <c r="BOS58" s="37"/>
      <c r="BOT58" s="37"/>
      <c r="BOU58" s="75"/>
      <c r="BOV58" s="37"/>
      <c r="BOW58" s="37"/>
      <c r="BOX58" s="37"/>
      <c r="BOY58" s="37"/>
      <c r="BOZ58" s="37"/>
      <c r="BPA58" s="138"/>
      <c r="BPB58" s="37"/>
      <c r="BPC58" s="37"/>
      <c r="BPD58" s="37"/>
      <c r="BPE58" s="37"/>
      <c r="BPF58" s="37"/>
      <c r="BPG58" s="75"/>
      <c r="BPH58" s="65"/>
      <c r="BPI58" s="65"/>
      <c r="BPJ58" s="65"/>
      <c r="BPK58" s="65"/>
      <c r="BPL58" s="37"/>
      <c r="BPM58" s="138"/>
      <c r="BPN58" s="37"/>
      <c r="BPO58" s="37"/>
      <c r="BPP58" s="37"/>
      <c r="BPQ58" s="37"/>
      <c r="BPR58" s="37"/>
      <c r="BPS58" s="75"/>
      <c r="BPT58" s="37"/>
      <c r="BPU58" s="37"/>
      <c r="BPV58" s="37"/>
      <c r="BPW58" s="37"/>
      <c r="BPX58" s="37"/>
      <c r="BPY58" s="138"/>
      <c r="BPZ58" s="37"/>
      <c r="BQA58" s="37"/>
      <c r="BQB58" s="37"/>
      <c r="BQC58" s="37"/>
      <c r="BQD58" s="37"/>
      <c r="BQE58" s="75"/>
      <c r="BQF58" s="37"/>
      <c r="BQG58" s="37"/>
      <c r="BQH58" s="37"/>
      <c r="BQI58" s="37"/>
      <c r="BQJ58" s="37"/>
      <c r="BQK58" s="38"/>
      <c r="BQL58" s="36"/>
      <c r="BQM58" s="65"/>
      <c r="BQN58" s="65"/>
      <c r="BQO58" s="65"/>
      <c r="BQP58" s="37"/>
      <c r="BQQ58" s="133"/>
      <c r="BQR58" s="37"/>
      <c r="BQS58" s="37"/>
      <c r="BQT58" s="37"/>
      <c r="BQU58" s="37"/>
      <c r="BQV58" s="37"/>
      <c r="BQW58" s="138"/>
      <c r="BQX58" s="37"/>
      <c r="BQY58" s="37"/>
      <c r="BQZ58" s="37"/>
      <c r="BRA58" s="37"/>
      <c r="BRB58" s="37"/>
      <c r="BRC58" s="75"/>
      <c r="BRD58" s="37"/>
      <c r="BRE58" s="37"/>
      <c r="BRF58" s="37"/>
      <c r="BRG58" s="37"/>
      <c r="BRH58" s="37"/>
      <c r="BRI58" s="138"/>
      <c r="BRJ58" s="37"/>
      <c r="BRK58" s="37"/>
      <c r="BRL58" s="37"/>
      <c r="BRM58" s="37"/>
      <c r="BRN58" s="37"/>
      <c r="BRO58" s="75"/>
      <c r="BRP58" s="65"/>
      <c r="BRQ58" s="65"/>
      <c r="BRR58" s="65"/>
      <c r="BRS58" s="65"/>
      <c r="BRT58" s="37"/>
      <c r="BRU58" s="138"/>
      <c r="BRV58" s="37"/>
      <c r="BRW58" s="37"/>
      <c r="BRX58" s="37"/>
      <c r="BRY58" s="37"/>
      <c r="BRZ58" s="37"/>
      <c r="BSA58" s="75"/>
      <c r="BSB58" s="37"/>
      <c r="BSC58" s="37"/>
      <c r="BSD58" s="37"/>
      <c r="BSE58" s="37"/>
      <c r="BSF58" s="37"/>
      <c r="BSG58" s="138"/>
      <c r="BSH58" s="37"/>
      <c r="BSI58" s="37"/>
      <c r="BSJ58" s="37"/>
      <c r="BSK58" s="37"/>
      <c r="BSL58" s="37"/>
      <c r="BSM58" s="75"/>
      <c r="BSN58" s="37"/>
      <c r="BSO58" s="37"/>
      <c r="BSP58" s="37"/>
      <c r="BSQ58" s="37"/>
      <c r="BSR58" s="37"/>
      <c r="BSS58" s="38"/>
      <c r="BST58" s="36"/>
      <c r="BSU58" s="65"/>
      <c r="BSV58" s="65"/>
      <c r="BSW58" s="65"/>
      <c r="BSX58" s="37"/>
      <c r="BSY58" s="133"/>
      <c r="BSZ58" s="37"/>
      <c r="BTA58" s="37"/>
      <c r="BTB58" s="37"/>
      <c r="BTC58" s="37"/>
      <c r="BTD58" s="37"/>
      <c r="BTE58" s="138"/>
      <c r="BTF58" s="37"/>
      <c r="BTG58" s="37"/>
      <c r="BTH58" s="37"/>
      <c r="BTI58" s="37"/>
      <c r="BTJ58" s="37"/>
      <c r="BTK58" s="75"/>
      <c r="BTL58" s="37"/>
      <c r="BTM58" s="37"/>
      <c r="BTN58" s="37"/>
      <c r="BTO58" s="37"/>
      <c r="BTP58" s="37"/>
      <c r="BTQ58" s="138"/>
      <c r="BTR58" s="37"/>
      <c r="BTS58" s="37"/>
      <c r="BTT58" s="37"/>
      <c r="BTU58" s="37"/>
      <c r="BTV58" s="37"/>
      <c r="BTW58" s="75"/>
      <c r="BTX58" s="65"/>
      <c r="BTY58" s="65"/>
      <c r="BTZ58" s="65"/>
      <c r="BUA58" s="65"/>
      <c r="BUB58" s="37"/>
      <c r="BUC58" s="138"/>
      <c r="BUD58" s="37"/>
      <c r="BUE58" s="37"/>
      <c r="BUF58" s="37"/>
      <c r="BUG58" s="37"/>
      <c r="BUH58" s="37"/>
      <c r="BUI58" s="75"/>
      <c r="BUJ58" s="37"/>
      <c r="BUK58" s="37"/>
      <c r="BUL58" s="37"/>
      <c r="BUM58" s="37"/>
      <c r="BUN58" s="37"/>
      <c r="BUO58" s="138"/>
      <c r="BUP58" s="37"/>
      <c r="BUQ58" s="37"/>
      <c r="BUR58" s="37"/>
      <c r="BUS58" s="37"/>
      <c r="BUT58" s="37"/>
      <c r="BUU58" s="75"/>
      <c r="BUV58" s="37"/>
      <c r="BUW58" s="37"/>
      <c r="BUX58" s="37"/>
      <c r="BUY58" s="37"/>
      <c r="BUZ58" s="37"/>
      <c r="BVA58" s="38"/>
      <c r="BVB58" s="90"/>
    </row>
    <row r="59" spans="1:1926" ht="20.100000000000001" customHeight="1" x14ac:dyDescent="0.25">
      <c r="A59" s="100" t="s">
        <v>20</v>
      </c>
      <c r="B59" s="63"/>
      <c r="C59" s="180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40"/>
      <c r="BOE59" s="66"/>
      <c r="BOF59" s="66"/>
      <c r="BOG59" s="66"/>
      <c r="BOH59" s="41"/>
      <c r="BOI59" s="134"/>
      <c r="BOJ59" s="41"/>
      <c r="BOK59" s="41"/>
      <c r="BOL59" s="41"/>
      <c r="BOM59" s="41"/>
      <c r="BON59" s="41"/>
      <c r="BOO59" s="139"/>
      <c r="BOP59" s="41"/>
      <c r="BOQ59" s="41"/>
      <c r="BOR59" s="41"/>
      <c r="BOS59" s="41"/>
      <c r="BOT59" s="41"/>
      <c r="BOU59" s="76"/>
      <c r="BOV59" s="41"/>
      <c r="BOW59" s="41"/>
      <c r="BOX59" s="41"/>
      <c r="BOY59" s="41"/>
      <c r="BOZ59" s="41"/>
      <c r="BPA59" s="139"/>
      <c r="BPB59" s="41"/>
      <c r="BPC59" s="41"/>
      <c r="BPD59" s="41"/>
      <c r="BPE59" s="41"/>
      <c r="BPF59" s="41"/>
      <c r="BPG59" s="76"/>
      <c r="BPH59" s="66"/>
      <c r="BPI59" s="66"/>
      <c r="BPJ59" s="66"/>
      <c r="BPK59" s="66"/>
      <c r="BPL59" s="41"/>
      <c r="BPM59" s="139"/>
      <c r="BPN59" s="41"/>
      <c r="BPO59" s="41"/>
      <c r="BPP59" s="41"/>
      <c r="BPQ59" s="41"/>
      <c r="BPR59" s="41"/>
      <c r="BPS59" s="76"/>
      <c r="BPT59" s="41"/>
      <c r="BPU59" s="41"/>
      <c r="BPV59" s="41"/>
      <c r="BPW59" s="41"/>
      <c r="BPX59" s="41"/>
      <c r="BPY59" s="139"/>
      <c r="BPZ59" s="41"/>
      <c r="BQA59" s="41"/>
      <c r="BQB59" s="41"/>
      <c r="BQC59" s="41"/>
      <c r="BQD59" s="41"/>
      <c r="BQE59" s="76"/>
      <c r="BQF59" s="41"/>
      <c r="BQG59" s="41"/>
      <c r="BQH59" s="41"/>
      <c r="BQI59" s="41"/>
      <c r="BQJ59" s="41"/>
      <c r="BQK59" s="42"/>
      <c r="BQL59" s="40"/>
      <c r="BQM59" s="66"/>
      <c r="BQN59" s="66"/>
      <c r="BQO59" s="66"/>
      <c r="BQP59" s="41"/>
      <c r="BQQ59" s="134"/>
      <c r="BQR59" s="41"/>
      <c r="BQS59" s="41"/>
      <c r="BQT59" s="41"/>
      <c r="BQU59" s="41"/>
      <c r="BQV59" s="41"/>
      <c r="BQW59" s="139"/>
      <c r="BQX59" s="41"/>
      <c r="BQY59" s="41"/>
      <c r="BQZ59" s="41"/>
      <c r="BRA59" s="41"/>
      <c r="BRB59" s="41"/>
      <c r="BRC59" s="76"/>
      <c r="BRD59" s="41"/>
      <c r="BRE59" s="41"/>
      <c r="BRF59" s="41"/>
      <c r="BRG59" s="41"/>
      <c r="BRH59" s="41"/>
      <c r="BRI59" s="139"/>
      <c r="BRJ59" s="41"/>
      <c r="BRK59" s="41"/>
      <c r="BRL59" s="41"/>
      <c r="BRM59" s="41"/>
      <c r="BRN59" s="41"/>
      <c r="BRO59" s="76"/>
      <c r="BRP59" s="66"/>
      <c r="BRQ59" s="66"/>
      <c r="BRR59" s="66"/>
      <c r="BRS59" s="66"/>
      <c r="BRT59" s="41"/>
      <c r="BRU59" s="139"/>
      <c r="BRV59" s="41"/>
      <c r="BRW59" s="41"/>
      <c r="BRX59" s="41"/>
      <c r="BRY59" s="41"/>
      <c r="BRZ59" s="41"/>
      <c r="BSA59" s="76"/>
      <c r="BSB59" s="41"/>
      <c r="BSC59" s="41"/>
      <c r="BSD59" s="41"/>
      <c r="BSE59" s="41"/>
      <c r="BSF59" s="41"/>
      <c r="BSG59" s="139"/>
      <c r="BSH59" s="41"/>
      <c r="BSI59" s="41"/>
      <c r="BSJ59" s="41"/>
      <c r="BSK59" s="41"/>
      <c r="BSL59" s="41"/>
      <c r="BSM59" s="76"/>
      <c r="BSN59" s="41"/>
      <c r="BSO59" s="41"/>
      <c r="BSP59" s="41"/>
      <c r="BSQ59" s="41"/>
      <c r="BSR59" s="41"/>
      <c r="BSS59" s="42"/>
      <c r="BST59" s="40"/>
      <c r="BSU59" s="66"/>
      <c r="BSV59" s="66"/>
      <c r="BSW59" s="66"/>
      <c r="BSX59" s="41"/>
      <c r="BSY59" s="134"/>
      <c r="BSZ59" s="41"/>
      <c r="BTA59" s="41"/>
      <c r="BTB59" s="41"/>
      <c r="BTC59" s="41"/>
      <c r="BTD59" s="41"/>
      <c r="BTE59" s="139"/>
      <c r="BTF59" s="41"/>
      <c r="BTG59" s="41"/>
      <c r="BTH59" s="41"/>
      <c r="BTI59" s="41"/>
      <c r="BTJ59" s="41"/>
      <c r="BTK59" s="76"/>
      <c r="BTL59" s="41"/>
      <c r="BTM59" s="41"/>
      <c r="BTN59" s="41"/>
      <c r="BTO59" s="41"/>
      <c r="BTP59" s="41"/>
      <c r="BTQ59" s="139"/>
      <c r="BTR59" s="41"/>
      <c r="BTS59" s="41"/>
      <c r="BTT59" s="41"/>
      <c r="BTU59" s="41"/>
      <c r="BTV59" s="41"/>
      <c r="BTW59" s="76"/>
      <c r="BTX59" s="66"/>
      <c r="BTY59" s="66"/>
      <c r="BTZ59" s="66"/>
      <c r="BUA59" s="66"/>
      <c r="BUB59" s="41"/>
      <c r="BUC59" s="139"/>
      <c r="BUD59" s="41"/>
      <c r="BUE59" s="41"/>
      <c r="BUF59" s="41"/>
      <c r="BUG59" s="41"/>
      <c r="BUH59" s="41"/>
      <c r="BUI59" s="76"/>
      <c r="BUJ59" s="41"/>
      <c r="BUK59" s="41"/>
      <c r="BUL59" s="41"/>
      <c r="BUM59" s="41"/>
      <c r="BUN59" s="41"/>
      <c r="BUO59" s="139"/>
      <c r="BUP59" s="41"/>
      <c r="BUQ59" s="41"/>
      <c r="BUR59" s="41"/>
      <c r="BUS59" s="41"/>
      <c r="BUT59" s="41"/>
      <c r="BUU59" s="76"/>
      <c r="BUV59" s="41"/>
      <c r="BUW59" s="41"/>
      <c r="BUX59" s="41"/>
      <c r="BUY59" s="41"/>
      <c r="BUZ59" s="41"/>
      <c r="BVA59" s="42"/>
      <c r="BVB59" s="90"/>
    </row>
    <row r="60" spans="1:1926" ht="20.100000000000001" customHeight="1" x14ac:dyDescent="0.3">
      <c r="A60" s="100" t="s">
        <v>21</v>
      </c>
      <c r="B60" s="63"/>
      <c r="C60" s="181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28"/>
      <c r="BOE60" s="67"/>
      <c r="BOF60" s="67"/>
      <c r="BOG60" s="67"/>
      <c r="BOH60" s="29"/>
      <c r="BOI60" s="131"/>
      <c r="BOJ60" s="29"/>
      <c r="BOK60" s="29"/>
      <c r="BOL60" s="29"/>
      <c r="BOM60" s="29"/>
      <c r="BON60" s="29"/>
      <c r="BOO60" s="136"/>
      <c r="BOP60" s="29"/>
      <c r="BOQ60" s="29"/>
      <c r="BOR60" s="29"/>
      <c r="BOS60" s="29"/>
      <c r="BOT60" s="29"/>
      <c r="BOU60" s="73"/>
      <c r="BOV60" s="29"/>
      <c r="BOW60" s="29"/>
      <c r="BOX60" s="29"/>
      <c r="BOY60" s="29"/>
      <c r="BOZ60" s="29"/>
      <c r="BPA60" s="136"/>
      <c r="BPB60" s="29"/>
      <c r="BPC60" s="29"/>
      <c r="BPD60" s="29"/>
      <c r="BPE60" s="29"/>
      <c r="BPF60" s="29"/>
      <c r="BPG60" s="73"/>
      <c r="BPH60" s="67"/>
      <c r="BPI60" s="67"/>
      <c r="BPJ60" s="67"/>
      <c r="BPK60" s="67"/>
      <c r="BPL60" s="29"/>
      <c r="BPM60" s="136"/>
      <c r="BPN60" s="29"/>
      <c r="BPO60" s="29"/>
      <c r="BPP60" s="29"/>
      <c r="BPQ60" s="29"/>
      <c r="BPR60" s="29"/>
      <c r="BPS60" s="73"/>
      <c r="BPT60" s="29"/>
      <c r="BPU60" s="29"/>
      <c r="BPV60" s="29"/>
      <c r="BPW60" s="29"/>
      <c r="BPX60" s="29"/>
      <c r="BPY60" s="136"/>
      <c r="BPZ60" s="29"/>
      <c r="BQA60" s="29"/>
      <c r="BQB60" s="29"/>
      <c r="BQC60" s="29"/>
      <c r="BQD60" s="29"/>
      <c r="BQE60" s="73"/>
      <c r="BQF60" s="29"/>
      <c r="BQG60" s="29"/>
      <c r="BQH60" s="29"/>
      <c r="BQI60" s="29"/>
      <c r="BQJ60" s="29"/>
      <c r="BQK60" s="30"/>
      <c r="BQL60" s="28"/>
      <c r="BQM60" s="67"/>
      <c r="BQN60" s="67"/>
      <c r="BQO60" s="67"/>
      <c r="BQP60" s="29"/>
      <c r="BQQ60" s="131"/>
      <c r="BQR60" s="29"/>
      <c r="BQS60" s="29"/>
      <c r="BQT60" s="29"/>
      <c r="BQU60" s="29"/>
      <c r="BQV60" s="29"/>
      <c r="BQW60" s="136"/>
      <c r="BQX60" s="29"/>
      <c r="BQY60" s="29"/>
      <c r="BQZ60" s="29"/>
      <c r="BRA60" s="29"/>
      <c r="BRB60" s="29"/>
      <c r="BRC60" s="73"/>
      <c r="BRD60" s="29"/>
      <c r="BRE60" s="29"/>
      <c r="BRF60" s="29"/>
      <c r="BRG60" s="29"/>
      <c r="BRH60" s="29"/>
      <c r="BRI60" s="136"/>
      <c r="BRJ60" s="29"/>
      <c r="BRK60" s="29"/>
      <c r="BRL60" s="29"/>
      <c r="BRM60" s="29"/>
      <c r="BRN60" s="29"/>
      <c r="BRO60" s="73"/>
      <c r="BRP60" s="67"/>
      <c r="BRQ60" s="67"/>
      <c r="BRR60" s="67"/>
      <c r="BRS60" s="67"/>
      <c r="BRT60" s="29"/>
      <c r="BRU60" s="136"/>
      <c r="BRV60" s="29"/>
      <c r="BRW60" s="29"/>
      <c r="BRX60" s="29"/>
      <c r="BRY60" s="29"/>
      <c r="BRZ60" s="29"/>
      <c r="BSA60" s="73"/>
      <c r="BSB60" s="29"/>
      <c r="BSC60" s="29"/>
      <c r="BSD60" s="29"/>
      <c r="BSE60" s="29"/>
      <c r="BSF60" s="29"/>
      <c r="BSG60" s="136"/>
      <c r="BSH60" s="29"/>
      <c r="BSI60" s="29"/>
      <c r="BSJ60" s="29"/>
      <c r="BSK60" s="29"/>
      <c r="BSL60" s="29"/>
      <c r="BSM60" s="73"/>
      <c r="BSN60" s="29"/>
      <c r="BSO60" s="29"/>
      <c r="BSP60" s="29"/>
      <c r="BSQ60" s="29"/>
      <c r="BSR60" s="29"/>
      <c r="BSS60" s="30"/>
      <c r="BST60" s="28"/>
      <c r="BSU60" s="67"/>
      <c r="BSV60" s="67"/>
      <c r="BSW60" s="67"/>
      <c r="BSX60" s="29"/>
      <c r="BSY60" s="131"/>
      <c r="BSZ60" s="29"/>
      <c r="BTA60" s="29"/>
      <c r="BTB60" s="29"/>
      <c r="BTC60" s="29"/>
      <c r="BTD60" s="29"/>
      <c r="BTE60" s="136"/>
      <c r="BTF60" s="29"/>
      <c r="BTG60" s="29"/>
      <c r="BTH60" s="29"/>
      <c r="BTI60" s="29"/>
      <c r="BTJ60" s="29"/>
      <c r="BTK60" s="73"/>
      <c r="BTL60" s="29"/>
      <c r="BTM60" s="29"/>
      <c r="BTN60" s="29"/>
      <c r="BTO60" s="29"/>
      <c r="BTP60" s="29"/>
      <c r="BTQ60" s="136"/>
      <c r="BTR60" s="29"/>
      <c r="BTS60" s="29"/>
      <c r="BTT60" s="29"/>
      <c r="BTU60" s="29"/>
      <c r="BTV60" s="29"/>
      <c r="BTW60" s="73"/>
      <c r="BTX60" s="67"/>
      <c r="BTY60" s="67"/>
      <c r="BTZ60" s="67"/>
      <c r="BUA60" s="67"/>
      <c r="BUB60" s="29"/>
      <c r="BUC60" s="136"/>
      <c r="BUD60" s="29"/>
      <c r="BUE60" s="29"/>
      <c r="BUF60" s="29"/>
      <c r="BUG60" s="29"/>
      <c r="BUH60" s="29"/>
      <c r="BUI60" s="73"/>
      <c r="BUJ60" s="29"/>
      <c r="BUK60" s="29"/>
      <c r="BUL60" s="29"/>
      <c r="BUM60" s="29"/>
      <c r="BUN60" s="29"/>
      <c r="BUO60" s="136"/>
      <c r="BUP60" s="29"/>
      <c r="BUQ60" s="29"/>
      <c r="BUR60" s="29"/>
      <c r="BUS60" s="29"/>
      <c r="BUT60" s="29"/>
      <c r="BUU60" s="73"/>
      <c r="BUV60" s="29"/>
      <c r="BUW60" s="29"/>
      <c r="BUX60" s="29"/>
      <c r="BUY60" s="29"/>
      <c r="BUZ60" s="29"/>
      <c r="BVA60" s="30"/>
      <c r="BVB60" s="90"/>
    </row>
    <row r="61" spans="1:1926" ht="20.100000000000001" customHeight="1" x14ac:dyDescent="0.25">
      <c r="A61" s="100" t="s">
        <v>20</v>
      </c>
      <c r="B61" s="63"/>
      <c r="C61" s="180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32"/>
      <c r="BOE61" s="64"/>
      <c r="BOF61" s="64"/>
      <c r="BOG61" s="64"/>
      <c r="BOH61" s="33"/>
      <c r="BOI61" s="132"/>
      <c r="BOJ61" s="33"/>
      <c r="BOK61" s="33"/>
      <c r="BOL61" s="33"/>
      <c r="BOM61" s="33"/>
      <c r="BON61" s="33"/>
      <c r="BOO61" s="137"/>
      <c r="BOP61" s="33"/>
      <c r="BOQ61" s="33"/>
      <c r="BOR61" s="33"/>
      <c r="BOS61" s="33"/>
      <c r="BOT61" s="33"/>
      <c r="BOU61" s="74"/>
      <c r="BOV61" s="33"/>
      <c r="BOW61" s="33"/>
      <c r="BOX61" s="33"/>
      <c r="BOY61" s="33"/>
      <c r="BOZ61" s="33"/>
      <c r="BPA61" s="137"/>
      <c r="BPB61" s="33"/>
      <c r="BPC61" s="33"/>
      <c r="BPD61" s="33"/>
      <c r="BPE61" s="33"/>
      <c r="BPF61" s="33"/>
      <c r="BPG61" s="74"/>
      <c r="BPH61" s="64"/>
      <c r="BPI61" s="64"/>
      <c r="BPJ61" s="64"/>
      <c r="BPK61" s="64"/>
      <c r="BPL61" s="33"/>
      <c r="BPM61" s="137"/>
      <c r="BPN61" s="33"/>
      <c r="BPO61" s="33"/>
      <c r="BPP61" s="33"/>
      <c r="BPQ61" s="33"/>
      <c r="BPR61" s="33"/>
      <c r="BPS61" s="74"/>
      <c r="BPT61" s="33"/>
      <c r="BPU61" s="33"/>
      <c r="BPV61" s="33"/>
      <c r="BPW61" s="33"/>
      <c r="BPX61" s="33"/>
      <c r="BPY61" s="137"/>
      <c r="BPZ61" s="33"/>
      <c r="BQA61" s="33"/>
      <c r="BQB61" s="33"/>
      <c r="BQC61" s="33"/>
      <c r="BQD61" s="33"/>
      <c r="BQE61" s="74"/>
      <c r="BQF61" s="33"/>
      <c r="BQG61" s="33"/>
      <c r="BQH61" s="33"/>
      <c r="BQI61" s="33"/>
      <c r="BQJ61" s="33"/>
      <c r="BQK61" s="34"/>
      <c r="BQL61" s="32"/>
      <c r="BQM61" s="64"/>
      <c r="BQN61" s="64"/>
      <c r="BQO61" s="64"/>
      <c r="BQP61" s="33"/>
      <c r="BQQ61" s="132"/>
      <c r="BQR61" s="33"/>
      <c r="BQS61" s="33"/>
      <c r="BQT61" s="33"/>
      <c r="BQU61" s="33"/>
      <c r="BQV61" s="33"/>
      <c r="BQW61" s="137"/>
      <c r="BQX61" s="33"/>
      <c r="BQY61" s="33"/>
      <c r="BQZ61" s="33"/>
      <c r="BRA61" s="33"/>
      <c r="BRB61" s="33"/>
      <c r="BRC61" s="74"/>
      <c r="BRD61" s="33"/>
      <c r="BRE61" s="33"/>
      <c r="BRF61" s="33"/>
      <c r="BRG61" s="33"/>
      <c r="BRH61" s="33"/>
      <c r="BRI61" s="137"/>
      <c r="BRJ61" s="33"/>
      <c r="BRK61" s="33"/>
      <c r="BRL61" s="33"/>
      <c r="BRM61" s="33"/>
      <c r="BRN61" s="33"/>
      <c r="BRO61" s="74"/>
      <c r="BRP61" s="64"/>
      <c r="BRQ61" s="64"/>
      <c r="BRR61" s="64"/>
      <c r="BRS61" s="64"/>
      <c r="BRT61" s="33"/>
      <c r="BRU61" s="137"/>
      <c r="BRV61" s="33"/>
      <c r="BRW61" s="33"/>
      <c r="BRX61" s="33"/>
      <c r="BRY61" s="33"/>
      <c r="BRZ61" s="33"/>
      <c r="BSA61" s="74"/>
      <c r="BSB61" s="33"/>
      <c r="BSC61" s="33"/>
      <c r="BSD61" s="33"/>
      <c r="BSE61" s="33"/>
      <c r="BSF61" s="33"/>
      <c r="BSG61" s="137"/>
      <c r="BSH61" s="33"/>
      <c r="BSI61" s="33"/>
      <c r="BSJ61" s="33"/>
      <c r="BSK61" s="33"/>
      <c r="BSL61" s="33"/>
      <c r="BSM61" s="74"/>
      <c r="BSN61" s="33"/>
      <c r="BSO61" s="33"/>
      <c r="BSP61" s="33"/>
      <c r="BSQ61" s="33"/>
      <c r="BSR61" s="33"/>
      <c r="BSS61" s="34"/>
      <c r="BST61" s="32"/>
      <c r="BSU61" s="64"/>
      <c r="BSV61" s="64"/>
      <c r="BSW61" s="64"/>
      <c r="BSX61" s="33"/>
      <c r="BSY61" s="132"/>
      <c r="BSZ61" s="33"/>
      <c r="BTA61" s="33"/>
      <c r="BTB61" s="33"/>
      <c r="BTC61" s="33"/>
      <c r="BTD61" s="33"/>
      <c r="BTE61" s="137"/>
      <c r="BTF61" s="33"/>
      <c r="BTG61" s="33"/>
      <c r="BTH61" s="33"/>
      <c r="BTI61" s="33"/>
      <c r="BTJ61" s="33"/>
      <c r="BTK61" s="74"/>
      <c r="BTL61" s="33"/>
      <c r="BTM61" s="33"/>
      <c r="BTN61" s="33"/>
      <c r="BTO61" s="33"/>
      <c r="BTP61" s="33"/>
      <c r="BTQ61" s="137"/>
      <c r="BTR61" s="33"/>
      <c r="BTS61" s="33"/>
      <c r="BTT61" s="33"/>
      <c r="BTU61" s="33"/>
      <c r="BTV61" s="33"/>
      <c r="BTW61" s="74"/>
      <c r="BTX61" s="64"/>
      <c r="BTY61" s="64"/>
      <c r="BTZ61" s="64"/>
      <c r="BUA61" s="64"/>
      <c r="BUB61" s="33"/>
      <c r="BUC61" s="137"/>
      <c r="BUD61" s="33"/>
      <c r="BUE61" s="33"/>
      <c r="BUF61" s="33"/>
      <c r="BUG61" s="33"/>
      <c r="BUH61" s="33"/>
      <c r="BUI61" s="74"/>
      <c r="BUJ61" s="33"/>
      <c r="BUK61" s="33"/>
      <c r="BUL61" s="33"/>
      <c r="BUM61" s="33"/>
      <c r="BUN61" s="33"/>
      <c r="BUO61" s="137"/>
      <c r="BUP61" s="33"/>
      <c r="BUQ61" s="33"/>
      <c r="BUR61" s="33"/>
      <c r="BUS61" s="33"/>
      <c r="BUT61" s="33"/>
      <c r="BUU61" s="74"/>
      <c r="BUV61" s="33"/>
      <c r="BUW61" s="33"/>
      <c r="BUX61" s="33"/>
      <c r="BUY61" s="33"/>
      <c r="BUZ61" s="33"/>
      <c r="BVA61" s="34"/>
      <c r="BVB61" s="90"/>
    </row>
    <row r="62" spans="1:1926" ht="20.100000000000001" customHeight="1" x14ac:dyDescent="0.25">
      <c r="A62" s="100" t="s">
        <v>21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36"/>
      <c r="BOE62" s="65"/>
      <c r="BOF62" s="65"/>
      <c r="BOG62" s="65"/>
      <c r="BOH62" s="37"/>
      <c r="BOI62" s="133"/>
      <c r="BOJ62" s="37"/>
      <c r="BOK62" s="37"/>
      <c r="BOL62" s="37"/>
      <c r="BOM62" s="37"/>
      <c r="BON62" s="37"/>
      <c r="BOO62" s="138"/>
      <c r="BOP62" s="37"/>
      <c r="BOQ62" s="37"/>
      <c r="BOR62" s="37"/>
      <c r="BOS62" s="37"/>
      <c r="BOT62" s="37"/>
      <c r="BOU62" s="75"/>
      <c r="BOV62" s="37"/>
      <c r="BOW62" s="37"/>
      <c r="BOX62" s="37"/>
      <c r="BOY62" s="37"/>
      <c r="BOZ62" s="37"/>
      <c r="BPA62" s="138"/>
      <c r="BPB62" s="37"/>
      <c r="BPC62" s="37"/>
      <c r="BPD62" s="37"/>
      <c r="BPE62" s="37"/>
      <c r="BPF62" s="37"/>
      <c r="BPG62" s="75"/>
      <c r="BPH62" s="65"/>
      <c r="BPI62" s="65"/>
      <c r="BPJ62" s="65"/>
      <c r="BPK62" s="65"/>
      <c r="BPL62" s="37"/>
      <c r="BPM62" s="138"/>
      <c r="BPN62" s="37"/>
      <c r="BPO62" s="37"/>
      <c r="BPP62" s="37"/>
      <c r="BPQ62" s="37"/>
      <c r="BPR62" s="37"/>
      <c r="BPS62" s="75"/>
      <c r="BPT62" s="37"/>
      <c r="BPU62" s="37"/>
      <c r="BPV62" s="37"/>
      <c r="BPW62" s="37"/>
      <c r="BPX62" s="37"/>
      <c r="BPY62" s="138"/>
      <c r="BPZ62" s="37"/>
      <c r="BQA62" s="37"/>
      <c r="BQB62" s="37"/>
      <c r="BQC62" s="37"/>
      <c r="BQD62" s="37"/>
      <c r="BQE62" s="75"/>
      <c r="BQF62" s="37"/>
      <c r="BQG62" s="37"/>
      <c r="BQH62" s="37"/>
      <c r="BQI62" s="37"/>
      <c r="BQJ62" s="37"/>
      <c r="BQK62" s="38"/>
      <c r="BQL62" s="36"/>
      <c r="BQM62" s="65"/>
      <c r="BQN62" s="65"/>
      <c r="BQO62" s="65"/>
      <c r="BQP62" s="37"/>
      <c r="BQQ62" s="133"/>
      <c r="BQR62" s="37"/>
      <c r="BQS62" s="37"/>
      <c r="BQT62" s="37"/>
      <c r="BQU62" s="37"/>
      <c r="BQV62" s="37"/>
      <c r="BQW62" s="138"/>
      <c r="BQX62" s="37"/>
      <c r="BQY62" s="37"/>
      <c r="BQZ62" s="37"/>
      <c r="BRA62" s="37"/>
      <c r="BRB62" s="37"/>
      <c r="BRC62" s="75"/>
      <c r="BRD62" s="37"/>
      <c r="BRE62" s="37"/>
      <c r="BRF62" s="37"/>
      <c r="BRG62" s="37"/>
      <c r="BRH62" s="37"/>
      <c r="BRI62" s="138"/>
      <c r="BRJ62" s="37"/>
      <c r="BRK62" s="37"/>
      <c r="BRL62" s="37"/>
      <c r="BRM62" s="37"/>
      <c r="BRN62" s="37"/>
      <c r="BRO62" s="75"/>
      <c r="BRP62" s="65"/>
      <c r="BRQ62" s="65"/>
      <c r="BRR62" s="65"/>
      <c r="BRS62" s="65"/>
      <c r="BRT62" s="37"/>
      <c r="BRU62" s="138"/>
      <c r="BRV62" s="37"/>
      <c r="BRW62" s="37"/>
      <c r="BRX62" s="37"/>
      <c r="BRY62" s="37"/>
      <c r="BRZ62" s="37"/>
      <c r="BSA62" s="75"/>
      <c r="BSB62" s="37"/>
      <c r="BSC62" s="37"/>
      <c r="BSD62" s="37"/>
      <c r="BSE62" s="37"/>
      <c r="BSF62" s="37"/>
      <c r="BSG62" s="138"/>
      <c r="BSH62" s="37"/>
      <c r="BSI62" s="37"/>
      <c r="BSJ62" s="37"/>
      <c r="BSK62" s="37"/>
      <c r="BSL62" s="37"/>
      <c r="BSM62" s="75"/>
      <c r="BSN62" s="37"/>
      <c r="BSO62" s="37"/>
      <c r="BSP62" s="37"/>
      <c r="BSQ62" s="37"/>
      <c r="BSR62" s="37"/>
      <c r="BSS62" s="38"/>
      <c r="BST62" s="36"/>
      <c r="BSU62" s="65"/>
      <c r="BSV62" s="65"/>
      <c r="BSW62" s="65"/>
      <c r="BSX62" s="37"/>
      <c r="BSY62" s="133"/>
      <c r="BSZ62" s="37"/>
      <c r="BTA62" s="37"/>
      <c r="BTB62" s="37"/>
      <c r="BTC62" s="37"/>
      <c r="BTD62" s="37"/>
      <c r="BTE62" s="138"/>
      <c r="BTF62" s="37"/>
      <c r="BTG62" s="37"/>
      <c r="BTH62" s="37"/>
      <c r="BTI62" s="37"/>
      <c r="BTJ62" s="37"/>
      <c r="BTK62" s="75"/>
      <c r="BTL62" s="37"/>
      <c r="BTM62" s="37"/>
      <c r="BTN62" s="37"/>
      <c r="BTO62" s="37"/>
      <c r="BTP62" s="37"/>
      <c r="BTQ62" s="138"/>
      <c r="BTR62" s="37"/>
      <c r="BTS62" s="37"/>
      <c r="BTT62" s="37"/>
      <c r="BTU62" s="37"/>
      <c r="BTV62" s="37"/>
      <c r="BTW62" s="75"/>
      <c r="BTX62" s="65"/>
      <c r="BTY62" s="65"/>
      <c r="BTZ62" s="65"/>
      <c r="BUA62" s="65"/>
      <c r="BUB62" s="37"/>
      <c r="BUC62" s="138"/>
      <c r="BUD62" s="37"/>
      <c r="BUE62" s="37"/>
      <c r="BUF62" s="37"/>
      <c r="BUG62" s="37"/>
      <c r="BUH62" s="37"/>
      <c r="BUI62" s="75"/>
      <c r="BUJ62" s="37"/>
      <c r="BUK62" s="37"/>
      <c r="BUL62" s="37"/>
      <c r="BUM62" s="37"/>
      <c r="BUN62" s="37"/>
      <c r="BUO62" s="138"/>
      <c r="BUP62" s="37"/>
      <c r="BUQ62" s="37"/>
      <c r="BUR62" s="37"/>
      <c r="BUS62" s="37"/>
      <c r="BUT62" s="37"/>
      <c r="BUU62" s="75"/>
      <c r="BUV62" s="37"/>
      <c r="BUW62" s="37"/>
      <c r="BUX62" s="37"/>
      <c r="BUY62" s="37"/>
      <c r="BUZ62" s="37"/>
      <c r="BVA62" s="38"/>
      <c r="BVB62" s="90"/>
    </row>
    <row r="63" spans="1:1926" ht="20.100000000000001" customHeight="1" x14ac:dyDescent="0.25">
      <c r="A63" s="100" t="s">
        <v>20</v>
      </c>
      <c r="B63" s="63"/>
      <c r="C63" s="180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40"/>
      <c r="BOE63" s="66"/>
      <c r="BOF63" s="66"/>
      <c r="BOG63" s="66"/>
      <c r="BOH63" s="41"/>
      <c r="BOI63" s="134"/>
      <c r="BOJ63" s="41"/>
      <c r="BOK63" s="41"/>
      <c r="BOL63" s="41"/>
      <c r="BOM63" s="41"/>
      <c r="BON63" s="41"/>
      <c r="BOO63" s="139"/>
      <c r="BOP63" s="41"/>
      <c r="BOQ63" s="41"/>
      <c r="BOR63" s="41"/>
      <c r="BOS63" s="41"/>
      <c r="BOT63" s="41"/>
      <c r="BOU63" s="76"/>
      <c r="BOV63" s="41"/>
      <c r="BOW63" s="41"/>
      <c r="BOX63" s="41"/>
      <c r="BOY63" s="41"/>
      <c r="BOZ63" s="41"/>
      <c r="BPA63" s="139"/>
      <c r="BPB63" s="41"/>
      <c r="BPC63" s="41"/>
      <c r="BPD63" s="41"/>
      <c r="BPE63" s="41"/>
      <c r="BPF63" s="41"/>
      <c r="BPG63" s="76"/>
      <c r="BPH63" s="66"/>
      <c r="BPI63" s="66"/>
      <c r="BPJ63" s="66"/>
      <c r="BPK63" s="66"/>
      <c r="BPL63" s="41"/>
      <c r="BPM63" s="139"/>
      <c r="BPN63" s="41"/>
      <c r="BPO63" s="41"/>
      <c r="BPP63" s="41"/>
      <c r="BPQ63" s="41"/>
      <c r="BPR63" s="41"/>
      <c r="BPS63" s="76"/>
      <c r="BPT63" s="41"/>
      <c r="BPU63" s="41"/>
      <c r="BPV63" s="41"/>
      <c r="BPW63" s="41"/>
      <c r="BPX63" s="41"/>
      <c r="BPY63" s="139"/>
      <c r="BPZ63" s="41"/>
      <c r="BQA63" s="41"/>
      <c r="BQB63" s="41"/>
      <c r="BQC63" s="41"/>
      <c r="BQD63" s="41"/>
      <c r="BQE63" s="76"/>
      <c r="BQF63" s="41"/>
      <c r="BQG63" s="41"/>
      <c r="BQH63" s="41"/>
      <c r="BQI63" s="41"/>
      <c r="BQJ63" s="41"/>
      <c r="BQK63" s="42"/>
      <c r="BQL63" s="40"/>
      <c r="BQM63" s="66"/>
      <c r="BQN63" s="66"/>
      <c r="BQO63" s="66"/>
      <c r="BQP63" s="41"/>
      <c r="BQQ63" s="134"/>
      <c r="BQR63" s="41"/>
      <c r="BQS63" s="41"/>
      <c r="BQT63" s="41"/>
      <c r="BQU63" s="41"/>
      <c r="BQV63" s="41"/>
      <c r="BQW63" s="139"/>
      <c r="BQX63" s="41"/>
      <c r="BQY63" s="41"/>
      <c r="BQZ63" s="41"/>
      <c r="BRA63" s="41"/>
      <c r="BRB63" s="41"/>
      <c r="BRC63" s="76"/>
      <c r="BRD63" s="41"/>
      <c r="BRE63" s="41"/>
      <c r="BRF63" s="41"/>
      <c r="BRG63" s="41"/>
      <c r="BRH63" s="41"/>
      <c r="BRI63" s="139"/>
      <c r="BRJ63" s="41"/>
      <c r="BRK63" s="41"/>
      <c r="BRL63" s="41"/>
      <c r="BRM63" s="41"/>
      <c r="BRN63" s="41"/>
      <c r="BRO63" s="76"/>
      <c r="BRP63" s="66"/>
      <c r="BRQ63" s="66"/>
      <c r="BRR63" s="66"/>
      <c r="BRS63" s="66"/>
      <c r="BRT63" s="41"/>
      <c r="BRU63" s="139"/>
      <c r="BRV63" s="41"/>
      <c r="BRW63" s="41"/>
      <c r="BRX63" s="41"/>
      <c r="BRY63" s="41"/>
      <c r="BRZ63" s="41"/>
      <c r="BSA63" s="76"/>
      <c r="BSB63" s="41"/>
      <c r="BSC63" s="41"/>
      <c r="BSD63" s="41"/>
      <c r="BSE63" s="41"/>
      <c r="BSF63" s="41"/>
      <c r="BSG63" s="139"/>
      <c r="BSH63" s="41"/>
      <c r="BSI63" s="41"/>
      <c r="BSJ63" s="41"/>
      <c r="BSK63" s="41"/>
      <c r="BSL63" s="41"/>
      <c r="BSM63" s="76"/>
      <c r="BSN63" s="41"/>
      <c r="BSO63" s="41"/>
      <c r="BSP63" s="41"/>
      <c r="BSQ63" s="41"/>
      <c r="BSR63" s="41"/>
      <c r="BSS63" s="42"/>
      <c r="BST63" s="40"/>
      <c r="BSU63" s="66"/>
      <c r="BSV63" s="66"/>
      <c r="BSW63" s="66"/>
      <c r="BSX63" s="41"/>
      <c r="BSY63" s="134"/>
      <c r="BSZ63" s="41"/>
      <c r="BTA63" s="41"/>
      <c r="BTB63" s="41"/>
      <c r="BTC63" s="41"/>
      <c r="BTD63" s="41"/>
      <c r="BTE63" s="139"/>
      <c r="BTF63" s="41"/>
      <c r="BTG63" s="41"/>
      <c r="BTH63" s="41"/>
      <c r="BTI63" s="41"/>
      <c r="BTJ63" s="41"/>
      <c r="BTK63" s="76"/>
      <c r="BTL63" s="41"/>
      <c r="BTM63" s="41"/>
      <c r="BTN63" s="41"/>
      <c r="BTO63" s="41"/>
      <c r="BTP63" s="41"/>
      <c r="BTQ63" s="139"/>
      <c r="BTR63" s="41"/>
      <c r="BTS63" s="41"/>
      <c r="BTT63" s="41"/>
      <c r="BTU63" s="41"/>
      <c r="BTV63" s="41"/>
      <c r="BTW63" s="76"/>
      <c r="BTX63" s="66"/>
      <c r="BTY63" s="66"/>
      <c r="BTZ63" s="66"/>
      <c r="BUA63" s="66"/>
      <c r="BUB63" s="41"/>
      <c r="BUC63" s="139"/>
      <c r="BUD63" s="41"/>
      <c r="BUE63" s="41"/>
      <c r="BUF63" s="41"/>
      <c r="BUG63" s="41"/>
      <c r="BUH63" s="41"/>
      <c r="BUI63" s="76"/>
      <c r="BUJ63" s="41"/>
      <c r="BUK63" s="41"/>
      <c r="BUL63" s="41"/>
      <c r="BUM63" s="41"/>
      <c r="BUN63" s="41"/>
      <c r="BUO63" s="139"/>
      <c r="BUP63" s="41"/>
      <c r="BUQ63" s="41"/>
      <c r="BUR63" s="41"/>
      <c r="BUS63" s="41"/>
      <c r="BUT63" s="41"/>
      <c r="BUU63" s="76"/>
      <c r="BUV63" s="41"/>
      <c r="BUW63" s="41"/>
      <c r="BUX63" s="41"/>
      <c r="BUY63" s="41"/>
      <c r="BUZ63" s="41"/>
      <c r="BVA63" s="42"/>
      <c r="BVB63" s="90"/>
    </row>
    <row r="64" spans="1:1926" ht="20.100000000000001" customHeight="1" x14ac:dyDescent="0.3">
      <c r="A64" s="100" t="s">
        <v>21</v>
      </c>
      <c r="B64" s="63"/>
      <c r="C64" s="181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28"/>
      <c r="BOE64" s="67"/>
      <c r="BOF64" s="67"/>
      <c r="BOG64" s="67"/>
      <c r="BOH64" s="29"/>
      <c r="BOI64" s="131"/>
      <c r="BOJ64" s="29"/>
      <c r="BOK64" s="29"/>
      <c r="BOL64" s="29"/>
      <c r="BOM64" s="29"/>
      <c r="BON64" s="29"/>
      <c r="BOO64" s="136"/>
      <c r="BOP64" s="29"/>
      <c r="BOQ64" s="29"/>
      <c r="BOR64" s="29"/>
      <c r="BOS64" s="29"/>
      <c r="BOT64" s="29"/>
      <c r="BOU64" s="73"/>
      <c r="BOV64" s="29"/>
      <c r="BOW64" s="29"/>
      <c r="BOX64" s="29"/>
      <c r="BOY64" s="29"/>
      <c r="BOZ64" s="29"/>
      <c r="BPA64" s="136"/>
      <c r="BPB64" s="29"/>
      <c r="BPC64" s="29"/>
      <c r="BPD64" s="29"/>
      <c r="BPE64" s="29"/>
      <c r="BPF64" s="29"/>
      <c r="BPG64" s="73"/>
      <c r="BPH64" s="67"/>
      <c r="BPI64" s="67"/>
      <c r="BPJ64" s="67"/>
      <c r="BPK64" s="67"/>
      <c r="BPL64" s="29"/>
      <c r="BPM64" s="136"/>
      <c r="BPN64" s="29"/>
      <c r="BPO64" s="29"/>
      <c r="BPP64" s="29"/>
      <c r="BPQ64" s="29"/>
      <c r="BPR64" s="29"/>
      <c r="BPS64" s="73"/>
      <c r="BPT64" s="29"/>
      <c r="BPU64" s="29"/>
      <c r="BPV64" s="29"/>
      <c r="BPW64" s="29"/>
      <c r="BPX64" s="29"/>
      <c r="BPY64" s="136"/>
      <c r="BPZ64" s="29"/>
      <c r="BQA64" s="29"/>
      <c r="BQB64" s="29"/>
      <c r="BQC64" s="29"/>
      <c r="BQD64" s="29"/>
      <c r="BQE64" s="73"/>
      <c r="BQF64" s="29"/>
      <c r="BQG64" s="29"/>
      <c r="BQH64" s="29"/>
      <c r="BQI64" s="29"/>
      <c r="BQJ64" s="29"/>
      <c r="BQK64" s="30"/>
      <c r="BQL64" s="28"/>
      <c r="BQM64" s="67"/>
      <c r="BQN64" s="67"/>
      <c r="BQO64" s="67"/>
      <c r="BQP64" s="29"/>
      <c r="BQQ64" s="131"/>
      <c r="BQR64" s="29"/>
      <c r="BQS64" s="29"/>
      <c r="BQT64" s="29"/>
      <c r="BQU64" s="29"/>
      <c r="BQV64" s="29"/>
      <c r="BQW64" s="136"/>
      <c r="BQX64" s="29"/>
      <c r="BQY64" s="29"/>
      <c r="BQZ64" s="29"/>
      <c r="BRA64" s="29"/>
      <c r="BRB64" s="29"/>
      <c r="BRC64" s="73"/>
      <c r="BRD64" s="29"/>
      <c r="BRE64" s="29"/>
      <c r="BRF64" s="29"/>
      <c r="BRG64" s="29"/>
      <c r="BRH64" s="29"/>
      <c r="BRI64" s="136"/>
      <c r="BRJ64" s="29"/>
      <c r="BRK64" s="29"/>
      <c r="BRL64" s="29"/>
      <c r="BRM64" s="29"/>
      <c r="BRN64" s="29"/>
      <c r="BRO64" s="73"/>
      <c r="BRP64" s="67"/>
      <c r="BRQ64" s="67"/>
      <c r="BRR64" s="67"/>
      <c r="BRS64" s="67"/>
      <c r="BRT64" s="29"/>
      <c r="BRU64" s="136"/>
      <c r="BRV64" s="29"/>
      <c r="BRW64" s="29"/>
      <c r="BRX64" s="29"/>
      <c r="BRY64" s="29"/>
      <c r="BRZ64" s="29"/>
      <c r="BSA64" s="73"/>
      <c r="BSB64" s="29"/>
      <c r="BSC64" s="29"/>
      <c r="BSD64" s="29"/>
      <c r="BSE64" s="29"/>
      <c r="BSF64" s="29"/>
      <c r="BSG64" s="136"/>
      <c r="BSH64" s="29"/>
      <c r="BSI64" s="29"/>
      <c r="BSJ64" s="29"/>
      <c r="BSK64" s="29"/>
      <c r="BSL64" s="29"/>
      <c r="BSM64" s="73"/>
      <c r="BSN64" s="29"/>
      <c r="BSO64" s="29"/>
      <c r="BSP64" s="29"/>
      <c r="BSQ64" s="29"/>
      <c r="BSR64" s="29"/>
      <c r="BSS64" s="30"/>
      <c r="BST64" s="28"/>
      <c r="BSU64" s="67"/>
      <c r="BSV64" s="67"/>
      <c r="BSW64" s="67"/>
      <c r="BSX64" s="29"/>
      <c r="BSY64" s="131"/>
      <c r="BSZ64" s="29"/>
      <c r="BTA64" s="29"/>
      <c r="BTB64" s="29"/>
      <c r="BTC64" s="29"/>
      <c r="BTD64" s="29"/>
      <c r="BTE64" s="136"/>
      <c r="BTF64" s="29"/>
      <c r="BTG64" s="29"/>
      <c r="BTH64" s="29"/>
      <c r="BTI64" s="29"/>
      <c r="BTJ64" s="29"/>
      <c r="BTK64" s="73"/>
      <c r="BTL64" s="29"/>
      <c r="BTM64" s="29"/>
      <c r="BTN64" s="29"/>
      <c r="BTO64" s="29"/>
      <c r="BTP64" s="29"/>
      <c r="BTQ64" s="136"/>
      <c r="BTR64" s="29"/>
      <c r="BTS64" s="29"/>
      <c r="BTT64" s="29"/>
      <c r="BTU64" s="29"/>
      <c r="BTV64" s="29"/>
      <c r="BTW64" s="73"/>
      <c r="BTX64" s="67"/>
      <c r="BTY64" s="67"/>
      <c r="BTZ64" s="67"/>
      <c r="BUA64" s="67"/>
      <c r="BUB64" s="29"/>
      <c r="BUC64" s="136"/>
      <c r="BUD64" s="29"/>
      <c r="BUE64" s="29"/>
      <c r="BUF64" s="29"/>
      <c r="BUG64" s="29"/>
      <c r="BUH64" s="29"/>
      <c r="BUI64" s="73"/>
      <c r="BUJ64" s="29"/>
      <c r="BUK64" s="29"/>
      <c r="BUL64" s="29"/>
      <c r="BUM64" s="29"/>
      <c r="BUN64" s="29"/>
      <c r="BUO64" s="136"/>
      <c r="BUP64" s="29"/>
      <c r="BUQ64" s="29"/>
      <c r="BUR64" s="29"/>
      <c r="BUS64" s="29"/>
      <c r="BUT64" s="29"/>
      <c r="BUU64" s="73"/>
      <c r="BUV64" s="29"/>
      <c r="BUW64" s="29"/>
      <c r="BUX64" s="29"/>
      <c r="BUY64" s="29"/>
      <c r="BUZ64" s="29"/>
      <c r="BVA64" s="30"/>
      <c r="BVB64" s="90"/>
    </row>
    <row r="65" spans="1:1926" ht="20.100000000000001" customHeight="1" x14ac:dyDescent="0.25">
      <c r="A65" s="100" t="s">
        <v>20</v>
      </c>
      <c r="B65" s="63"/>
      <c r="C65" s="180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32"/>
      <c r="BOE65" s="64"/>
      <c r="BOF65" s="64"/>
      <c r="BOG65" s="64"/>
      <c r="BOH65" s="33"/>
      <c r="BOI65" s="132"/>
      <c r="BOJ65" s="33"/>
      <c r="BOK65" s="33"/>
      <c r="BOL65" s="33"/>
      <c r="BOM65" s="33"/>
      <c r="BON65" s="33"/>
      <c r="BOO65" s="137"/>
      <c r="BOP65" s="33"/>
      <c r="BOQ65" s="33"/>
      <c r="BOR65" s="33"/>
      <c r="BOS65" s="33"/>
      <c r="BOT65" s="33"/>
      <c r="BOU65" s="74"/>
      <c r="BOV65" s="33"/>
      <c r="BOW65" s="33"/>
      <c r="BOX65" s="33"/>
      <c r="BOY65" s="33"/>
      <c r="BOZ65" s="33"/>
      <c r="BPA65" s="137"/>
      <c r="BPB65" s="33"/>
      <c r="BPC65" s="33"/>
      <c r="BPD65" s="33"/>
      <c r="BPE65" s="33"/>
      <c r="BPF65" s="33"/>
      <c r="BPG65" s="74"/>
      <c r="BPH65" s="64"/>
      <c r="BPI65" s="64"/>
      <c r="BPJ65" s="64"/>
      <c r="BPK65" s="64"/>
      <c r="BPL65" s="33"/>
      <c r="BPM65" s="137"/>
      <c r="BPN65" s="33"/>
      <c r="BPO65" s="33"/>
      <c r="BPP65" s="33"/>
      <c r="BPQ65" s="33"/>
      <c r="BPR65" s="33"/>
      <c r="BPS65" s="74"/>
      <c r="BPT65" s="33"/>
      <c r="BPU65" s="33"/>
      <c r="BPV65" s="33"/>
      <c r="BPW65" s="33"/>
      <c r="BPX65" s="33"/>
      <c r="BPY65" s="137"/>
      <c r="BPZ65" s="33"/>
      <c r="BQA65" s="33"/>
      <c r="BQB65" s="33"/>
      <c r="BQC65" s="33"/>
      <c r="BQD65" s="33"/>
      <c r="BQE65" s="74"/>
      <c r="BQF65" s="33"/>
      <c r="BQG65" s="33"/>
      <c r="BQH65" s="33"/>
      <c r="BQI65" s="33"/>
      <c r="BQJ65" s="33"/>
      <c r="BQK65" s="34"/>
      <c r="BQL65" s="32"/>
      <c r="BQM65" s="64"/>
      <c r="BQN65" s="64"/>
      <c r="BQO65" s="64"/>
      <c r="BQP65" s="33"/>
      <c r="BQQ65" s="132"/>
      <c r="BQR65" s="33"/>
      <c r="BQS65" s="33"/>
      <c r="BQT65" s="33"/>
      <c r="BQU65" s="33"/>
      <c r="BQV65" s="33"/>
      <c r="BQW65" s="137"/>
      <c r="BQX65" s="33"/>
      <c r="BQY65" s="33"/>
      <c r="BQZ65" s="33"/>
      <c r="BRA65" s="33"/>
      <c r="BRB65" s="33"/>
      <c r="BRC65" s="74"/>
      <c r="BRD65" s="33"/>
      <c r="BRE65" s="33"/>
      <c r="BRF65" s="33"/>
      <c r="BRG65" s="33"/>
      <c r="BRH65" s="33"/>
      <c r="BRI65" s="137"/>
      <c r="BRJ65" s="33"/>
      <c r="BRK65" s="33"/>
      <c r="BRL65" s="33"/>
      <c r="BRM65" s="33"/>
      <c r="BRN65" s="33"/>
      <c r="BRO65" s="74"/>
      <c r="BRP65" s="64"/>
      <c r="BRQ65" s="64"/>
      <c r="BRR65" s="64"/>
      <c r="BRS65" s="64"/>
      <c r="BRT65" s="33"/>
      <c r="BRU65" s="137"/>
      <c r="BRV65" s="33"/>
      <c r="BRW65" s="33"/>
      <c r="BRX65" s="33"/>
      <c r="BRY65" s="33"/>
      <c r="BRZ65" s="33"/>
      <c r="BSA65" s="74"/>
      <c r="BSB65" s="33"/>
      <c r="BSC65" s="33"/>
      <c r="BSD65" s="33"/>
      <c r="BSE65" s="33"/>
      <c r="BSF65" s="33"/>
      <c r="BSG65" s="137"/>
      <c r="BSH65" s="33"/>
      <c r="BSI65" s="33"/>
      <c r="BSJ65" s="33"/>
      <c r="BSK65" s="33"/>
      <c r="BSL65" s="33"/>
      <c r="BSM65" s="74"/>
      <c r="BSN65" s="33"/>
      <c r="BSO65" s="33"/>
      <c r="BSP65" s="33"/>
      <c r="BSQ65" s="33"/>
      <c r="BSR65" s="33"/>
      <c r="BSS65" s="34"/>
      <c r="BST65" s="32"/>
      <c r="BSU65" s="64"/>
      <c r="BSV65" s="64"/>
      <c r="BSW65" s="64"/>
      <c r="BSX65" s="33"/>
      <c r="BSY65" s="132"/>
      <c r="BSZ65" s="33"/>
      <c r="BTA65" s="33"/>
      <c r="BTB65" s="33"/>
      <c r="BTC65" s="33"/>
      <c r="BTD65" s="33"/>
      <c r="BTE65" s="137"/>
      <c r="BTF65" s="33"/>
      <c r="BTG65" s="33"/>
      <c r="BTH65" s="33"/>
      <c r="BTI65" s="33"/>
      <c r="BTJ65" s="33"/>
      <c r="BTK65" s="74"/>
      <c r="BTL65" s="33"/>
      <c r="BTM65" s="33"/>
      <c r="BTN65" s="33"/>
      <c r="BTO65" s="33"/>
      <c r="BTP65" s="33"/>
      <c r="BTQ65" s="137"/>
      <c r="BTR65" s="33"/>
      <c r="BTS65" s="33"/>
      <c r="BTT65" s="33"/>
      <c r="BTU65" s="33"/>
      <c r="BTV65" s="33"/>
      <c r="BTW65" s="74"/>
      <c r="BTX65" s="64"/>
      <c r="BTY65" s="64"/>
      <c r="BTZ65" s="64"/>
      <c r="BUA65" s="64"/>
      <c r="BUB65" s="33"/>
      <c r="BUC65" s="137"/>
      <c r="BUD65" s="33"/>
      <c r="BUE65" s="33"/>
      <c r="BUF65" s="33"/>
      <c r="BUG65" s="33"/>
      <c r="BUH65" s="33"/>
      <c r="BUI65" s="74"/>
      <c r="BUJ65" s="33"/>
      <c r="BUK65" s="33"/>
      <c r="BUL65" s="33"/>
      <c r="BUM65" s="33"/>
      <c r="BUN65" s="33"/>
      <c r="BUO65" s="137"/>
      <c r="BUP65" s="33"/>
      <c r="BUQ65" s="33"/>
      <c r="BUR65" s="33"/>
      <c r="BUS65" s="33"/>
      <c r="BUT65" s="33"/>
      <c r="BUU65" s="74"/>
      <c r="BUV65" s="33"/>
      <c r="BUW65" s="33"/>
      <c r="BUX65" s="33"/>
      <c r="BUY65" s="33"/>
      <c r="BUZ65" s="33"/>
      <c r="BVA65" s="34"/>
      <c r="BVB65" s="90"/>
    </row>
    <row r="66" spans="1:1926" ht="20.100000000000001" customHeight="1" x14ac:dyDescent="0.3">
      <c r="A66" s="100" t="s">
        <v>21</v>
      </c>
      <c r="B66" s="63"/>
      <c r="C66" s="18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36"/>
      <c r="BOE66" s="65"/>
      <c r="BOF66" s="65"/>
      <c r="BOG66" s="65"/>
      <c r="BOH66" s="37"/>
      <c r="BOI66" s="133"/>
      <c r="BOJ66" s="37"/>
      <c r="BOK66" s="37"/>
      <c r="BOL66" s="37"/>
      <c r="BOM66" s="37"/>
      <c r="BON66" s="37"/>
      <c r="BOO66" s="138"/>
      <c r="BOP66" s="37"/>
      <c r="BOQ66" s="37"/>
      <c r="BOR66" s="37"/>
      <c r="BOS66" s="37"/>
      <c r="BOT66" s="37"/>
      <c r="BOU66" s="75"/>
      <c r="BOV66" s="37"/>
      <c r="BOW66" s="37"/>
      <c r="BOX66" s="37"/>
      <c r="BOY66" s="37"/>
      <c r="BOZ66" s="37"/>
      <c r="BPA66" s="138"/>
      <c r="BPB66" s="37"/>
      <c r="BPC66" s="37"/>
      <c r="BPD66" s="37"/>
      <c r="BPE66" s="37"/>
      <c r="BPF66" s="37"/>
      <c r="BPG66" s="75"/>
      <c r="BPH66" s="65"/>
      <c r="BPI66" s="65"/>
      <c r="BPJ66" s="65"/>
      <c r="BPK66" s="65"/>
      <c r="BPL66" s="37"/>
      <c r="BPM66" s="138"/>
      <c r="BPN66" s="37"/>
      <c r="BPO66" s="37"/>
      <c r="BPP66" s="37"/>
      <c r="BPQ66" s="37"/>
      <c r="BPR66" s="37"/>
      <c r="BPS66" s="75"/>
      <c r="BPT66" s="37"/>
      <c r="BPU66" s="37"/>
      <c r="BPV66" s="37"/>
      <c r="BPW66" s="37"/>
      <c r="BPX66" s="37"/>
      <c r="BPY66" s="138"/>
      <c r="BPZ66" s="37"/>
      <c r="BQA66" s="37"/>
      <c r="BQB66" s="37"/>
      <c r="BQC66" s="37"/>
      <c r="BQD66" s="37"/>
      <c r="BQE66" s="75"/>
      <c r="BQF66" s="37"/>
      <c r="BQG66" s="37"/>
      <c r="BQH66" s="37"/>
      <c r="BQI66" s="37"/>
      <c r="BQJ66" s="37"/>
      <c r="BQK66" s="38"/>
      <c r="BQL66" s="36"/>
      <c r="BQM66" s="65"/>
      <c r="BQN66" s="65"/>
      <c r="BQO66" s="65"/>
      <c r="BQP66" s="37"/>
      <c r="BQQ66" s="133"/>
      <c r="BQR66" s="37"/>
      <c r="BQS66" s="37"/>
      <c r="BQT66" s="37"/>
      <c r="BQU66" s="37"/>
      <c r="BQV66" s="37"/>
      <c r="BQW66" s="138"/>
      <c r="BQX66" s="37"/>
      <c r="BQY66" s="37"/>
      <c r="BQZ66" s="37"/>
      <c r="BRA66" s="37"/>
      <c r="BRB66" s="37"/>
      <c r="BRC66" s="75"/>
      <c r="BRD66" s="37"/>
      <c r="BRE66" s="37"/>
      <c r="BRF66" s="37"/>
      <c r="BRG66" s="37"/>
      <c r="BRH66" s="37"/>
      <c r="BRI66" s="138"/>
      <c r="BRJ66" s="37"/>
      <c r="BRK66" s="37"/>
      <c r="BRL66" s="37"/>
      <c r="BRM66" s="37"/>
      <c r="BRN66" s="37"/>
      <c r="BRO66" s="75"/>
      <c r="BRP66" s="65"/>
      <c r="BRQ66" s="65"/>
      <c r="BRR66" s="65"/>
      <c r="BRS66" s="65"/>
      <c r="BRT66" s="37"/>
      <c r="BRU66" s="138"/>
      <c r="BRV66" s="37"/>
      <c r="BRW66" s="37"/>
      <c r="BRX66" s="37"/>
      <c r="BRY66" s="37"/>
      <c r="BRZ66" s="37"/>
      <c r="BSA66" s="75"/>
      <c r="BSB66" s="37"/>
      <c r="BSC66" s="37"/>
      <c r="BSD66" s="37"/>
      <c r="BSE66" s="37"/>
      <c r="BSF66" s="37"/>
      <c r="BSG66" s="138"/>
      <c r="BSH66" s="37"/>
      <c r="BSI66" s="37"/>
      <c r="BSJ66" s="37"/>
      <c r="BSK66" s="37"/>
      <c r="BSL66" s="37"/>
      <c r="BSM66" s="75"/>
      <c r="BSN66" s="37"/>
      <c r="BSO66" s="37"/>
      <c r="BSP66" s="37"/>
      <c r="BSQ66" s="37"/>
      <c r="BSR66" s="37"/>
      <c r="BSS66" s="38"/>
      <c r="BST66" s="36"/>
      <c r="BSU66" s="65"/>
      <c r="BSV66" s="65"/>
      <c r="BSW66" s="65"/>
      <c r="BSX66" s="37"/>
      <c r="BSY66" s="133"/>
      <c r="BSZ66" s="37"/>
      <c r="BTA66" s="37"/>
      <c r="BTB66" s="37"/>
      <c r="BTC66" s="37"/>
      <c r="BTD66" s="37"/>
      <c r="BTE66" s="138"/>
      <c r="BTF66" s="37"/>
      <c r="BTG66" s="37"/>
      <c r="BTH66" s="37"/>
      <c r="BTI66" s="37"/>
      <c r="BTJ66" s="37"/>
      <c r="BTK66" s="75"/>
      <c r="BTL66" s="37"/>
      <c r="BTM66" s="37"/>
      <c r="BTN66" s="37"/>
      <c r="BTO66" s="37"/>
      <c r="BTP66" s="37"/>
      <c r="BTQ66" s="138"/>
      <c r="BTR66" s="37"/>
      <c r="BTS66" s="37"/>
      <c r="BTT66" s="37"/>
      <c r="BTU66" s="37"/>
      <c r="BTV66" s="37"/>
      <c r="BTW66" s="75"/>
      <c r="BTX66" s="65"/>
      <c r="BTY66" s="65"/>
      <c r="BTZ66" s="65"/>
      <c r="BUA66" s="65"/>
      <c r="BUB66" s="37"/>
      <c r="BUC66" s="138"/>
      <c r="BUD66" s="37"/>
      <c r="BUE66" s="37"/>
      <c r="BUF66" s="37"/>
      <c r="BUG66" s="37"/>
      <c r="BUH66" s="37"/>
      <c r="BUI66" s="75"/>
      <c r="BUJ66" s="37"/>
      <c r="BUK66" s="37"/>
      <c r="BUL66" s="37"/>
      <c r="BUM66" s="37"/>
      <c r="BUN66" s="37"/>
      <c r="BUO66" s="138"/>
      <c r="BUP66" s="37"/>
      <c r="BUQ66" s="37"/>
      <c r="BUR66" s="37"/>
      <c r="BUS66" s="37"/>
      <c r="BUT66" s="37"/>
      <c r="BUU66" s="75"/>
      <c r="BUV66" s="37"/>
      <c r="BUW66" s="37"/>
      <c r="BUX66" s="37"/>
      <c r="BUY66" s="37"/>
      <c r="BUZ66" s="37"/>
      <c r="BVA66" s="38"/>
      <c r="BVB66" s="90"/>
    </row>
    <row r="67" spans="1:1926" ht="20.100000000000001" customHeight="1" x14ac:dyDescent="0.25">
      <c r="A67" s="100" t="s">
        <v>20</v>
      </c>
      <c r="B67" s="63"/>
      <c r="C67" s="180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40"/>
      <c r="BOE67" s="66"/>
      <c r="BOF67" s="66"/>
      <c r="BOG67" s="66"/>
      <c r="BOH67" s="41"/>
      <c r="BOI67" s="134"/>
      <c r="BOJ67" s="41"/>
      <c r="BOK67" s="41"/>
      <c r="BOL67" s="41"/>
      <c r="BOM67" s="41"/>
      <c r="BON67" s="41"/>
      <c r="BOO67" s="139"/>
      <c r="BOP67" s="41"/>
      <c r="BOQ67" s="41"/>
      <c r="BOR67" s="41"/>
      <c r="BOS67" s="41"/>
      <c r="BOT67" s="41"/>
      <c r="BOU67" s="76"/>
      <c r="BOV67" s="41"/>
      <c r="BOW67" s="41"/>
      <c r="BOX67" s="41"/>
      <c r="BOY67" s="41"/>
      <c r="BOZ67" s="41"/>
      <c r="BPA67" s="139"/>
      <c r="BPB67" s="41"/>
      <c r="BPC67" s="41"/>
      <c r="BPD67" s="41"/>
      <c r="BPE67" s="41"/>
      <c r="BPF67" s="41"/>
      <c r="BPG67" s="76"/>
      <c r="BPH67" s="66"/>
      <c r="BPI67" s="66"/>
      <c r="BPJ67" s="66"/>
      <c r="BPK67" s="66"/>
      <c r="BPL67" s="41"/>
      <c r="BPM67" s="139"/>
      <c r="BPN67" s="41"/>
      <c r="BPO67" s="41"/>
      <c r="BPP67" s="41"/>
      <c r="BPQ67" s="41"/>
      <c r="BPR67" s="41"/>
      <c r="BPS67" s="76"/>
      <c r="BPT67" s="41"/>
      <c r="BPU67" s="41"/>
      <c r="BPV67" s="41"/>
      <c r="BPW67" s="41"/>
      <c r="BPX67" s="41"/>
      <c r="BPY67" s="139"/>
      <c r="BPZ67" s="41"/>
      <c r="BQA67" s="41"/>
      <c r="BQB67" s="41"/>
      <c r="BQC67" s="41"/>
      <c r="BQD67" s="41"/>
      <c r="BQE67" s="76"/>
      <c r="BQF67" s="41"/>
      <c r="BQG67" s="41"/>
      <c r="BQH67" s="41"/>
      <c r="BQI67" s="41"/>
      <c r="BQJ67" s="41"/>
      <c r="BQK67" s="42"/>
      <c r="BQL67" s="40"/>
      <c r="BQM67" s="66"/>
      <c r="BQN67" s="66"/>
      <c r="BQO67" s="66"/>
      <c r="BQP67" s="41"/>
      <c r="BQQ67" s="134"/>
      <c r="BQR67" s="41"/>
      <c r="BQS67" s="41"/>
      <c r="BQT67" s="41"/>
      <c r="BQU67" s="41"/>
      <c r="BQV67" s="41"/>
      <c r="BQW67" s="139"/>
      <c r="BQX67" s="41"/>
      <c r="BQY67" s="41"/>
      <c r="BQZ67" s="41"/>
      <c r="BRA67" s="41"/>
      <c r="BRB67" s="41"/>
      <c r="BRC67" s="76"/>
      <c r="BRD67" s="41"/>
      <c r="BRE67" s="41"/>
      <c r="BRF67" s="41"/>
      <c r="BRG67" s="41"/>
      <c r="BRH67" s="41"/>
      <c r="BRI67" s="139"/>
      <c r="BRJ67" s="41"/>
      <c r="BRK67" s="41"/>
      <c r="BRL67" s="41"/>
      <c r="BRM67" s="41"/>
      <c r="BRN67" s="41"/>
      <c r="BRO67" s="76"/>
      <c r="BRP67" s="66"/>
      <c r="BRQ67" s="66"/>
      <c r="BRR67" s="66"/>
      <c r="BRS67" s="66"/>
      <c r="BRT67" s="41"/>
      <c r="BRU67" s="139"/>
      <c r="BRV67" s="41"/>
      <c r="BRW67" s="41"/>
      <c r="BRX67" s="41"/>
      <c r="BRY67" s="41"/>
      <c r="BRZ67" s="41"/>
      <c r="BSA67" s="76"/>
      <c r="BSB67" s="41"/>
      <c r="BSC67" s="41"/>
      <c r="BSD67" s="41"/>
      <c r="BSE67" s="41"/>
      <c r="BSF67" s="41"/>
      <c r="BSG67" s="139"/>
      <c r="BSH67" s="41"/>
      <c r="BSI67" s="41"/>
      <c r="BSJ67" s="41"/>
      <c r="BSK67" s="41"/>
      <c r="BSL67" s="41"/>
      <c r="BSM67" s="76"/>
      <c r="BSN67" s="41"/>
      <c r="BSO67" s="41"/>
      <c r="BSP67" s="41"/>
      <c r="BSQ67" s="41"/>
      <c r="BSR67" s="41"/>
      <c r="BSS67" s="42"/>
      <c r="BST67" s="40"/>
      <c r="BSU67" s="66"/>
      <c r="BSV67" s="66"/>
      <c r="BSW67" s="66"/>
      <c r="BSX67" s="41"/>
      <c r="BSY67" s="134"/>
      <c r="BSZ67" s="41"/>
      <c r="BTA67" s="41"/>
      <c r="BTB67" s="41"/>
      <c r="BTC67" s="41"/>
      <c r="BTD67" s="41"/>
      <c r="BTE67" s="139"/>
      <c r="BTF67" s="41"/>
      <c r="BTG67" s="41"/>
      <c r="BTH67" s="41"/>
      <c r="BTI67" s="41"/>
      <c r="BTJ67" s="41"/>
      <c r="BTK67" s="76"/>
      <c r="BTL67" s="41"/>
      <c r="BTM67" s="41"/>
      <c r="BTN67" s="41"/>
      <c r="BTO67" s="41"/>
      <c r="BTP67" s="41"/>
      <c r="BTQ67" s="139"/>
      <c r="BTR67" s="41"/>
      <c r="BTS67" s="41"/>
      <c r="BTT67" s="41"/>
      <c r="BTU67" s="41"/>
      <c r="BTV67" s="41"/>
      <c r="BTW67" s="76"/>
      <c r="BTX67" s="66"/>
      <c r="BTY67" s="66"/>
      <c r="BTZ67" s="66"/>
      <c r="BUA67" s="66"/>
      <c r="BUB67" s="41"/>
      <c r="BUC67" s="139"/>
      <c r="BUD67" s="41"/>
      <c r="BUE67" s="41"/>
      <c r="BUF67" s="41"/>
      <c r="BUG67" s="41"/>
      <c r="BUH67" s="41"/>
      <c r="BUI67" s="76"/>
      <c r="BUJ67" s="41"/>
      <c r="BUK67" s="41"/>
      <c r="BUL67" s="41"/>
      <c r="BUM67" s="41"/>
      <c r="BUN67" s="41"/>
      <c r="BUO67" s="139"/>
      <c r="BUP67" s="41"/>
      <c r="BUQ67" s="41"/>
      <c r="BUR67" s="41"/>
      <c r="BUS67" s="41"/>
      <c r="BUT67" s="41"/>
      <c r="BUU67" s="76"/>
      <c r="BUV67" s="41"/>
      <c r="BUW67" s="41"/>
      <c r="BUX67" s="41"/>
      <c r="BUY67" s="41"/>
      <c r="BUZ67" s="41"/>
      <c r="BVA67" s="42"/>
      <c r="BVB67" s="90"/>
    </row>
    <row r="68" spans="1:1926" ht="20.100000000000001" customHeight="1" x14ac:dyDescent="0.25">
      <c r="A68" s="100" t="s">
        <v>21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28"/>
      <c r="BOE68" s="67"/>
      <c r="BOF68" s="67"/>
      <c r="BOG68" s="67"/>
      <c r="BOH68" s="29"/>
      <c r="BOI68" s="131"/>
      <c r="BOJ68" s="29"/>
      <c r="BOK68" s="29"/>
      <c r="BOL68" s="29"/>
      <c r="BOM68" s="29"/>
      <c r="BON68" s="29"/>
      <c r="BOO68" s="136"/>
      <c r="BOP68" s="29"/>
      <c r="BOQ68" s="29"/>
      <c r="BOR68" s="29"/>
      <c r="BOS68" s="29"/>
      <c r="BOT68" s="29"/>
      <c r="BOU68" s="73"/>
      <c r="BOV68" s="29"/>
      <c r="BOW68" s="29"/>
      <c r="BOX68" s="29"/>
      <c r="BOY68" s="29"/>
      <c r="BOZ68" s="29"/>
      <c r="BPA68" s="136"/>
      <c r="BPB68" s="29"/>
      <c r="BPC68" s="29"/>
      <c r="BPD68" s="29"/>
      <c r="BPE68" s="29"/>
      <c r="BPF68" s="29"/>
      <c r="BPG68" s="73"/>
      <c r="BPH68" s="67"/>
      <c r="BPI68" s="67"/>
      <c r="BPJ68" s="67"/>
      <c r="BPK68" s="67"/>
      <c r="BPL68" s="29"/>
      <c r="BPM68" s="136"/>
      <c r="BPN68" s="29"/>
      <c r="BPO68" s="29"/>
      <c r="BPP68" s="29"/>
      <c r="BPQ68" s="29"/>
      <c r="BPR68" s="29"/>
      <c r="BPS68" s="73"/>
      <c r="BPT68" s="29"/>
      <c r="BPU68" s="29"/>
      <c r="BPV68" s="29"/>
      <c r="BPW68" s="29"/>
      <c r="BPX68" s="29"/>
      <c r="BPY68" s="136"/>
      <c r="BPZ68" s="29"/>
      <c r="BQA68" s="29"/>
      <c r="BQB68" s="29"/>
      <c r="BQC68" s="29"/>
      <c r="BQD68" s="29"/>
      <c r="BQE68" s="73"/>
      <c r="BQF68" s="29"/>
      <c r="BQG68" s="29"/>
      <c r="BQH68" s="29"/>
      <c r="BQI68" s="29"/>
      <c r="BQJ68" s="29"/>
      <c r="BQK68" s="30"/>
      <c r="BQL68" s="28"/>
      <c r="BQM68" s="67"/>
      <c r="BQN68" s="67"/>
      <c r="BQO68" s="67"/>
      <c r="BQP68" s="29"/>
      <c r="BQQ68" s="131"/>
      <c r="BQR68" s="29"/>
      <c r="BQS68" s="29"/>
      <c r="BQT68" s="29"/>
      <c r="BQU68" s="29"/>
      <c r="BQV68" s="29"/>
      <c r="BQW68" s="136"/>
      <c r="BQX68" s="29"/>
      <c r="BQY68" s="29"/>
      <c r="BQZ68" s="29"/>
      <c r="BRA68" s="29"/>
      <c r="BRB68" s="29"/>
      <c r="BRC68" s="73"/>
      <c r="BRD68" s="29"/>
      <c r="BRE68" s="29"/>
      <c r="BRF68" s="29"/>
      <c r="BRG68" s="29"/>
      <c r="BRH68" s="29"/>
      <c r="BRI68" s="136"/>
      <c r="BRJ68" s="29"/>
      <c r="BRK68" s="29"/>
      <c r="BRL68" s="29"/>
      <c r="BRM68" s="29"/>
      <c r="BRN68" s="29"/>
      <c r="BRO68" s="73"/>
      <c r="BRP68" s="67"/>
      <c r="BRQ68" s="67"/>
      <c r="BRR68" s="67"/>
      <c r="BRS68" s="67"/>
      <c r="BRT68" s="29"/>
      <c r="BRU68" s="136"/>
      <c r="BRV68" s="29"/>
      <c r="BRW68" s="29"/>
      <c r="BRX68" s="29"/>
      <c r="BRY68" s="29"/>
      <c r="BRZ68" s="29"/>
      <c r="BSA68" s="73"/>
      <c r="BSB68" s="29"/>
      <c r="BSC68" s="29"/>
      <c r="BSD68" s="29"/>
      <c r="BSE68" s="29"/>
      <c r="BSF68" s="29"/>
      <c r="BSG68" s="136"/>
      <c r="BSH68" s="29"/>
      <c r="BSI68" s="29"/>
      <c r="BSJ68" s="29"/>
      <c r="BSK68" s="29"/>
      <c r="BSL68" s="29"/>
      <c r="BSM68" s="73"/>
      <c r="BSN68" s="29"/>
      <c r="BSO68" s="29"/>
      <c r="BSP68" s="29"/>
      <c r="BSQ68" s="29"/>
      <c r="BSR68" s="29"/>
      <c r="BSS68" s="30"/>
      <c r="BST68" s="28"/>
      <c r="BSU68" s="67"/>
      <c r="BSV68" s="67"/>
      <c r="BSW68" s="67"/>
      <c r="BSX68" s="29"/>
      <c r="BSY68" s="131"/>
      <c r="BSZ68" s="29"/>
      <c r="BTA68" s="29"/>
      <c r="BTB68" s="29"/>
      <c r="BTC68" s="29"/>
      <c r="BTD68" s="29"/>
      <c r="BTE68" s="136"/>
      <c r="BTF68" s="29"/>
      <c r="BTG68" s="29"/>
      <c r="BTH68" s="29"/>
      <c r="BTI68" s="29"/>
      <c r="BTJ68" s="29"/>
      <c r="BTK68" s="73"/>
      <c r="BTL68" s="29"/>
      <c r="BTM68" s="29"/>
      <c r="BTN68" s="29"/>
      <c r="BTO68" s="29"/>
      <c r="BTP68" s="29"/>
      <c r="BTQ68" s="136"/>
      <c r="BTR68" s="29"/>
      <c r="BTS68" s="29"/>
      <c r="BTT68" s="29"/>
      <c r="BTU68" s="29"/>
      <c r="BTV68" s="29"/>
      <c r="BTW68" s="73"/>
      <c r="BTX68" s="67"/>
      <c r="BTY68" s="67"/>
      <c r="BTZ68" s="67"/>
      <c r="BUA68" s="67"/>
      <c r="BUB68" s="29"/>
      <c r="BUC68" s="136"/>
      <c r="BUD68" s="29"/>
      <c r="BUE68" s="29"/>
      <c r="BUF68" s="29"/>
      <c r="BUG68" s="29"/>
      <c r="BUH68" s="29"/>
      <c r="BUI68" s="73"/>
      <c r="BUJ68" s="29"/>
      <c r="BUK68" s="29"/>
      <c r="BUL68" s="29"/>
      <c r="BUM68" s="29"/>
      <c r="BUN68" s="29"/>
      <c r="BUO68" s="136"/>
      <c r="BUP68" s="29"/>
      <c r="BUQ68" s="29"/>
      <c r="BUR68" s="29"/>
      <c r="BUS68" s="29"/>
      <c r="BUT68" s="29"/>
      <c r="BUU68" s="73"/>
      <c r="BUV68" s="29"/>
      <c r="BUW68" s="29"/>
      <c r="BUX68" s="29"/>
      <c r="BUY68" s="29"/>
      <c r="BUZ68" s="29"/>
      <c r="BVA68" s="30"/>
      <c r="BVB68" s="90"/>
    </row>
    <row r="69" spans="1:1926" ht="20.100000000000001" customHeight="1" x14ac:dyDescent="0.25">
      <c r="A69" s="100" t="s">
        <v>20</v>
      </c>
      <c r="B69" s="63"/>
      <c r="C69" s="180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32"/>
      <c r="BOE69" s="64"/>
      <c r="BOF69" s="64"/>
      <c r="BOG69" s="64"/>
      <c r="BOH69" s="33"/>
      <c r="BOI69" s="132"/>
      <c r="BOJ69" s="33"/>
      <c r="BOK69" s="33"/>
      <c r="BOL69" s="33"/>
      <c r="BOM69" s="33"/>
      <c r="BON69" s="33"/>
      <c r="BOO69" s="137"/>
      <c r="BOP69" s="33"/>
      <c r="BOQ69" s="33"/>
      <c r="BOR69" s="33"/>
      <c r="BOS69" s="33"/>
      <c r="BOT69" s="33"/>
      <c r="BOU69" s="74"/>
      <c r="BOV69" s="33"/>
      <c r="BOW69" s="33"/>
      <c r="BOX69" s="33"/>
      <c r="BOY69" s="33"/>
      <c r="BOZ69" s="33"/>
      <c r="BPA69" s="137"/>
      <c r="BPB69" s="33"/>
      <c r="BPC69" s="33"/>
      <c r="BPD69" s="33"/>
      <c r="BPE69" s="33"/>
      <c r="BPF69" s="33"/>
      <c r="BPG69" s="74"/>
      <c r="BPH69" s="64"/>
      <c r="BPI69" s="64"/>
      <c r="BPJ69" s="64"/>
      <c r="BPK69" s="64"/>
      <c r="BPL69" s="33"/>
      <c r="BPM69" s="137"/>
      <c r="BPN69" s="33"/>
      <c r="BPO69" s="33"/>
      <c r="BPP69" s="33"/>
      <c r="BPQ69" s="33"/>
      <c r="BPR69" s="33"/>
      <c r="BPS69" s="74"/>
      <c r="BPT69" s="33"/>
      <c r="BPU69" s="33"/>
      <c r="BPV69" s="33"/>
      <c r="BPW69" s="33"/>
      <c r="BPX69" s="33"/>
      <c r="BPY69" s="137"/>
      <c r="BPZ69" s="33"/>
      <c r="BQA69" s="33"/>
      <c r="BQB69" s="33"/>
      <c r="BQC69" s="33"/>
      <c r="BQD69" s="33"/>
      <c r="BQE69" s="74"/>
      <c r="BQF69" s="33"/>
      <c r="BQG69" s="33"/>
      <c r="BQH69" s="33"/>
      <c r="BQI69" s="33"/>
      <c r="BQJ69" s="33"/>
      <c r="BQK69" s="34"/>
      <c r="BQL69" s="32"/>
      <c r="BQM69" s="64"/>
      <c r="BQN69" s="64"/>
      <c r="BQO69" s="64"/>
      <c r="BQP69" s="33"/>
      <c r="BQQ69" s="132"/>
      <c r="BQR69" s="33"/>
      <c r="BQS69" s="33"/>
      <c r="BQT69" s="33"/>
      <c r="BQU69" s="33"/>
      <c r="BQV69" s="33"/>
      <c r="BQW69" s="137"/>
      <c r="BQX69" s="33"/>
      <c r="BQY69" s="33"/>
      <c r="BQZ69" s="33"/>
      <c r="BRA69" s="33"/>
      <c r="BRB69" s="33"/>
      <c r="BRC69" s="74"/>
      <c r="BRD69" s="33"/>
      <c r="BRE69" s="33"/>
      <c r="BRF69" s="33"/>
      <c r="BRG69" s="33"/>
      <c r="BRH69" s="33"/>
      <c r="BRI69" s="137"/>
      <c r="BRJ69" s="33"/>
      <c r="BRK69" s="33"/>
      <c r="BRL69" s="33"/>
      <c r="BRM69" s="33"/>
      <c r="BRN69" s="33"/>
      <c r="BRO69" s="74"/>
      <c r="BRP69" s="64"/>
      <c r="BRQ69" s="64"/>
      <c r="BRR69" s="64"/>
      <c r="BRS69" s="64"/>
      <c r="BRT69" s="33"/>
      <c r="BRU69" s="137"/>
      <c r="BRV69" s="33"/>
      <c r="BRW69" s="33"/>
      <c r="BRX69" s="33"/>
      <c r="BRY69" s="33"/>
      <c r="BRZ69" s="33"/>
      <c r="BSA69" s="74"/>
      <c r="BSB69" s="33"/>
      <c r="BSC69" s="33"/>
      <c r="BSD69" s="33"/>
      <c r="BSE69" s="33"/>
      <c r="BSF69" s="33"/>
      <c r="BSG69" s="137"/>
      <c r="BSH69" s="33"/>
      <c r="BSI69" s="33"/>
      <c r="BSJ69" s="33"/>
      <c r="BSK69" s="33"/>
      <c r="BSL69" s="33"/>
      <c r="BSM69" s="74"/>
      <c r="BSN69" s="33"/>
      <c r="BSO69" s="33"/>
      <c r="BSP69" s="33"/>
      <c r="BSQ69" s="33"/>
      <c r="BSR69" s="33"/>
      <c r="BSS69" s="34"/>
      <c r="BST69" s="32"/>
      <c r="BSU69" s="64"/>
      <c r="BSV69" s="64"/>
      <c r="BSW69" s="64"/>
      <c r="BSX69" s="33"/>
      <c r="BSY69" s="132"/>
      <c r="BSZ69" s="33"/>
      <c r="BTA69" s="33"/>
      <c r="BTB69" s="33"/>
      <c r="BTC69" s="33"/>
      <c r="BTD69" s="33"/>
      <c r="BTE69" s="137"/>
      <c r="BTF69" s="33"/>
      <c r="BTG69" s="33"/>
      <c r="BTH69" s="33"/>
      <c r="BTI69" s="33"/>
      <c r="BTJ69" s="33"/>
      <c r="BTK69" s="74"/>
      <c r="BTL69" s="33"/>
      <c r="BTM69" s="33"/>
      <c r="BTN69" s="33"/>
      <c r="BTO69" s="33"/>
      <c r="BTP69" s="33"/>
      <c r="BTQ69" s="137"/>
      <c r="BTR69" s="33"/>
      <c r="BTS69" s="33"/>
      <c r="BTT69" s="33"/>
      <c r="BTU69" s="33"/>
      <c r="BTV69" s="33"/>
      <c r="BTW69" s="74"/>
      <c r="BTX69" s="64"/>
      <c r="BTY69" s="64"/>
      <c r="BTZ69" s="64"/>
      <c r="BUA69" s="64"/>
      <c r="BUB69" s="33"/>
      <c r="BUC69" s="137"/>
      <c r="BUD69" s="33"/>
      <c r="BUE69" s="33"/>
      <c r="BUF69" s="33"/>
      <c r="BUG69" s="33"/>
      <c r="BUH69" s="33"/>
      <c r="BUI69" s="74"/>
      <c r="BUJ69" s="33"/>
      <c r="BUK69" s="33"/>
      <c r="BUL69" s="33"/>
      <c r="BUM69" s="33"/>
      <c r="BUN69" s="33"/>
      <c r="BUO69" s="137"/>
      <c r="BUP69" s="33"/>
      <c r="BUQ69" s="33"/>
      <c r="BUR69" s="33"/>
      <c r="BUS69" s="33"/>
      <c r="BUT69" s="33"/>
      <c r="BUU69" s="74"/>
      <c r="BUV69" s="33"/>
      <c r="BUW69" s="33"/>
      <c r="BUX69" s="33"/>
      <c r="BUY69" s="33"/>
      <c r="BUZ69" s="33"/>
      <c r="BVA69" s="34"/>
      <c r="BVB69" s="90"/>
    </row>
    <row r="70" spans="1:1926" ht="20.100000000000001" customHeight="1" x14ac:dyDescent="0.3">
      <c r="A70" s="100" t="s">
        <v>21</v>
      </c>
      <c r="B70" s="63"/>
      <c r="C70" s="18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36"/>
      <c r="BOE70" s="65"/>
      <c r="BOF70" s="65"/>
      <c r="BOG70" s="65"/>
      <c r="BOH70" s="37"/>
      <c r="BOI70" s="133"/>
      <c r="BOJ70" s="37"/>
      <c r="BOK70" s="37"/>
      <c r="BOL70" s="37"/>
      <c r="BOM70" s="37"/>
      <c r="BON70" s="37"/>
      <c r="BOO70" s="138"/>
      <c r="BOP70" s="37"/>
      <c r="BOQ70" s="37"/>
      <c r="BOR70" s="37"/>
      <c r="BOS70" s="37"/>
      <c r="BOT70" s="37"/>
      <c r="BOU70" s="75"/>
      <c r="BOV70" s="37"/>
      <c r="BOW70" s="37"/>
      <c r="BOX70" s="37"/>
      <c r="BOY70" s="37"/>
      <c r="BOZ70" s="37"/>
      <c r="BPA70" s="138"/>
      <c r="BPB70" s="37"/>
      <c r="BPC70" s="37"/>
      <c r="BPD70" s="37"/>
      <c r="BPE70" s="37"/>
      <c r="BPF70" s="37"/>
      <c r="BPG70" s="75"/>
      <c r="BPH70" s="65"/>
      <c r="BPI70" s="65"/>
      <c r="BPJ70" s="65"/>
      <c r="BPK70" s="65"/>
      <c r="BPL70" s="37"/>
      <c r="BPM70" s="138"/>
      <c r="BPN70" s="37"/>
      <c r="BPO70" s="37"/>
      <c r="BPP70" s="37"/>
      <c r="BPQ70" s="37"/>
      <c r="BPR70" s="37"/>
      <c r="BPS70" s="75"/>
      <c r="BPT70" s="37"/>
      <c r="BPU70" s="37"/>
      <c r="BPV70" s="37"/>
      <c r="BPW70" s="37"/>
      <c r="BPX70" s="37"/>
      <c r="BPY70" s="138"/>
      <c r="BPZ70" s="37"/>
      <c r="BQA70" s="37"/>
      <c r="BQB70" s="37"/>
      <c r="BQC70" s="37"/>
      <c r="BQD70" s="37"/>
      <c r="BQE70" s="75"/>
      <c r="BQF70" s="37"/>
      <c r="BQG70" s="37"/>
      <c r="BQH70" s="37"/>
      <c r="BQI70" s="37"/>
      <c r="BQJ70" s="37"/>
      <c r="BQK70" s="38"/>
      <c r="BQL70" s="36"/>
      <c r="BQM70" s="65"/>
      <c r="BQN70" s="65"/>
      <c r="BQO70" s="65"/>
      <c r="BQP70" s="37"/>
      <c r="BQQ70" s="133"/>
      <c r="BQR70" s="37"/>
      <c r="BQS70" s="37"/>
      <c r="BQT70" s="37"/>
      <c r="BQU70" s="37"/>
      <c r="BQV70" s="37"/>
      <c r="BQW70" s="138"/>
      <c r="BQX70" s="37"/>
      <c r="BQY70" s="37"/>
      <c r="BQZ70" s="37"/>
      <c r="BRA70" s="37"/>
      <c r="BRB70" s="37"/>
      <c r="BRC70" s="75"/>
      <c r="BRD70" s="37"/>
      <c r="BRE70" s="37"/>
      <c r="BRF70" s="37"/>
      <c r="BRG70" s="37"/>
      <c r="BRH70" s="37"/>
      <c r="BRI70" s="138"/>
      <c r="BRJ70" s="37"/>
      <c r="BRK70" s="37"/>
      <c r="BRL70" s="37"/>
      <c r="BRM70" s="37"/>
      <c r="BRN70" s="37"/>
      <c r="BRO70" s="75"/>
      <c r="BRP70" s="65"/>
      <c r="BRQ70" s="65"/>
      <c r="BRR70" s="65"/>
      <c r="BRS70" s="65"/>
      <c r="BRT70" s="37"/>
      <c r="BRU70" s="138"/>
      <c r="BRV70" s="37"/>
      <c r="BRW70" s="37"/>
      <c r="BRX70" s="37"/>
      <c r="BRY70" s="37"/>
      <c r="BRZ70" s="37"/>
      <c r="BSA70" s="75"/>
      <c r="BSB70" s="37"/>
      <c r="BSC70" s="37"/>
      <c r="BSD70" s="37"/>
      <c r="BSE70" s="37"/>
      <c r="BSF70" s="37"/>
      <c r="BSG70" s="138"/>
      <c r="BSH70" s="37"/>
      <c r="BSI70" s="37"/>
      <c r="BSJ70" s="37"/>
      <c r="BSK70" s="37"/>
      <c r="BSL70" s="37"/>
      <c r="BSM70" s="75"/>
      <c r="BSN70" s="37"/>
      <c r="BSO70" s="37"/>
      <c r="BSP70" s="37"/>
      <c r="BSQ70" s="37"/>
      <c r="BSR70" s="37"/>
      <c r="BSS70" s="38"/>
      <c r="BST70" s="36"/>
      <c r="BSU70" s="65"/>
      <c r="BSV70" s="65"/>
      <c r="BSW70" s="65"/>
      <c r="BSX70" s="37"/>
      <c r="BSY70" s="133"/>
      <c r="BSZ70" s="37"/>
      <c r="BTA70" s="37"/>
      <c r="BTB70" s="37"/>
      <c r="BTC70" s="37"/>
      <c r="BTD70" s="37"/>
      <c r="BTE70" s="138"/>
      <c r="BTF70" s="37"/>
      <c r="BTG70" s="37"/>
      <c r="BTH70" s="37"/>
      <c r="BTI70" s="37"/>
      <c r="BTJ70" s="37"/>
      <c r="BTK70" s="75"/>
      <c r="BTL70" s="37"/>
      <c r="BTM70" s="37"/>
      <c r="BTN70" s="37"/>
      <c r="BTO70" s="37"/>
      <c r="BTP70" s="37"/>
      <c r="BTQ70" s="138"/>
      <c r="BTR70" s="37"/>
      <c r="BTS70" s="37"/>
      <c r="BTT70" s="37"/>
      <c r="BTU70" s="37"/>
      <c r="BTV70" s="37"/>
      <c r="BTW70" s="75"/>
      <c r="BTX70" s="65"/>
      <c r="BTY70" s="65"/>
      <c r="BTZ70" s="65"/>
      <c r="BUA70" s="65"/>
      <c r="BUB70" s="37"/>
      <c r="BUC70" s="138"/>
      <c r="BUD70" s="37"/>
      <c r="BUE70" s="37"/>
      <c r="BUF70" s="37"/>
      <c r="BUG70" s="37"/>
      <c r="BUH70" s="37"/>
      <c r="BUI70" s="75"/>
      <c r="BUJ70" s="37"/>
      <c r="BUK70" s="37"/>
      <c r="BUL70" s="37"/>
      <c r="BUM70" s="37"/>
      <c r="BUN70" s="37"/>
      <c r="BUO70" s="138"/>
      <c r="BUP70" s="37"/>
      <c r="BUQ70" s="37"/>
      <c r="BUR70" s="37"/>
      <c r="BUS70" s="37"/>
      <c r="BUT70" s="37"/>
      <c r="BUU70" s="75"/>
      <c r="BUV70" s="37"/>
      <c r="BUW70" s="37"/>
      <c r="BUX70" s="37"/>
      <c r="BUY70" s="37"/>
      <c r="BUZ70" s="37"/>
      <c r="BVA70" s="38"/>
      <c r="BVB70" s="90"/>
    </row>
    <row r="71" spans="1:1926" ht="20.100000000000001" customHeight="1" x14ac:dyDescent="0.25">
      <c r="A71" s="100" t="s">
        <v>20</v>
      </c>
      <c r="B71" s="63"/>
      <c r="C71" s="180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40"/>
      <c r="BOE71" s="66"/>
      <c r="BOF71" s="66"/>
      <c r="BOG71" s="66"/>
      <c r="BOH71" s="41"/>
      <c r="BOI71" s="134"/>
      <c r="BOJ71" s="41"/>
      <c r="BOK71" s="41"/>
      <c r="BOL71" s="41"/>
      <c r="BOM71" s="41"/>
      <c r="BON71" s="41"/>
      <c r="BOO71" s="139"/>
      <c r="BOP71" s="41"/>
      <c r="BOQ71" s="41"/>
      <c r="BOR71" s="41"/>
      <c r="BOS71" s="41"/>
      <c r="BOT71" s="41"/>
      <c r="BOU71" s="76"/>
      <c r="BOV71" s="41"/>
      <c r="BOW71" s="41"/>
      <c r="BOX71" s="41"/>
      <c r="BOY71" s="41"/>
      <c r="BOZ71" s="41"/>
      <c r="BPA71" s="139"/>
      <c r="BPB71" s="41"/>
      <c r="BPC71" s="41"/>
      <c r="BPD71" s="41"/>
      <c r="BPE71" s="41"/>
      <c r="BPF71" s="41"/>
      <c r="BPG71" s="76"/>
      <c r="BPH71" s="66"/>
      <c r="BPI71" s="66"/>
      <c r="BPJ71" s="66"/>
      <c r="BPK71" s="66"/>
      <c r="BPL71" s="41"/>
      <c r="BPM71" s="139"/>
      <c r="BPN71" s="41"/>
      <c r="BPO71" s="41"/>
      <c r="BPP71" s="41"/>
      <c r="BPQ71" s="41"/>
      <c r="BPR71" s="41"/>
      <c r="BPS71" s="76"/>
      <c r="BPT71" s="41"/>
      <c r="BPU71" s="41"/>
      <c r="BPV71" s="41"/>
      <c r="BPW71" s="41"/>
      <c r="BPX71" s="41"/>
      <c r="BPY71" s="139"/>
      <c r="BPZ71" s="41"/>
      <c r="BQA71" s="41"/>
      <c r="BQB71" s="41"/>
      <c r="BQC71" s="41"/>
      <c r="BQD71" s="41"/>
      <c r="BQE71" s="76"/>
      <c r="BQF71" s="41"/>
      <c r="BQG71" s="41"/>
      <c r="BQH71" s="41"/>
      <c r="BQI71" s="41"/>
      <c r="BQJ71" s="41"/>
      <c r="BQK71" s="42"/>
      <c r="BQL71" s="40"/>
      <c r="BQM71" s="66"/>
      <c r="BQN71" s="66"/>
      <c r="BQO71" s="66"/>
      <c r="BQP71" s="41"/>
      <c r="BQQ71" s="134"/>
      <c r="BQR71" s="41"/>
      <c r="BQS71" s="41"/>
      <c r="BQT71" s="41"/>
      <c r="BQU71" s="41"/>
      <c r="BQV71" s="41"/>
      <c r="BQW71" s="139"/>
      <c r="BQX71" s="41"/>
      <c r="BQY71" s="41"/>
      <c r="BQZ71" s="41"/>
      <c r="BRA71" s="41"/>
      <c r="BRB71" s="41"/>
      <c r="BRC71" s="76"/>
      <c r="BRD71" s="41"/>
      <c r="BRE71" s="41"/>
      <c r="BRF71" s="41"/>
      <c r="BRG71" s="41"/>
      <c r="BRH71" s="41"/>
      <c r="BRI71" s="139"/>
      <c r="BRJ71" s="41"/>
      <c r="BRK71" s="41"/>
      <c r="BRL71" s="41"/>
      <c r="BRM71" s="41"/>
      <c r="BRN71" s="41"/>
      <c r="BRO71" s="76"/>
      <c r="BRP71" s="66"/>
      <c r="BRQ71" s="66"/>
      <c r="BRR71" s="66"/>
      <c r="BRS71" s="66"/>
      <c r="BRT71" s="41"/>
      <c r="BRU71" s="139"/>
      <c r="BRV71" s="41"/>
      <c r="BRW71" s="41"/>
      <c r="BRX71" s="41"/>
      <c r="BRY71" s="41"/>
      <c r="BRZ71" s="41"/>
      <c r="BSA71" s="76"/>
      <c r="BSB71" s="41"/>
      <c r="BSC71" s="41"/>
      <c r="BSD71" s="41"/>
      <c r="BSE71" s="41"/>
      <c r="BSF71" s="41"/>
      <c r="BSG71" s="139"/>
      <c r="BSH71" s="41"/>
      <c r="BSI71" s="41"/>
      <c r="BSJ71" s="41"/>
      <c r="BSK71" s="41"/>
      <c r="BSL71" s="41"/>
      <c r="BSM71" s="76"/>
      <c r="BSN71" s="41"/>
      <c r="BSO71" s="41"/>
      <c r="BSP71" s="41"/>
      <c r="BSQ71" s="41"/>
      <c r="BSR71" s="41"/>
      <c r="BSS71" s="42"/>
      <c r="BST71" s="40"/>
      <c r="BSU71" s="66"/>
      <c r="BSV71" s="66"/>
      <c r="BSW71" s="66"/>
      <c r="BSX71" s="41"/>
      <c r="BSY71" s="134"/>
      <c r="BSZ71" s="41"/>
      <c r="BTA71" s="41"/>
      <c r="BTB71" s="41"/>
      <c r="BTC71" s="41"/>
      <c r="BTD71" s="41"/>
      <c r="BTE71" s="139"/>
      <c r="BTF71" s="41"/>
      <c r="BTG71" s="41"/>
      <c r="BTH71" s="41"/>
      <c r="BTI71" s="41"/>
      <c r="BTJ71" s="41"/>
      <c r="BTK71" s="76"/>
      <c r="BTL71" s="41"/>
      <c r="BTM71" s="41"/>
      <c r="BTN71" s="41"/>
      <c r="BTO71" s="41"/>
      <c r="BTP71" s="41"/>
      <c r="BTQ71" s="139"/>
      <c r="BTR71" s="41"/>
      <c r="BTS71" s="41"/>
      <c r="BTT71" s="41"/>
      <c r="BTU71" s="41"/>
      <c r="BTV71" s="41"/>
      <c r="BTW71" s="76"/>
      <c r="BTX71" s="66"/>
      <c r="BTY71" s="66"/>
      <c r="BTZ71" s="66"/>
      <c r="BUA71" s="66"/>
      <c r="BUB71" s="41"/>
      <c r="BUC71" s="139"/>
      <c r="BUD71" s="41"/>
      <c r="BUE71" s="41"/>
      <c r="BUF71" s="41"/>
      <c r="BUG71" s="41"/>
      <c r="BUH71" s="41"/>
      <c r="BUI71" s="76"/>
      <c r="BUJ71" s="41"/>
      <c r="BUK71" s="41"/>
      <c r="BUL71" s="41"/>
      <c r="BUM71" s="41"/>
      <c r="BUN71" s="41"/>
      <c r="BUO71" s="139"/>
      <c r="BUP71" s="41"/>
      <c r="BUQ71" s="41"/>
      <c r="BUR71" s="41"/>
      <c r="BUS71" s="41"/>
      <c r="BUT71" s="41"/>
      <c r="BUU71" s="76"/>
      <c r="BUV71" s="41"/>
      <c r="BUW71" s="41"/>
      <c r="BUX71" s="41"/>
      <c r="BUY71" s="41"/>
      <c r="BUZ71" s="41"/>
      <c r="BVA71" s="42"/>
      <c r="BVB71" s="90"/>
    </row>
    <row r="72" spans="1:1926" ht="20.100000000000001" customHeight="1" x14ac:dyDescent="0.25">
      <c r="A72" s="100" t="s">
        <v>21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28"/>
      <c r="BOE72" s="67"/>
      <c r="BOF72" s="67"/>
      <c r="BOG72" s="67"/>
      <c r="BOH72" s="29"/>
      <c r="BOI72" s="131"/>
      <c r="BOJ72" s="29"/>
      <c r="BOK72" s="29"/>
      <c r="BOL72" s="29"/>
      <c r="BOM72" s="29"/>
      <c r="BON72" s="29"/>
      <c r="BOO72" s="136"/>
      <c r="BOP72" s="29"/>
      <c r="BOQ72" s="29"/>
      <c r="BOR72" s="29"/>
      <c r="BOS72" s="29"/>
      <c r="BOT72" s="29"/>
      <c r="BOU72" s="73"/>
      <c r="BOV72" s="29"/>
      <c r="BOW72" s="29"/>
      <c r="BOX72" s="29"/>
      <c r="BOY72" s="29"/>
      <c r="BOZ72" s="29"/>
      <c r="BPA72" s="136"/>
      <c r="BPB72" s="29"/>
      <c r="BPC72" s="29"/>
      <c r="BPD72" s="29"/>
      <c r="BPE72" s="29"/>
      <c r="BPF72" s="29"/>
      <c r="BPG72" s="73"/>
      <c r="BPH72" s="67"/>
      <c r="BPI72" s="67"/>
      <c r="BPJ72" s="67"/>
      <c r="BPK72" s="67"/>
      <c r="BPL72" s="29"/>
      <c r="BPM72" s="136"/>
      <c r="BPN72" s="29"/>
      <c r="BPO72" s="29"/>
      <c r="BPP72" s="29"/>
      <c r="BPQ72" s="29"/>
      <c r="BPR72" s="29"/>
      <c r="BPS72" s="73"/>
      <c r="BPT72" s="29"/>
      <c r="BPU72" s="29"/>
      <c r="BPV72" s="29"/>
      <c r="BPW72" s="29"/>
      <c r="BPX72" s="29"/>
      <c r="BPY72" s="136"/>
      <c r="BPZ72" s="29"/>
      <c r="BQA72" s="29"/>
      <c r="BQB72" s="29"/>
      <c r="BQC72" s="29"/>
      <c r="BQD72" s="29"/>
      <c r="BQE72" s="73"/>
      <c r="BQF72" s="29"/>
      <c r="BQG72" s="29"/>
      <c r="BQH72" s="29"/>
      <c r="BQI72" s="29"/>
      <c r="BQJ72" s="29"/>
      <c r="BQK72" s="30"/>
      <c r="BQL72" s="28"/>
      <c r="BQM72" s="67"/>
      <c r="BQN72" s="67"/>
      <c r="BQO72" s="67"/>
      <c r="BQP72" s="29"/>
      <c r="BQQ72" s="131"/>
      <c r="BQR72" s="29"/>
      <c r="BQS72" s="29"/>
      <c r="BQT72" s="29"/>
      <c r="BQU72" s="29"/>
      <c r="BQV72" s="29"/>
      <c r="BQW72" s="136"/>
      <c r="BQX72" s="29"/>
      <c r="BQY72" s="29"/>
      <c r="BQZ72" s="29"/>
      <c r="BRA72" s="29"/>
      <c r="BRB72" s="29"/>
      <c r="BRC72" s="73"/>
      <c r="BRD72" s="29"/>
      <c r="BRE72" s="29"/>
      <c r="BRF72" s="29"/>
      <c r="BRG72" s="29"/>
      <c r="BRH72" s="29"/>
      <c r="BRI72" s="136"/>
      <c r="BRJ72" s="29"/>
      <c r="BRK72" s="29"/>
      <c r="BRL72" s="29"/>
      <c r="BRM72" s="29"/>
      <c r="BRN72" s="29"/>
      <c r="BRO72" s="73"/>
      <c r="BRP72" s="67"/>
      <c r="BRQ72" s="67"/>
      <c r="BRR72" s="67"/>
      <c r="BRS72" s="67"/>
      <c r="BRT72" s="29"/>
      <c r="BRU72" s="136"/>
      <c r="BRV72" s="29"/>
      <c r="BRW72" s="29"/>
      <c r="BRX72" s="29"/>
      <c r="BRY72" s="29"/>
      <c r="BRZ72" s="29"/>
      <c r="BSA72" s="73"/>
      <c r="BSB72" s="29"/>
      <c r="BSC72" s="29"/>
      <c r="BSD72" s="29"/>
      <c r="BSE72" s="29"/>
      <c r="BSF72" s="29"/>
      <c r="BSG72" s="136"/>
      <c r="BSH72" s="29"/>
      <c r="BSI72" s="29"/>
      <c r="BSJ72" s="29"/>
      <c r="BSK72" s="29"/>
      <c r="BSL72" s="29"/>
      <c r="BSM72" s="73"/>
      <c r="BSN72" s="29"/>
      <c r="BSO72" s="29"/>
      <c r="BSP72" s="29"/>
      <c r="BSQ72" s="29"/>
      <c r="BSR72" s="29"/>
      <c r="BSS72" s="30"/>
      <c r="BST72" s="28"/>
      <c r="BSU72" s="67"/>
      <c r="BSV72" s="67"/>
      <c r="BSW72" s="67"/>
      <c r="BSX72" s="29"/>
      <c r="BSY72" s="131"/>
      <c r="BSZ72" s="29"/>
      <c r="BTA72" s="29"/>
      <c r="BTB72" s="29"/>
      <c r="BTC72" s="29"/>
      <c r="BTD72" s="29"/>
      <c r="BTE72" s="136"/>
      <c r="BTF72" s="29"/>
      <c r="BTG72" s="29"/>
      <c r="BTH72" s="29"/>
      <c r="BTI72" s="29"/>
      <c r="BTJ72" s="29"/>
      <c r="BTK72" s="73"/>
      <c r="BTL72" s="29"/>
      <c r="BTM72" s="29"/>
      <c r="BTN72" s="29"/>
      <c r="BTO72" s="29"/>
      <c r="BTP72" s="29"/>
      <c r="BTQ72" s="136"/>
      <c r="BTR72" s="29"/>
      <c r="BTS72" s="29"/>
      <c r="BTT72" s="29"/>
      <c r="BTU72" s="29"/>
      <c r="BTV72" s="29"/>
      <c r="BTW72" s="73"/>
      <c r="BTX72" s="67"/>
      <c r="BTY72" s="67"/>
      <c r="BTZ72" s="67"/>
      <c r="BUA72" s="67"/>
      <c r="BUB72" s="29"/>
      <c r="BUC72" s="136"/>
      <c r="BUD72" s="29"/>
      <c r="BUE72" s="29"/>
      <c r="BUF72" s="29"/>
      <c r="BUG72" s="29"/>
      <c r="BUH72" s="29"/>
      <c r="BUI72" s="73"/>
      <c r="BUJ72" s="29"/>
      <c r="BUK72" s="29"/>
      <c r="BUL72" s="29"/>
      <c r="BUM72" s="29"/>
      <c r="BUN72" s="29"/>
      <c r="BUO72" s="136"/>
      <c r="BUP72" s="29"/>
      <c r="BUQ72" s="29"/>
      <c r="BUR72" s="29"/>
      <c r="BUS72" s="29"/>
      <c r="BUT72" s="29"/>
      <c r="BUU72" s="73"/>
      <c r="BUV72" s="29"/>
      <c r="BUW72" s="29"/>
      <c r="BUX72" s="29"/>
      <c r="BUY72" s="29"/>
      <c r="BUZ72" s="29"/>
      <c r="BVA72" s="30"/>
      <c r="BVB72" s="90"/>
    </row>
    <row r="73" spans="1:1926" ht="20.100000000000001" customHeight="1" x14ac:dyDescent="0.25">
      <c r="A73" s="100" t="s">
        <v>20</v>
      </c>
      <c r="B73" s="63"/>
      <c r="C73" s="180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32"/>
      <c r="BOE73" s="64"/>
      <c r="BOF73" s="64"/>
      <c r="BOG73" s="64"/>
      <c r="BOH73" s="33"/>
      <c r="BOI73" s="132"/>
      <c r="BOJ73" s="33"/>
      <c r="BOK73" s="33"/>
      <c r="BOL73" s="33"/>
      <c r="BOM73" s="33"/>
      <c r="BON73" s="33"/>
      <c r="BOO73" s="137"/>
      <c r="BOP73" s="33"/>
      <c r="BOQ73" s="33"/>
      <c r="BOR73" s="33"/>
      <c r="BOS73" s="33"/>
      <c r="BOT73" s="33"/>
      <c r="BOU73" s="74"/>
      <c r="BOV73" s="33"/>
      <c r="BOW73" s="33"/>
      <c r="BOX73" s="33"/>
      <c r="BOY73" s="33"/>
      <c r="BOZ73" s="33"/>
      <c r="BPA73" s="137"/>
      <c r="BPB73" s="33"/>
      <c r="BPC73" s="33"/>
      <c r="BPD73" s="33"/>
      <c r="BPE73" s="33"/>
      <c r="BPF73" s="33"/>
      <c r="BPG73" s="74"/>
      <c r="BPH73" s="64"/>
      <c r="BPI73" s="64"/>
      <c r="BPJ73" s="64"/>
      <c r="BPK73" s="64"/>
      <c r="BPL73" s="33"/>
      <c r="BPM73" s="137"/>
      <c r="BPN73" s="33"/>
      <c r="BPO73" s="33"/>
      <c r="BPP73" s="33"/>
      <c r="BPQ73" s="33"/>
      <c r="BPR73" s="33"/>
      <c r="BPS73" s="74"/>
      <c r="BPT73" s="33"/>
      <c r="BPU73" s="33"/>
      <c r="BPV73" s="33"/>
      <c r="BPW73" s="33"/>
      <c r="BPX73" s="33"/>
      <c r="BPY73" s="137"/>
      <c r="BPZ73" s="33"/>
      <c r="BQA73" s="33"/>
      <c r="BQB73" s="33"/>
      <c r="BQC73" s="33"/>
      <c r="BQD73" s="33"/>
      <c r="BQE73" s="74"/>
      <c r="BQF73" s="33"/>
      <c r="BQG73" s="33"/>
      <c r="BQH73" s="33"/>
      <c r="BQI73" s="33"/>
      <c r="BQJ73" s="33"/>
      <c r="BQK73" s="34"/>
      <c r="BQL73" s="32"/>
      <c r="BQM73" s="64"/>
      <c r="BQN73" s="64"/>
      <c r="BQO73" s="64"/>
      <c r="BQP73" s="33"/>
      <c r="BQQ73" s="132"/>
      <c r="BQR73" s="33"/>
      <c r="BQS73" s="33"/>
      <c r="BQT73" s="33"/>
      <c r="BQU73" s="33"/>
      <c r="BQV73" s="33"/>
      <c r="BQW73" s="137"/>
      <c r="BQX73" s="33"/>
      <c r="BQY73" s="33"/>
      <c r="BQZ73" s="33"/>
      <c r="BRA73" s="33"/>
      <c r="BRB73" s="33"/>
      <c r="BRC73" s="74"/>
      <c r="BRD73" s="33"/>
      <c r="BRE73" s="33"/>
      <c r="BRF73" s="33"/>
      <c r="BRG73" s="33"/>
      <c r="BRH73" s="33"/>
      <c r="BRI73" s="137"/>
      <c r="BRJ73" s="33"/>
      <c r="BRK73" s="33"/>
      <c r="BRL73" s="33"/>
      <c r="BRM73" s="33"/>
      <c r="BRN73" s="33"/>
      <c r="BRO73" s="74"/>
      <c r="BRP73" s="64"/>
      <c r="BRQ73" s="64"/>
      <c r="BRR73" s="64"/>
      <c r="BRS73" s="64"/>
      <c r="BRT73" s="33"/>
      <c r="BRU73" s="137"/>
      <c r="BRV73" s="33"/>
      <c r="BRW73" s="33"/>
      <c r="BRX73" s="33"/>
      <c r="BRY73" s="33"/>
      <c r="BRZ73" s="33"/>
      <c r="BSA73" s="74"/>
      <c r="BSB73" s="33"/>
      <c r="BSC73" s="33"/>
      <c r="BSD73" s="33"/>
      <c r="BSE73" s="33"/>
      <c r="BSF73" s="33"/>
      <c r="BSG73" s="137"/>
      <c r="BSH73" s="33"/>
      <c r="BSI73" s="33"/>
      <c r="BSJ73" s="33"/>
      <c r="BSK73" s="33"/>
      <c r="BSL73" s="33"/>
      <c r="BSM73" s="74"/>
      <c r="BSN73" s="33"/>
      <c r="BSO73" s="33"/>
      <c r="BSP73" s="33"/>
      <c r="BSQ73" s="33"/>
      <c r="BSR73" s="33"/>
      <c r="BSS73" s="34"/>
      <c r="BST73" s="32"/>
      <c r="BSU73" s="64"/>
      <c r="BSV73" s="64"/>
      <c r="BSW73" s="64"/>
      <c r="BSX73" s="33"/>
      <c r="BSY73" s="132"/>
      <c r="BSZ73" s="33"/>
      <c r="BTA73" s="33"/>
      <c r="BTB73" s="33"/>
      <c r="BTC73" s="33"/>
      <c r="BTD73" s="33"/>
      <c r="BTE73" s="137"/>
      <c r="BTF73" s="33"/>
      <c r="BTG73" s="33"/>
      <c r="BTH73" s="33"/>
      <c r="BTI73" s="33"/>
      <c r="BTJ73" s="33"/>
      <c r="BTK73" s="74"/>
      <c r="BTL73" s="33"/>
      <c r="BTM73" s="33"/>
      <c r="BTN73" s="33"/>
      <c r="BTO73" s="33"/>
      <c r="BTP73" s="33"/>
      <c r="BTQ73" s="137"/>
      <c r="BTR73" s="33"/>
      <c r="BTS73" s="33"/>
      <c r="BTT73" s="33"/>
      <c r="BTU73" s="33"/>
      <c r="BTV73" s="33"/>
      <c r="BTW73" s="74"/>
      <c r="BTX73" s="64"/>
      <c r="BTY73" s="64"/>
      <c r="BTZ73" s="64"/>
      <c r="BUA73" s="64"/>
      <c r="BUB73" s="33"/>
      <c r="BUC73" s="137"/>
      <c r="BUD73" s="33"/>
      <c r="BUE73" s="33"/>
      <c r="BUF73" s="33"/>
      <c r="BUG73" s="33"/>
      <c r="BUH73" s="33"/>
      <c r="BUI73" s="74"/>
      <c r="BUJ73" s="33"/>
      <c r="BUK73" s="33"/>
      <c r="BUL73" s="33"/>
      <c r="BUM73" s="33"/>
      <c r="BUN73" s="33"/>
      <c r="BUO73" s="137"/>
      <c r="BUP73" s="33"/>
      <c r="BUQ73" s="33"/>
      <c r="BUR73" s="33"/>
      <c r="BUS73" s="33"/>
      <c r="BUT73" s="33"/>
      <c r="BUU73" s="74"/>
      <c r="BUV73" s="33"/>
      <c r="BUW73" s="33"/>
      <c r="BUX73" s="33"/>
      <c r="BUY73" s="33"/>
      <c r="BUZ73" s="33"/>
      <c r="BVA73" s="34"/>
      <c r="BVB73" s="90"/>
    </row>
    <row r="74" spans="1:1926" ht="20.100000000000001" customHeight="1" x14ac:dyDescent="0.3">
      <c r="A74" s="100" t="s">
        <v>21</v>
      </c>
      <c r="B74" s="63"/>
      <c r="C74" s="181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36"/>
      <c r="BOE74" s="65"/>
      <c r="BOF74" s="65"/>
      <c r="BOG74" s="65"/>
      <c r="BOH74" s="37"/>
      <c r="BOI74" s="133"/>
      <c r="BOJ74" s="37"/>
      <c r="BOK74" s="37"/>
      <c r="BOL74" s="37"/>
      <c r="BOM74" s="37"/>
      <c r="BON74" s="37"/>
      <c r="BOO74" s="138"/>
      <c r="BOP74" s="37"/>
      <c r="BOQ74" s="37"/>
      <c r="BOR74" s="37"/>
      <c r="BOS74" s="37"/>
      <c r="BOT74" s="37"/>
      <c r="BOU74" s="75"/>
      <c r="BOV74" s="37"/>
      <c r="BOW74" s="37"/>
      <c r="BOX74" s="37"/>
      <c r="BOY74" s="37"/>
      <c r="BOZ74" s="37"/>
      <c r="BPA74" s="138"/>
      <c r="BPB74" s="37"/>
      <c r="BPC74" s="37"/>
      <c r="BPD74" s="37"/>
      <c r="BPE74" s="37"/>
      <c r="BPF74" s="37"/>
      <c r="BPG74" s="75"/>
      <c r="BPH74" s="65"/>
      <c r="BPI74" s="65"/>
      <c r="BPJ74" s="65"/>
      <c r="BPK74" s="65"/>
      <c r="BPL74" s="37"/>
      <c r="BPM74" s="138"/>
      <c r="BPN74" s="37"/>
      <c r="BPO74" s="37"/>
      <c r="BPP74" s="37"/>
      <c r="BPQ74" s="37"/>
      <c r="BPR74" s="37"/>
      <c r="BPS74" s="75"/>
      <c r="BPT74" s="37"/>
      <c r="BPU74" s="37"/>
      <c r="BPV74" s="37"/>
      <c r="BPW74" s="37"/>
      <c r="BPX74" s="37"/>
      <c r="BPY74" s="138"/>
      <c r="BPZ74" s="37"/>
      <c r="BQA74" s="37"/>
      <c r="BQB74" s="37"/>
      <c r="BQC74" s="37"/>
      <c r="BQD74" s="37"/>
      <c r="BQE74" s="75"/>
      <c r="BQF74" s="37"/>
      <c r="BQG74" s="37"/>
      <c r="BQH74" s="37"/>
      <c r="BQI74" s="37"/>
      <c r="BQJ74" s="37"/>
      <c r="BQK74" s="38"/>
      <c r="BQL74" s="36"/>
      <c r="BQM74" s="65"/>
      <c r="BQN74" s="65"/>
      <c r="BQO74" s="65"/>
      <c r="BQP74" s="37"/>
      <c r="BQQ74" s="133"/>
      <c r="BQR74" s="37"/>
      <c r="BQS74" s="37"/>
      <c r="BQT74" s="37"/>
      <c r="BQU74" s="37"/>
      <c r="BQV74" s="37"/>
      <c r="BQW74" s="138"/>
      <c r="BQX74" s="37"/>
      <c r="BQY74" s="37"/>
      <c r="BQZ74" s="37"/>
      <c r="BRA74" s="37"/>
      <c r="BRB74" s="37"/>
      <c r="BRC74" s="75"/>
      <c r="BRD74" s="37"/>
      <c r="BRE74" s="37"/>
      <c r="BRF74" s="37"/>
      <c r="BRG74" s="37"/>
      <c r="BRH74" s="37"/>
      <c r="BRI74" s="138"/>
      <c r="BRJ74" s="37"/>
      <c r="BRK74" s="37"/>
      <c r="BRL74" s="37"/>
      <c r="BRM74" s="37"/>
      <c r="BRN74" s="37"/>
      <c r="BRO74" s="75"/>
      <c r="BRP74" s="65"/>
      <c r="BRQ74" s="65"/>
      <c r="BRR74" s="65"/>
      <c r="BRS74" s="65"/>
      <c r="BRT74" s="37"/>
      <c r="BRU74" s="138"/>
      <c r="BRV74" s="37"/>
      <c r="BRW74" s="37"/>
      <c r="BRX74" s="37"/>
      <c r="BRY74" s="37"/>
      <c r="BRZ74" s="37"/>
      <c r="BSA74" s="75"/>
      <c r="BSB74" s="37"/>
      <c r="BSC74" s="37"/>
      <c r="BSD74" s="37"/>
      <c r="BSE74" s="37"/>
      <c r="BSF74" s="37"/>
      <c r="BSG74" s="138"/>
      <c r="BSH74" s="37"/>
      <c r="BSI74" s="37"/>
      <c r="BSJ74" s="37"/>
      <c r="BSK74" s="37"/>
      <c r="BSL74" s="37"/>
      <c r="BSM74" s="75"/>
      <c r="BSN74" s="37"/>
      <c r="BSO74" s="37"/>
      <c r="BSP74" s="37"/>
      <c r="BSQ74" s="37"/>
      <c r="BSR74" s="37"/>
      <c r="BSS74" s="38"/>
      <c r="BST74" s="36"/>
      <c r="BSU74" s="65"/>
      <c r="BSV74" s="65"/>
      <c r="BSW74" s="65"/>
      <c r="BSX74" s="37"/>
      <c r="BSY74" s="133"/>
      <c r="BSZ74" s="37"/>
      <c r="BTA74" s="37"/>
      <c r="BTB74" s="37"/>
      <c r="BTC74" s="37"/>
      <c r="BTD74" s="37"/>
      <c r="BTE74" s="138"/>
      <c r="BTF74" s="37"/>
      <c r="BTG74" s="37"/>
      <c r="BTH74" s="37"/>
      <c r="BTI74" s="37"/>
      <c r="BTJ74" s="37"/>
      <c r="BTK74" s="75"/>
      <c r="BTL74" s="37"/>
      <c r="BTM74" s="37"/>
      <c r="BTN74" s="37"/>
      <c r="BTO74" s="37"/>
      <c r="BTP74" s="37"/>
      <c r="BTQ74" s="138"/>
      <c r="BTR74" s="37"/>
      <c r="BTS74" s="37"/>
      <c r="BTT74" s="37"/>
      <c r="BTU74" s="37"/>
      <c r="BTV74" s="37"/>
      <c r="BTW74" s="75"/>
      <c r="BTX74" s="65"/>
      <c r="BTY74" s="65"/>
      <c r="BTZ74" s="65"/>
      <c r="BUA74" s="65"/>
      <c r="BUB74" s="37"/>
      <c r="BUC74" s="138"/>
      <c r="BUD74" s="37"/>
      <c r="BUE74" s="37"/>
      <c r="BUF74" s="37"/>
      <c r="BUG74" s="37"/>
      <c r="BUH74" s="37"/>
      <c r="BUI74" s="75"/>
      <c r="BUJ74" s="37"/>
      <c r="BUK74" s="37"/>
      <c r="BUL74" s="37"/>
      <c r="BUM74" s="37"/>
      <c r="BUN74" s="37"/>
      <c r="BUO74" s="138"/>
      <c r="BUP74" s="37"/>
      <c r="BUQ74" s="37"/>
      <c r="BUR74" s="37"/>
      <c r="BUS74" s="37"/>
      <c r="BUT74" s="37"/>
      <c r="BUU74" s="75"/>
      <c r="BUV74" s="37"/>
      <c r="BUW74" s="37"/>
      <c r="BUX74" s="37"/>
      <c r="BUY74" s="37"/>
      <c r="BUZ74" s="37"/>
      <c r="BVA74" s="38"/>
      <c r="BVB74" s="90"/>
    </row>
    <row r="75" spans="1:1926" ht="20.100000000000001" customHeight="1" x14ac:dyDescent="0.25">
      <c r="A75" s="100" t="s">
        <v>20</v>
      </c>
      <c r="B75" s="63"/>
      <c r="C75" s="180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32"/>
      <c r="BOE75" s="64"/>
      <c r="BOF75" s="64"/>
      <c r="BOG75" s="64"/>
      <c r="BOH75" s="33"/>
      <c r="BOI75" s="132"/>
      <c r="BOJ75" s="33"/>
      <c r="BOK75" s="33"/>
      <c r="BOL75" s="33"/>
      <c r="BOM75" s="33"/>
      <c r="BON75" s="33"/>
      <c r="BOO75" s="137"/>
      <c r="BOP75" s="33"/>
      <c r="BOQ75" s="33"/>
      <c r="BOR75" s="33"/>
      <c r="BOS75" s="33"/>
      <c r="BOT75" s="33"/>
      <c r="BOU75" s="74"/>
      <c r="BOV75" s="33"/>
      <c r="BOW75" s="33"/>
      <c r="BOX75" s="33"/>
      <c r="BOY75" s="33"/>
      <c r="BOZ75" s="33"/>
      <c r="BPA75" s="137"/>
      <c r="BPB75" s="33"/>
      <c r="BPC75" s="33"/>
      <c r="BPD75" s="33"/>
      <c r="BPE75" s="33"/>
      <c r="BPF75" s="33"/>
      <c r="BPG75" s="74"/>
      <c r="BPH75" s="64"/>
      <c r="BPI75" s="64"/>
      <c r="BPJ75" s="64"/>
      <c r="BPK75" s="64"/>
      <c r="BPL75" s="33"/>
      <c r="BPM75" s="137"/>
      <c r="BPN75" s="33"/>
      <c r="BPO75" s="33"/>
      <c r="BPP75" s="33"/>
      <c r="BPQ75" s="33"/>
      <c r="BPR75" s="33"/>
      <c r="BPS75" s="74"/>
      <c r="BPT75" s="33"/>
      <c r="BPU75" s="33"/>
      <c r="BPV75" s="33"/>
      <c r="BPW75" s="33"/>
      <c r="BPX75" s="33"/>
      <c r="BPY75" s="137"/>
      <c r="BPZ75" s="33"/>
      <c r="BQA75" s="33"/>
      <c r="BQB75" s="33"/>
      <c r="BQC75" s="33"/>
      <c r="BQD75" s="33"/>
      <c r="BQE75" s="74"/>
      <c r="BQF75" s="33"/>
      <c r="BQG75" s="33"/>
      <c r="BQH75" s="33"/>
      <c r="BQI75" s="33"/>
      <c r="BQJ75" s="33"/>
      <c r="BQK75" s="34"/>
      <c r="BQL75" s="32"/>
      <c r="BQM75" s="64"/>
      <c r="BQN75" s="64"/>
      <c r="BQO75" s="64"/>
      <c r="BQP75" s="33"/>
      <c r="BQQ75" s="132"/>
      <c r="BQR75" s="33"/>
      <c r="BQS75" s="33"/>
      <c r="BQT75" s="33"/>
      <c r="BQU75" s="33"/>
      <c r="BQV75" s="33"/>
      <c r="BQW75" s="137"/>
      <c r="BQX75" s="33"/>
      <c r="BQY75" s="33"/>
      <c r="BQZ75" s="33"/>
      <c r="BRA75" s="33"/>
      <c r="BRB75" s="33"/>
      <c r="BRC75" s="74"/>
      <c r="BRD75" s="33"/>
      <c r="BRE75" s="33"/>
      <c r="BRF75" s="33"/>
      <c r="BRG75" s="33"/>
      <c r="BRH75" s="33"/>
      <c r="BRI75" s="137"/>
      <c r="BRJ75" s="33"/>
      <c r="BRK75" s="33"/>
      <c r="BRL75" s="33"/>
      <c r="BRM75" s="33"/>
      <c r="BRN75" s="33"/>
      <c r="BRO75" s="74"/>
      <c r="BRP75" s="64"/>
      <c r="BRQ75" s="64"/>
      <c r="BRR75" s="64"/>
      <c r="BRS75" s="64"/>
      <c r="BRT75" s="33"/>
      <c r="BRU75" s="137"/>
      <c r="BRV75" s="33"/>
      <c r="BRW75" s="33"/>
      <c r="BRX75" s="33"/>
      <c r="BRY75" s="33"/>
      <c r="BRZ75" s="33"/>
      <c r="BSA75" s="74"/>
      <c r="BSB75" s="33"/>
      <c r="BSC75" s="33"/>
      <c r="BSD75" s="33"/>
      <c r="BSE75" s="33"/>
      <c r="BSF75" s="33"/>
      <c r="BSG75" s="137"/>
      <c r="BSH75" s="33"/>
      <c r="BSI75" s="33"/>
      <c r="BSJ75" s="33"/>
      <c r="BSK75" s="33"/>
      <c r="BSL75" s="33"/>
      <c r="BSM75" s="74"/>
      <c r="BSN75" s="33"/>
      <c r="BSO75" s="33"/>
      <c r="BSP75" s="33"/>
      <c r="BSQ75" s="33"/>
      <c r="BSR75" s="33"/>
      <c r="BSS75" s="34"/>
      <c r="BST75" s="32"/>
      <c r="BSU75" s="64"/>
      <c r="BSV75" s="64"/>
      <c r="BSW75" s="64"/>
      <c r="BSX75" s="33"/>
      <c r="BSY75" s="132"/>
      <c r="BSZ75" s="33"/>
      <c r="BTA75" s="33"/>
      <c r="BTB75" s="33"/>
      <c r="BTC75" s="33"/>
      <c r="BTD75" s="33"/>
      <c r="BTE75" s="137"/>
      <c r="BTF75" s="33"/>
      <c r="BTG75" s="33"/>
      <c r="BTH75" s="33"/>
      <c r="BTI75" s="33"/>
      <c r="BTJ75" s="33"/>
      <c r="BTK75" s="74"/>
      <c r="BTL75" s="33"/>
      <c r="BTM75" s="33"/>
      <c r="BTN75" s="33"/>
      <c r="BTO75" s="33"/>
      <c r="BTP75" s="33"/>
      <c r="BTQ75" s="137"/>
      <c r="BTR75" s="33"/>
      <c r="BTS75" s="33"/>
      <c r="BTT75" s="33"/>
      <c r="BTU75" s="33"/>
      <c r="BTV75" s="33"/>
      <c r="BTW75" s="74"/>
      <c r="BTX75" s="64"/>
      <c r="BTY75" s="64"/>
      <c r="BTZ75" s="64"/>
      <c r="BUA75" s="64"/>
      <c r="BUB75" s="33"/>
      <c r="BUC75" s="137"/>
      <c r="BUD75" s="33"/>
      <c r="BUE75" s="33"/>
      <c r="BUF75" s="33"/>
      <c r="BUG75" s="33"/>
      <c r="BUH75" s="33"/>
      <c r="BUI75" s="74"/>
      <c r="BUJ75" s="33"/>
      <c r="BUK75" s="33"/>
      <c r="BUL75" s="33"/>
      <c r="BUM75" s="33"/>
      <c r="BUN75" s="33"/>
      <c r="BUO75" s="137"/>
      <c r="BUP75" s="33"/>
      <c r="BUQ75" s="33"/>
      <c r="BUR75" s="33"/>
      <c r="BUS75" s="33"/>
      <c r="BUT75" s="33"/>
      <c r="BUU75" s="74"/>
      <c r="BUV75" s="33"/>
      <c r="BUW75" s="33"/>
      <c r="BUX75" s="33"/>
      <c r="BUY75" s="33"/>
      <c r="BUZ75" s="33"/>
      <c r="BVA75" s="34"/>
      <c r="BVB75" s="90"/>
    </row>
    <row r="76" spans="1:1926" ht="20.100000000000001" customHeight="1" x14ac:dyDescent="0.3">
      <c r="A76" s="100" t="s">
        <v>21</v>
      </c>
      <c r="B76" s="63"/>
      <c r="C76" s="181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36"/>
      <c r="BOE76" s="65"/>
      <c r="BOF76" s="65"/>
      <c r="BOG76" s="65"/>
      <c r="BOH76" s="37"/>
      <c r="BOI76" s="133"/>
      <c r="BOJ76" s="37"/>
      <c r="BOK76" s="37"/>
      <c r="BOL76" s="37"/>
      <c r="BOM76" s="37"/>
      <c r="BON76" s="37"/>
      <c r="BOO76" s="138"/>
      <c r="BOP76" s="37"/>
      <c r="BOQ76" s="37"/>
      <c r="BOR76" s="37"/>
      <c r="BOS76" s="37"/>
      <c r="BOT76" s="37"/>
      <c r="BOU76" s="75"/>
      <c r="BOV76" s="37"/>
      <c r="BOW76" s="37"/>
      <c r="BOX76" s="37"/>
      <c r="BOY76" s="37"/>
      <c r="BOZ76" s="37"/>
      <c r="BPA76" s="138"/>
      <c r="BPB76" s="37"/>
      <c r="BPC76" s="37"/>
      <c r="BPD76" s="37"/>
      <c r="BPE76" s="37"/>
      <c r="BPF76" s="37"/>
      <c r="BPG76" s="75"/>
      <c r="BPH76" s="65"/>
      <c r="BPI76" s="65"/>
      <c r="BPJ76" s="65"/>
      <c r="BPK76" s="65"/>
      <c r="BPL76" s="37"/>
      <c r="BPM76" s="138"/>
      <c r="BPN76" s="37"/>
      <c r="BPO76" s="37"/>
      <c r="BPP76" s="37"/>
      <c r="BPQ76" s="37"/>
      <c r="BPR76" s="37"/>
      <c r="BPS76" s="75"/>
      <c r="BPT76" s="37"/>
      <c r="BPU76" s="37"/>
      <c r="BPV76" s="37"/>
      <c r="BPW76" s="37"/>
      <c r="BPX76" s="37"/>
      <c r="BPY76" s="138"/>
      <c r="BPZ76" s="37"/>
      <c r="BQA76" s="37"/>
      <c r="BQB76" s="37"/>
      <c r="BQC76" s="37"/>
      <c r="BQD76" s="37"/>
      <c r="BQE76" s="75"/>
      <c r="BQF76" s="37"/>
      <c r="BQG76" s="37"/>
      <c r="BQH76" s="37"/>
      <c r="BQI76" s="37"/>
      <c r="BQJ76" s="37"/>
      <c r="BQK76" s="38"/>
      <c r="BQL76" s="36"/>
      <c r="BQM76" s="65"/>
      <c r="BQN76" s="65"/>
      <c r="BQO76" s="65"/>
      <c r="BQP76" s="37"/>
      <c r="BQQ76" s="133"/>
      <c r="BQR76" s="37"/>
      <c r="BQS76" s="37"/>
      <c r="BQT76" s="37"/>
      <c r="BQU76" s="37"/>
      <c r="BQV76" s="37"/>
      <c r="BQW76" s="138"/>
      <c r="BQX76" s="37"/>
      <c r="BQY76" s="37"/>
      <c r="BQZ76" s="37"/>
      <c r="BRA76" s="37"/>
      <c r="BRB76" s="37"/>
      <c r="BRC76" s="75"/>
      <c r="BRD76" s="37"/>
      <c r="BRE76" s="37"/>
      <c r="BRF76" s="37"/>
      <c r="BRG76" s="37"/>
      <c r="BRH76" s="37"/>
      <c r="BRI76" s="138"/>
      <c r="BRJ76" s="37"/>
      <c r="BRK76" s="37"/>
      <c r="BRL76" s="37"/>
      <c r="BRM76" s="37"/>
      <c r="BRN76" s="37"/>
      <c r="BRO76" s="75"/>
      <c r="BRP76" s="65"/>
      <c r="BRQ76" s="65"/>
      <c r="BRR76" s="65"/>
      <c r="BRS76" s="65"/>
      <c r="BRT76" s="37"/>
      <c r="BRU76" s="138"/>
      <c r="BRV76" s="37"/>
      <c r="BRW76" s="37"/>
      <c r="BRX76" s="37"/>
      <c r="BRY76" s="37"/>
      <c r="BRZ76" s="37"/>
      <c r="BSA76" s="75"/>
      <c r="BSB76" s="37"/>
      <c r="BSC76" s="37"/>
      <c r="BSD76" s="37"/>
      <c r="BSE76" s="37"/>
      <c r="BSF76" s="37"/>
      <c r="BSG76" s="138"/>
      <c r="BSH76" s="37"/>
      <c r="BSI76" s="37"/>
      <c r="BSJ76" s="37"/>
      <c r="BSK76" s="37"/>
      <c r="BSL76" s="37"/>
      <c r="BSM76" s="75"/>
      <c r="BSN76" s="37"/>
      <c r="BSO76" s="37"/>
      <c r="BSP76" s="37"/>
      <c r="BSQ76" s="37"/>
      <c r="BSR76" s="37"/>
      <c r="BSS76" s="38"/>
      <c r="BST76" s="36"/>
      <c r="BSU76" s="65"/>
      <c r="BSV76" s="65"/>
      <c r="BSW76" s="65"/>
      <c r="BSX76" s="37"/>
      <c r="BSY76" s="133"/>
      <c r="BSZ76" s="37"/>
      <c r="BTA76" s="37"/>
      <c r="BTB76" s="37"/>
      <c r="BTC76" s="37"/>
      <c r="BTD76" s="37"/>
      <c r="BTE76" s="138"/>
      <c r="BTF76" s="37"/>
      <c r="BTG76" s="37"/>
      <c r="BTH76" s="37"/>
      <c r="BTI76" s="37"/>
      <c r="BTJ76" s="37"/>
      <c r="BTK76" s="75"/>
      <c r="BTL76" s="37"/>
      <c r="BTM76" s="37"/>
      <c r="BTN76" s="37"/>
      <c r="BTO76" s="37"/>
      <c r="BTP76" s="37"/>
      <c r="BTQ76" s="138"/>
      <c r="BTR76" s="37"/>
      <c r="BTS76" s="37"/>
      <c r="BTT76" s="37"/>
      <c r="BTU76" s="37"/>
      <c r="BTV76" s="37"/>
      <c r="BTW76" s="75"/>
      <c r="BTX76" s="65"/>
      <c r="BTY76" s="65"/>
      <c r="BTZ76" s="65"/>
      <c r="BUA76" s="65"/>
      <c r="BUB76" s="37"/>
      <c r="BUC76" s="138"/>
      <c r="BUD76" s="37"/>
      <c r="BUE76" s="37"/>
      <c r="BUF76" s="37"/>
      <c r="BUG76" s="37"/>
      <c r="BUH76" s="37"/>
      <c r="BUI76" s="75"/>
      <c r="BUJ76" s="37"/>
      <c r="BUK76" s="37"/>
      <c r="BUL76" s="37"/>
      <c r="BUM76" s="37"/>
      <c r="BUN76" s="37"/>
      <c r="BUO76" s="138"/>
      <c r="BUP76" s="37"/>
      <c r="BUQ76" s="37"/>
      <c r="BUR76" s="37"/>
      <c r="BUS76" s="37"/>
      <c r="BUT76" s="37"/>
      <c r="BUU76" s="75"/>
      <c r="BUV76" s="37"/>
      <c r="BUW76" s="37"/>
      <c r="BUX76" s="37"/>
      <c r="BUY76" s="37"/>
      <c r="BUZ76" s="37"/>
      <c r="BVA76" s="38"/>
      <c r="BVB76" s="90"/>
    </row>
    <row r="77" spans="1:1926" ht="20.100000000000001" customHeight="1" x14ac:dyDescent="0.25">
      <c r="A77" s="100" t="s">
        <v>20</v>
      </c>
      <c r="B77" s="63"/>
      <c r="C77" s="18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40"/>
      <c r="BOE77" s="66"/>
      <c r="BOF77" s="66"/>
      <c r="BOG77" s="66"/>
      <c r="BOH77" s="41"/>
      <c r="BOI77" s="134"/>
      <c r="BOJ77" s="41"/>
      <c r="BOK77" s="41"/>
      <c r="BOL77" s="41"/>
      <c r="BOM77" s="41"/>
      <c r="BON77" s="41"/>
      <c r="BOO77" s="139"/>
      <c r="BOP77" s="41"/>
      <c r="BOQ77" s="41"/>
      <c r="BOR77" s="41"/>
      <c r="BOS77" s="41"/>
      <c r="BOT77" s="41"/>
      <c r="BOU77" s="76"/>
      <c r="BOV77" s="41"/>
      <c r="BOW77" s="41"/>
      <c r="BOX77" s="41"/>
      <c r="BOY77" s="41"/>
      <c r="BOZ77" s="41"/>
      <c r="BPA77" s="139"/>
      <c r="BPB77" s="41"/>
      <c r="BPC77" s="41"/>
      <c r="BPD77" s="41"/>
      <c r="BPE77" s="41"/>
      <c r="BPF77" s="41"/>
      <c r="BPG77" s="76"/>
      <c r="BPH77" s="66"/>
      <c r="BPI77" s="66"/>
      <c r="BPJ77" s="66"/>
      <c r="BPK77" s="66"/>
      <c r="BPL77" s="41"/>
      <c r="BPM77" s="139"/>
      <c r="BPN77" s="41"/>
      <c r="BPO77" s="41"/>
      <c r="BPP77" s="41"/>
      <c r="BPQ77" s="41"/>
      <c r="BPR77" s="41"/>
      <c r="BPS77" s="76"/>
      <c r="BPT77" s="41"/>
      <c r="BPU77" s="41"/>
      <c r="BPV77" s="41"/>
      <c r="BPW77" s="41"/>
      <c r="BPX77" s="41"/>
      <c r="BPY77" s="139"/>
      <c r="BPZ77" s="41"/>
      <c r="BQA77" s="41"/>
      <c r="BQB77" s="41"/>
      <c r="BQC77" s="41"/>
      <c r="BQD77" s="41"/>
      <c r="BQE77" s="76"/>
      <c r="BQF77" s="41"/>
      <c r="BQG77" s="41"/>
      <c r="BQH77" s="41"/>
      <c r="BQI77" s="41"/>
      <c r="BQJ77" s="41"/>
      <c r="BQK77" s="42"/>
      <c r="BQL77" s="40"/>
      <c r="BQM77" s="66"/>
      <c r="BQN77" s="66"/>
      <c r="BQO77" s="66"/>
      <c r="BQP77" s="41"/>
      <c r="BQQ77" s="134"/>
      <c r="BQR77" s="41"/>
      <c r="BQS77" s="41"/>
      <c r="BQT77" s="41"/>
      <c r="BQU77" s="41"/>
      <c r="BQV77" s="41"/>
      <c r="BQW77" s="139"/>
      <c r="BQX77" s="41"/>
      <c r="BQY77" s="41"/>
      <c r="BQZ77" s="41"/>
      <c r="BRA77" s="41"/>
      <c r="BRB77" s="41"/>
      <c r="BRC77" s="76"/>
      <c r="BRD77" s="41"/>
      <c r="BRE77" s="41"/>
      <c r="BRF77" s="41"/>
      <c r="BRG77" s="41"/>
      <c r="BRH77" s="41"/>
      <c r="BRI77" s="139"/>
      <c r="BRJ77" s="41"/>
      <c r="BRK77" s="41"/>
      <c r="BRL77" s="41"/>
      <c r="BRM77" s="41"/>
      <c r="BRN77" s="41"/>
      <c r="BRO77" s="76"/>
      <c r="BRP77" s="66"/>
      <c r="BRQ77" s="66"/>
      <c r="BRR77" s="66"/>
      <c r="BRS77" s="66"/>
      <c r="BRT77" s="41"/>
      <c r="BRU77" s="139"/>
      <c r="BRV77" s="41"/>
      <c r="BRW77" s="41"/>
      <c r="BRX77" s="41"/>
      <c r="BRY77" s="41"/>
      <c r="BRZ77" s="41"/>
      <c r="BSA77" s="76"/>
      <c r="BSB77" s="41"/>
      <c r="BSC77" s="41"/>
      <c r="BSD77" s="41"/>
      <c r="BSE77" s="41"/>
      <c r="BSF77" s="41"/>
      <c r="BSG77" s="139"/>
      <c r="BSH77" s="41"/>
      <c r="BSI77" s="41"/>
      <c r="BSJ77" s="41"/>
      <c r="BSK77" s="41"/>
      <c r="BSL77" s="41"/>
      <c r="BSM77" s="76"/>
      <c r="BSN77" s="41"/>
      <c r="BSO77" s="41"/>
      <c r="BSP77" s="41"/>
      <c r="BSQ77" s="41"/>
      <c r="BSR77" s="41"/>
      <c r="BSS77" s="42"/>
      <c r="BST77" s="40"/>
      <c r="BSU77" s="66"/>
      <c r="BSV77" s="66"/>
      <c r="BSW77" s="66"/>
      <c r="BSX77" s="41"/>
      <c r="BSY77" s="134"/>
      <c r="BSZ77" s="41"/>
      <c r="BTA77" s="41"/>
      <c r="BTB77" s="41"/>
      <c r="BTC77" s="41"/>
      <c r="BTD77" s="41"/>
      <c r="BTE77" s="139"/>
      <c r="BTF77" s="41"/>
      <c r="BTG77" s="41"/>
      <c r="BTH77" s="41"/>
      <c r="BTI77" s="41"/>
      <c r="BTJ77" s="41"/>
      <c r="BTK77" s="76"/>
      <c r="BTL77" s="41"/>
      <c r="BTM77" s="41"/>
      <c r="BTN77" s="41"/>
      <c r="BTO77" s="41"/>
      <c r="BTP77" s="41"/>
      <c r="BTQ77" s="139"/>
      <c r="BTR77" s="41"/>
      <c r="BTS77" s="41"/>
      <c r="BTT77" s="41"/>
      <c r="BTU77" s="41"/>
      <c r="BTV77" s="41"/>
      <c r="BTW77" s="76"/>
      <c r="BTX77" s="66"/>
      <c r="BTY77" s="66"/>
      <c r="BTZ77" s="66"/>
      <c r="BUA77" s="66"/>
      <c r="BUB77" s="41"/>
      <c r="BUC77" s="139"/>
      <c r="BUD77" s="41"/>
      <c r="BUE77" s="41"/>
      <c r="BUF77" s="41"/>
      <c r="BUG77" s="41"/>
      <c r="BUH77" s="41"/>
      <c r="BUI77" s="76"/>
      <c r="BUJ77" s="41"/>
      <c r="BUK77" s="41"/>
      <c r="BUL77" s="41"/>
      <c r="BUM77" s="41"/>
      <c r="BUN77" s="41"/>
      <c r="BUO77" s="139"/>
      <c r="BUP77" s="41"/>
      <c r="BUQ77" s="41"/>
      <c r="BUR77" s="41"/>
      <c r="BUS77" s="41"/>
      <c r="BUT77" s="41"/>
      <c r="BUU77" s="76"/>
      <c r="BUV77" s="41"/>
      <c r="BUW77" s="41"/>
      <c r="BUX77" s="41"/>
      <c r="BUY77" s="41"/>
      <c r="BUZ77" s="41"/>
      <c r="BVA77" s="42"/>
      <c r="BVB77" s="90"/>
    </row>
    <row r="78" spans="1:1926" ht="20.100000000000001" customHeight="1" x14ac:dyDescent="0.25">
      <c r="A78" s="100" t="s">
        <v>21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28"/>
      <c r="BOE78" s="67"/>
      <c r="BOF78" s="67"/>
      <c r="BOG78" s="67"/>
      <c r="BOH78" s="29"/>
      <c r="BOI78" s="133"/>
      <c r="BOJ78" s="29"/>
      <c r="BOK78" s="29"/>
      <c r="BOL78" s="29"/>
      <c r="BOM78" s="29"/>
      <c r="BON78" s="29"/>
      <c r="BOO78" s="138"/>
      <c r="BOP78" s="29"/>
      <c r="BOQ78" s="29"/>
      <c r="BOR78" s="29"/>
      <c r="BOS78" s="29"/>
      <c r="BOT78" s="29"/>
      <c r="BOU78" s="75"/>
      <c r="BOV78" s="29"/>
      <c r="BOW78" s="29"/>
      <c r="BOX78" s="29"/>
      <c r="BOY78" s="29"/>
      <c r="BOZ78" s="29"/>
      <c r="BPA78" s="138"/>
      <c r="BPB78" s="29"/>
      <c r="BPC78" s="29"/>
      <c r="BPD78" s="29"/>
      <c r="BPE78" s="29"/>
      <c r="BPF78" s="29"/>
      <c r="BPG78" s="75"/>
      <c r="BPH78" s="67"/>
      <c r="BPI78" s="67"/>
      <c r="BPJ78" s="67"/>
      <c r="BPK78" s="67"/>
      <c r="BPL78" s="29"/>
      <c r="BPM78" s="138"/>
      <c r="BPN78" s="29"/>
      <c r="BPO78" s="29"/>
      <c r="BPP78" s="29"/>
      <c r="BPQ78" s="29"/>
      <c r="BPR78" s="29"/>
      <c r="BPS78" s="75"/>
      <c r="BPT78" s="29"/>
      <c r="BPU78" s="29"/>
      <c r="BPV78" s="29"/>
      <c r="BPW78" s="29"/>
      <c r="BPX78" s="29"/>
      <c r="BPY78" s="138"/>
      <c r="BPZ78" s="29"/>
      <c r="BQA78" s="29"/>
      <c r="BQB78" s="29"/>
      <c r="BQC78" s="29"/>
      <c r="BQD78" s="29"/>
      <c r="BQE78" s="75"/>
      <c r="BQF78" s="29"/>
      <c r="BQG78" s="29"/>
      <c r="BQH78" s="29"/>
      <c r="BQI78" s="29"/>
      <c r="BQJ78" s="29"/>
      <c r="BQK78" s="30"/>
      <c r="BQL78" s="28"/>
      <c r="BQM78" s="67"/>
      <c r="BQN78" s="67"/>
      <c r="BQO78" s="67"/>
      <c r="BQP78" s="29"/>
      <c r="BQQ78" s="133"/>
      <c r="BQR78" s="29"/>
      <c r="BQS78" s="29"/>
      <c r="BQT78" s="29"/>
      <c r="BQU78" s="29"/>
      <c r="BQV78" s="29"/>
      <c r="BQW78" s="138"/>
      <c r="BQX78" s="29"/>
      <c r="BQY78" s="29"/>
      <c r="BQZ78" s="29"/>
      <c r="BRA78" s="29"/>
      <c r="BRB78" s="29"/>
      <c r="BRC78" s="75"/>
      <c r="BRD78" s="29"/>
      <c r="BRE78" s="29"/>
      <c r="BRF78" s="29"/>
      <c r="BRG78" s="29"/>
      <c r="BRH78" s="29"/>
      <c r="BRI78" s="138"/>
      <c r="BRJ78" s="29"/>
      <c r="BRK78" s="29"/>
      <c r="BRL78" s="29"/>
      <c r="BRM78" s="29"/>
      <c r="BRN78" s="29"/>
      <c r="BRO78" s="75"/>
      <c r="BRP78" s="67"/>
      <c r="BRQ78" s="67"/>
      <c r="BRR78" s="67"/>
      <c r="BRS78" s="67"/>
      <c r="BRT78" s="29"/>
      <c r="BRU78" s="138"/>
      <c r="BRV78" s="29"/>
      <c r="BRW78" s="29"/>
      <c r="BRX78" s="29"/>
      <c r="BRY78" s="29"/>
      <c r="BRZ78" s="29"/>
      <c r="BSA78" s="75"/>
      <c r="BSB78" s="29"/>
      <c r="BSC78" s="29"/>
      <c r="BSD78" s="29"/>
      <c r="BSE78" s="29"/>
      <c r="BSF78" s="29"/>
      <c r="BSG78" s="138"/>
      <c r="BSH78" s="29"/>
      <c r="BSI78" s="29"/>
      <c r="BSJ78" s="29"/>
      <c r="BSK78" s="29"/>
      <c r="BSL78" s="29"/>
      <c r="BSM78" s="75"/>
      <c r="BSN78" s="29"/>
      <c r="BSO78" s="29"/>
      <c r="BSP78" s="29"/>
      <c r="BSQ78" s="29"/>
      <c r="BSR78" s="29"/>
      <c r="BSS78" s="30"/>
      <c r="BST78" s="28"/>
      <c r="BSU78" s="67"/>
      <c r="BSV78" s="67"/>
      <c r="BSW78" s="67"/>
      <c r="BSX78" s="29"/>
      <c r="BSY78" s="133"/>
      <c r="BSZ78" s="29"/>
      <c r="BTA78" s="29"/>
      <c r="BTB78" s="29"/>
      <c r="BTC78" s="29"/>
      <c r="BTD78" s="29"/>
      <c r="BTE78" s="138"/>
      <c r="BTF78" s="29"/>
      <c r="BTG78" s="29"/>
      <c r="BTH78" s="29"/>
      <c r="BTI78" s="29"/>
      <c r="BTJ78" s="29"/>
      <c r="BTK78" s="75"/>
      <c r="BTL78" s="29"/>
      <c r="BTM78" s="29"/>
      <c r="BTN78" s="29"/>
      <c r="BTO78" s="29"/>
      <c r="BTP78" s="29"/>
      <c r="BTQ78" s="138"/>
      <c r="BTR78" s="29"/>
      <c r="BTS78" s="29"/>
      <c r="BTT78" s="29"/>
      <c r="BTU78" s="29"/>
      <c r="BTV78" s="29"/>
      <c r="BTW78" s="75"/>
      <c r="BTX78" s="67"/>
      <c r="BTY78" s="67"/>
      <c r="BTZ78" s="67"/>
      <c r="BUA78" s="67"/>
      <c r="BUB78" s="29"/>
      <c r="BUC78" s="138"/>
      <c r="BUD78" s="29"/>
      <c r="BUE78" s="29"/>
      <c r="BUF78" s="29"/>
      <c r="BUG78" s="29"/>
      <c r="BUH78" s="29"/>
      <c r="BUI78" s="75"/>
      <c r="BUJ78" s="29"/>
      <c r="BUK78" s="29"/>
      <c r="BUL78" s="29"/>
      <c r="BUM78" s="29"/>
      <c r="BUN78" s="29"/>
      <c r="BUO78" s="138"/>
      <c r="BUP78" s="29"/>
      <c r="BUQ78" s="29"/>
      <c r="BUR78" s="29"/>
      <c r="BUS78" s="29"/>
      <c r="BUT78" s="29"/>
      <c r="BUU78" s="75"/>
      <c r="BUV78" s="29"/>
      <c r="BUW78" s="29"/>
      <c r="BUX78" s="29"/>
      <c r="BUY78" s="29"/>
      <c r="BUZ78" s="29"/>
      <c r="BVA78" s="30"/>
      <c r="BVB78" s="90"/>
    </row>
    <row r="79" spans="1:1926" ht="20.100000000000001" customHeight="1" x14ac:dyDescent="0.25">
      <c r="A79" s="100" t="s">
        <v>20</v>
      </c>
      <c r="B79" s="63"/>
      <c r="C79" s="18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32"/>
      <c r="BOE79" s="64"/>
      <c r="BOF79" s="64"/>
      <c r="BOG79" s="64"/>
      <c r="BOH79" s="33"/>
      <c r="BOI79" s="132"/>
      <c r="BOJ79" s="33"/>
      <c r="BOK79" s="33"/>
      <c r="BOL79" s="33"/>
      <c r="BOM79" s="33"/>
      <c r="BON79" s="33"/>
      <c r="BOO79" s="137"/>
      <c r="BOP79" s="33"/>
      <c r="BOQ79" s="33"/>
      <c r="BOR79" s="33"/>
      <c r="BOS79" s="33"/>
      <c r="BOT79" s="33"/>
      <c r="BOU79" s="74"/>
      <c r="BOV79" s="33"/>
      <c r="BOW79" s="33"/>
      <c r="BOX79" s="33"/>
      <c r="BOY79" s="33"/>
      <c r="BOZ79" s="33"/>
      <c r="BPA79" s="137"/>
      <c r="BPB79" s="33"/>
      <c r="BPC79" s="33"/>
      <c r="BPD79" s="33"/>
      <c r="BPE79" s="33"/>
      <c r="BPF79" s="33"/>
      <c r="BPG79" s="74"/>
      <c r="BPH79" s="64"/>
      <c r="BPI79" s="64"/>
      <c r="BPJ79" s="64"/>
      <c r="BPK79" s="64"/>
      <c r="BPL79" s="33"/>
      <c r="BPM79" s="137"/>
      <c r="BPN79" s="33"/>
      <c r="BPO79" s="33"/>
      <c r="BPP79" s="33"/>
      <c r="BPQ79" s="33"/>
      <c r="BPR79" s="33"/>
      <c r="BPS79" s="74"/>
      <c r="BPT79" s="33"/>
      <c r="BPU79" s="33"/>
      <c r="BPV79" s="33"/>
      <c r="BPW79" s="33"/>
      <c r="BPX79" s="33"/>
      <c r="BPY79" s="137"/>
      <c r="BPZ79" s="33"/>
      <c r="BQA79" s="33"/>
      <c r="BQB79" s="33"/>
      <c r="BQC79" s="33"/>
      <c r="BQD79" s="33"/>
      <c r="BQE79" s="74"/>
      <c r="BQF79" s="33"/>
      <c r="BQG79" s="33"/>
      <c r="BQH79" s="33"/>
      <c r="BQI79" s="33"/>
      <c r="BQJ79" s="33"/>
      <c r="BQK79" s="34"/>
      <c r="BQL79" s="32"/>
      <c r="BQM79" s="64"/>
      <c r="BQN79" s="64"/>
      <c r="BQO79" s="64"/>
      <c r="BQP79" s="33"/>
      <c r="BQQ79" s="132"/>
      <c r="BQR79" s="33"/>
      <c r="BQS79" s="33"/>
      <c r="BQT79" s="33"/>
      <c r="BQU79" s="33"/>
      <c r="BQV79" s="33"/>
      <c r="BQW79" s="137"/>
      <c r="BQX79" s="33"/>
      <c r="BQY79" s="33"/>
      <c r="BQZ79" s="33"/>
      <c r="BRA79" s="33"/>
      <c r="BRB79" s="33"/>
      <c r="BRC79" s="74"/>
      <c r="BRD79" s="33"/>
      <c r="BRE79" s="33"/>
      <c r="BRF79" s="33"/>
      <c r="BRG79" s="33"/>
      <c r="BRH79" s="33"/>
      <c r="BRI79" s="137"/>
      <c r="BRJ79" s="33"/>
      <c r="BRK79" s="33"/>
      <c r="BRL79" s="33"/>
      <c r="BRM79" s="33"/>
      <c r="BRN79" s="33"/>
      <c r="BRO79" s="74"/>
      <c r="BRP79" s="64"/>
      <c r="BRQ79" s="64"/>
      <c r="BRR79" s="64"/>
      <c r="BRS79" s="64"/>
      <c r="BRT79" s="33"/>
      <c r="BRU79" s="137"/>
      <c r="BRV79" s="33"/>
      <c r="BRW79" s="33"/>
      <c r="BRX79" s="33"/>
      <c r="BRY79" s="33"/>
      <c r="BRZ79" s="33"/>
      <c r="BSA79" s="74"/>
      <c r="BSB79" s="33"/>
      <c r="BSC79" s="33"/>
      <c r="BSD79" s="33"/>
      <c r="BSE79" s="33"/>
      <c r="BSF79" s="33"/>
      <c r="BSG79" s="137"/>
      <c r="BSH79" s="33"/>
      <c r="BSI79" s="33"/>
      <c r="BSJ79" s="33"/>
      <c r="BSK79" s="33"/>
      <c r="BSL79" s="33"/>
      <c r="BSM79" s="74"/>
      <c r="BSN79" s="33"/>
      <c r="BSO79" s="33"/>
      <c r="BSP79" s="33"/>
      <c r="BSQ79" s="33"/>
      <c r="BSR79" s="33"/>
      <c r="BSS79" s="34"/>
      <c r="BST79" s="32"/>
      <c r="BSU79" s="64"/>
      <c r="BSV79" s="64"/>
      <c r="BSW79" s="64"/>
      <c r="BSX79" s="33"/>
      <c r="BSY79" s="132"/>
      <c r="BSZ79" s="33"/>
      <c r="BTA79" s="33"/>
      <c r="BTB79" s="33"/>
      <c r="BTC79" s="33"/>
      <c r="BTD79" s="33"/>
      <c r="BTE79" s="137"/>
      <c r="BTF79" s="33"/>
      <c r="BTG79" s="33"/>
      <c r="BTH79" s="33"/>
      <c r="BTI79" s="33"/>
      <c r="BTJ79" s="33"/>
      <c r="BTK79" s="74"/>
      <c r="BTL79" s="33"/>
      <c r="BTM79" s="33"/>
      <c r="BTN79" s="33"/>
      <c r="BTO79" s="33"/>
      <c r="BTP79" s="33"/>
      <c r="BTQ79" s="137"/>
      <c r="BTR79" s="33"/>
      <c r="BTS79" s="33"/>
      <c r="BTT79" s="33"/>
      <c r="BTU79" s="33"/>
      <c r="BTV79" s="33"/>
      <c r="BTW79" s="74"/>
      <c r="BTX79" s="64"/>
      <c r="BTY79" s="64"/>
      <c r="BTZ79" s="64"/>
      <c r="BUA79" s="64"/>
      <c r="BUB79" s="33"/>
      <c r="BUC79" s="137"/>
      <c r="BUD79" s="33"/>
      <c r="BUE79" s="33"/>
      <c r="BUF79" s="33"/>
      <c r="BUG79" s="33"/>
      <c r="BUH79" s="33"/>
      <c r="BUI79" s="74"/>
      <c r="BUJ79" s="33"/>
      <c r="BUK79" s="33"/>
      <c r="BUL79" s="33"/>
      <c r="BUM79" s="33"/>
      <c r="BUN79" s="33"/>
      <c r="BUO79" s="137"/>
      <c r="BUP79" s="33"/>
      <c r="BUQ79" s="33"/>
      <c r="BUR79" s="33"/>
      <c r="BUS79" s="33"/>
      <c r="BUT79" s="33"/>
      <c r="BUU79" s="74"/>
      <c r="BUV79" s="33"/>
      <c r="BUW79" s="33"/>
      <c r="BUX79" s="33"/>
      <c r="BUY79" s="33"/>
      <c r="BUZ79" s="33"/>
      <c r="BVA79" s="34"/>
      <c r="BVB79" s="90"/>
    </row>
    <row r="80" spans="1:1926" ht="20.100000000000001" customHeight="1" x14ac:dyDescent="0.3">
      <c r="A80" s="100" t="s">
        <v>21</v>
      </c>
      <c r="B80" s="63"/>
      <c r="C80" s="181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36"/>
      <c r="BOE80" s="65"/>
      <c r="BOF80" s="65"/>
      <c r="BOG80" s="65"/>
      <c r="BOH80" s="37"/>
      <c r="BOI80" s="133"/>
      <c r="BOJ80" s="37"/>
      <c r="BOK80" s="37"/>
      <c r="BOL80" s="37"/>
      <c r="BOM80" s="37"/>
      <c r="BON80" s="37"/>
      <c r="BOO80" s="138"/>
      <c r="BOP80" s="37"/>
      <c r="BOQ80" s="37"/>
      <c r="BOR80" s="37"/>
      <c r="BOS80" s="37"/>
      <c r="BOT80" s="37"/>
      <c r="BOU80" s="75"/>
      <c r="BOV80" s="37"/>
      <c r="BOW80" s="37"/>
      <c r="BOX80" s="37"/>
      <c r="BOY80" s="37"/>
      <c r="BOZ80" s="37"/>
      <c r="BPA80" s="138"/>
      <c r="BPB80" s="37"/>
      <c r="BPC80" s="37"/>
      <c r="BPD80" s="37"/>
      <c r="BPE80" s="37"/>
      <c r="BPF80" s="37"/>
      <c r="BPG80" s="75"/>
      <c r="BPH80" s="65"/>
      <c r="BPI80" s="65"/>
      <c r="BPJ80" s="65"/>
      <c r="BPK80" s="65"/>
      <c r="BPL80" s="37"/>
      <c r="BPM80" s="138"/>
      <c r="BPN80" s="37"/>
      <c r="BPO80" s="37"/>
      <c r="BPP80" s="37"/>
      <c r="BPQ80" s="37"/>
      <c r="BPR80" s="37"/>
      <c r="BPS80" s="75"/>
      <c r="BPT80" s="37"/>
      <c r="BPU80" s="37"/>
      <c r="BPV80" s="37"/>
      <c r="BPW80" s="37"/>
      <c r="BPX80" s="37"/>
      <c r="BPY80" s="138"/>
      <c r="BPZ80" s="37"/>
      <c r="BQA80" s="37"/>
      <c r="BQB80" s="37"/>
      <c r="BQC80" s="37"/>
      <c r="BQD80" s="37"/>
      <c r="BQE80" s="75"/>
      <c r="BQF80" s="37"/>
      <c r="BQG80" s="37"/>
      <c r="BQH80" s="37"/>
      <c r="BQI80" s="37"/>
      <c r="BQJ80" s="37"/>
      <c r="BQK80" s="38"/>
      <c r="BQL80" s="36"/>
      <c r="BQM80" s="65"/>
      <c r="BQN80" s="65"/>
      <c r="BQO80" s="65"/>
      <c r="BQP80" s="37"/>
      <c r="BQQ80" s="133"/>
      <c r="BQR80" s="37"/>
      <c r="BQS80" s="37"/>
      <c r="BQT80" s="37"/>
      <c r="BQU80" s="37"/>
      <c r="BQV80" s="37"/>
      <c r="BQW80" s="138"/>
      <c r="BQX80" s="37"/>
      <c r="BQY80" s="37"/>
      <c r="BQZ80" s="37"/>
      <c r="BRA80" s="37"/>
      <c r="BRB80" s="37"/>
      <c r="BRC80" s="75"/>
      <c r="BRD80" s="37"/>
      <c r="BRE80" s="37"/>
      <c r="BRF80" s="37"/>
      <c r="BRG80" s="37"/>
      <c r="BRH80" s="37"/>
      <c r="BRI80" s="138"/>
      <c r="BRJ80" s="37"/>
      <c r="BRK80" s="37"/>
      <c r="BRL80" s="37"/>
      <c r="BRM80" s="37"/>
      <c r="BRN80" s="37"/>
      <c r="BRO80" s="75"/>
      <c r="BRP80" s="65"/>
      <c r="BRQ80" s="65"/>
      <c r="BRR80" s="65"/>
      <c r="BRS80" s="65"/>
      <c r="BRT80" s="37"/>
      <c r="BRU80" s="138"/>
      <c r="BRV80" s="37"/>
      <c r="BRW80" s="37"/>
      <c r="BRX80" s="37"/>
      <c r="BRY80" s="37"/>
      <c r="BRZ80" s="37"/>
      <c r="BSA80" s="75"/>
      <c r="BSB80" s="37"/>
      <c r="BSC80" s="37"/>
      <c r="BSD80" s="37"/>
      <c r="BSE80" s="37"/>
      <c r="BSF80" s="37"/>
      <c r="BSG80" s="138"/>
      <c r="BSH80" s="37"/>
      <c r="BSI80" s="37"/>
      <c r="BSJ80" s="37"/>
      <c r="BSK80" s="37"/>
      <c r="BSL80" s="37"/>
      <c r="BSM80" s="75"/>
      <c r="BSN80" s="37"/>
      <c r="BSO80" s="37"/>
      <c r="BSP80" s="37"/>
      <c r="BSQ80" s="37"/>
      <c r="BSR80" s="37"/>
      <c r="BSS80" s="38"/>
      <c r="BST80" s="36"/>
      <c r="BSU80" s="65"/>
      <c r="BSV80" s="65"/>
      <c r="BSW80" s="65"/>
      <c r="BSX80" s="37"/>
      <c r="BSY80" s="133"/>
      <c r="BSZ80" s="37"/>
      <c r="BTA80" s="37"/>
      <c r="BTB80" s="37"/>
      <c r="BTC80" s="37"/>
      <c r="BTD80" s="37"/>
      <c r="BTE80" s="138"/>
      <c r="BTF80" s="37"/>
      <c r="BTG80" s="37"/>
      <c r="BTH80" s="37"/>
      <c r="BTI80" s="37"/>
      <c r="BTJ80" s="37"/>
      <c r="BTK80" s="75"/>
      <c r="BTL80" s="37"/>
      <c r="BTM80" s="37"/>
      <c r="BTN80" s="37"/>
      <c r="BTO80" s="37"/>
      <c r="BTP80" s="37"/>
      <c r="BTQ80" s="138"/>
      <c r="BTR80" s="37"/>
      <c r="BTS80" s="37"/>
      <c r="BTT80" s="37"/>
      <c r="BTU80" s="37"/>
      <c r="BTV80" s="37"/>
      <c r="BTW80" s="75"/>
      <c r="BTX80" s="65"/>
      <c r="BTY80" s="65"/>
      <c r="BTZ80" s="65"/>
      <c r="BUA80" s="65"/>
      <c r="BUB80" s="37"/>
      <c r="BUC80" s="138"/>
      <c r="BUD80" s="37"/>
      <c r="BUE80" s="37"/>
      <c r="BUF80" s="37"/>
      <c r="BUG80" s="37"/>
      <c r="BUH80" s="37"/>
      <c r="BUI80" s="75"/>
      <c r="BUJ80" s="37"/>
      <c r="BUK80" s="37"/>
      <c r="BUL80" s="37"/>
      <c r="BUM80" s="37"/>
      <c r="BUN80" s="37"/>
      <c r="BUO80" s="138"/>
      <c r="BUP80" s="37"/>
      <c r="BUQ80" s="37"/>
      <c r="BUR80" s="37"/>
      <c r="BUS80" s="37"/>
      <c r="BUT80" s="37"/>
      <c r="BUU80" s="75"/>
      <c r="BUV80" s="37"/>
      <c r="BUW80" s="37"/>
      <c r="BUX80" s="37"/>
      <c r="BUY80" s="37"/>
      <c r="BUZ80" s="37"/>
      <c r="BVA80" s="38"/>
      <c r="BVB80" s="90"/>
    </row>
    <row r="81" spans="1:1926" ht="20.100000000000001" customHeight="1" x14ac:dyDescent="0.25">
      <c r="A81" s="100" t="s">
        <v>20</v>
      </c>
      <c r="B81" s="63"/>
      <c r="C81" s="180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40"/>
      <c r="BOE81" s="66"/>
      <c r="BOF81" s="66"/>
      <c r="BOG81" s="66"/>
      <c r="BOH81" s="41"/>
      <c r="BOI81" s="134"/>
      <c r="BOJ81" s="41"/>
      <c r="BOK81" s="41"/>
      <c r="BOL81" s="41"/>
      <c r="BOM81" s="41"/>
      <c r="BON81" s="41"/>
      <c r="BOO81" s="139"/>
      <c r="BOP81" s="41"/>
      <c r="BOQ81" s="41"/>
      <c r="BOR81" s="41"/>
      <c r="BOS81" s="41"/>
      <c r="BOT81" s="41"/>
      <c r="BOU81" s="76"/>
      <c r="BOV81" s="41"/>
      <c r="BOW81" s="41"/>
      <c r="BOX81" s="41"/>
      <c r="BOY81" s="41"/>
      <c r="BOZ81" s="41"/>
      <c r="BPA81" s="139"/>
      <c r="BPB81" s="41"/>
      <c r="BPC81" s="41"/>
      <c r="BPD81" s="41"/>
      <c r="BPE81" s="41"/>
      <c r="BPF81" s="41"/>
      <c r="BPG81" s="76"/>
      <c r="BPH81" s="66"/>
      <c r="BPI81" s="66"/>
      <c r="BPJ81" s="66"/>
      <c r="BPK81" s="66"/>
      <c r="BPL81" s="41"/>
      <c r="BPM81" s="139"/>
      <c r="BPN81" s="41"/>
      <c r="BPO81" s="41"/>
      <c r="BPP81" s="41"/>
      <c r="BPQ81" s="41"/>
      <c r="BPR81" s="41"/>
      <c r="BPS81" s="76"/>
      <c r="BPT81" s="41"/>
      <c r="BPU81" s="41"/>
      <c r="BPV81" s="41"/>
      <c r="BPW81" s="41"/>
      <c r="BPX81" s="41"/>
      <c r="BPY81" s="139"/>
      <c r="BPZ81" s="41"/>
      <c r="BQA81" s="41"/>
      <c r="BQB81" s="41"/>
      <c r="BQC81" s="41"/>
      <c r="BQD81" s="41"/>
      <c r="BQE81" s="76"/>
      <c r="BQF81" s="41"/>
      <c r="BQG81" s="41"/>
      <c r="BQH81" s="41"/>
      <c r="BQI81" s="41"/>
      <c r="BQJ81" s="41"/>
      <c r="BQK81" s="42"/>
      <c r="BQL81" s="40"/>
      <c r="BQM81" s="66"/>
      <c r="BQN81" s="66"/>
      <c r="BQO81" s="66"/>
      <c r="BQP81" s="41"/>
      <c r="BQQ81" s="134"/>
      <c r="BQR81" s="41"/>
      <c r="BQS81" s="41"/>
      <c r="BQT81" s="41"/>
      <c r="BQU81" s="41"/>
      <c r="BQV81" s="41"/>
      <c r="BQW81" s="139"/>
      <c r="BQX81" s="41"/>
      <c r="BQY81" s="41"/>
      <c r="BQZ81" s="41"/>
      <c r="BRA81" s="41"/>
      <c r="BRB81" s="41"/>
      <c r="BRC81" s="76"/>
      <c r="BRD81" s="41"/>
      <c r="BRE81" s="41"/>
      <c r="BRF81" s="41"/>
      <c r="BRG81" s="41"/>
      <c r="BRH81" s="41"/>
      <c r="BRI81" s="139"/>
      <c r="BRJ81" s="41"/>
      <c r="BRK81" s="41"/>
      <c r="BRL81" s="41"/>
      <c r="BRM81" s="41"/>
      <c r="BRN81" s="41"/>
      <c r="BRO81" s="76"/>
      <c r="BRP81" s="66"/>
      <c r="BRQ81" s="66"/>
      <c r="BRR81" s="66"/>
      <c r="BRS81" s="66"/>
      <c r="BRT81" s="41"/>
      <c r="BRU81" s="139"/>
      <c r="BRV81" s="41"/>
      <c r="BRW81" s="41"/>
      <c r="BRX81" s="41"/>
      <c r="BRY81" s="41"/>
      <c r="BRZ81" s="41"/>
      <c r="BSA81" s="76"/>
      <c r="BSB81" s="41"/>
      <c r="BSC81" s="41"/>
      <c r="BSD81" s="41"/>
      <c r="BSE81" s="41"/>
      <c r="BSF81" s="41"/>
      <c r="BSG81" s="139"/>
      <c r="BSH81" s="41"/>
      <c r="BSI81" s="41"/>
      <c r="BSJ81" s="41"/>
      <c r="BSK81" s="41"/>
      <c r="BSL81" s="41"/>
      <c r="BSM81" s="76"/>
      <c r="BSN81" s="41"/>
      <c r="BSO81" s="41"/>
      <c r="BSP81" s="41"/>
      <c r="BSQ81" s="41"/>
      <c r="BSR81" s="41"/>
      <c r="BSS81" s="42"/>
      <c r="BST81" s="40"/>
      <c r="BSU81" s="66"/>
      <c r="BSV81" s="66"/>
      <c r="BSW81" s="66"/>
      <c r="BSX81" s="41"/>
      <c r="BSY81" s="134"/>
      <c r="BSZ81" s="41"/>
      <c r="BTA81" s="41"/>
      <c r="BTB81" s="41"/>
      <c r="BTC81" s="41"/>
      <c r="BTD81" s="41"/>
      <c r="BTE81" s="139"/>
      <c r="BTF81" s="41"/>
      <c r="BTG81" s="41"/>
      <c r="BTH81" s="41"/>
      <c r="BTI81" s="41"/>
      <c r="BTJ81" s="41"/>
      <c r="BTK81" s="76"/>
      <c r="BTL81" s="41"/>
      <c r="BTM81" s="41"/>
      <c r="BTN81" s="41"/>
      <c r="BTO81" s="41"/>
      <c r="BTP81" s="41"/>
      <c r="BTQ81" s="139"/>
      <c r="BTR81" s="41"/>
      <c r="BTS81" s="41"/>
      <c r="BTT81" s="41"/>
      <c r="BTU81" s="41"/>
      <c r="BTV81" s="41"/>
      <c r="BTW81" s="76"/>
      <c r="BTX81" s="66"/>
      <c r="BTY81" s="66"/>
      <c r="BTZ81" s="66"/>
      <c r="BUA81" s="66"/>
      <c r="BUB81" s="41"/>
      <c r="BUC81" s="139"/>
      <c r="BUD81" s="41"/>
      <c r="BUE81" s="41"/>
      <c r="BUF81" s="41"/>
      <c r="BUG81" s="41"/>
      <c r="BUH81" s="41"/>
      <c r="BUI81" s="76"/>
      <c r="BUJ81" s="41"/>
      <c r="BUK81" s="41"/>
      <c r="BUL81" s="41"/>
      <c r="BUM81" s="41"/>
      <c r="BUN81" s="41"/>
      <c r="BUO81" s="139"/>
      <c r="BUP81" s="41"/>
      <c r="BUQ81" s="41"/>
      <c r="BUR81" s="41"/>
      <c r="BUS81" s="41"/>
      <c r="BUT81" s="41"/>
      <c r="BUU81" s="76"/>
      <c r="BUV81" s="41"/>
      <c r="BUW81" s="41"/>
      <c r="BUX81" s="41"/>
      <c r="BUY81" s="41"/>
      <c r="BUZ81" s="41"/>
      <c r="BVA81" s="42"/>
      <c r="BVB81" s="90"/>
    </row>
    <row r="82" spans="1:1926" ht="20.100000000000001" customHeight="1" x14ac:dyDescent="0.3">
      <c r="A82" s="100" t="s">
        <v>21</v>
      </c>
      <c r="B82" s="63"/>
      <c r="C82" s="181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28"/>
      <c r="BOE82" s="67"/>
      <c r="BOF82" s="67"/>
      <c r="BOG82" s="67"/>
      <c r="BOH82" s="29"/>
      <c r="BOI82" s="131"/>
      <c r="BOJ82" s="29"/>
      <c r="BOK82" s="29"/>
      <c r="BOL82" s="29"/>
      <c r="BOM82" s="29"/>
      <c r="BON82" s="29"/>
      <c r="BOO82" s="136"/>
      <c r="BOP82" s="29"/>
      <c r="BOQ82" s="29"/>
      <c r="BOR82" s="29"/>
      <c r="BOS82" s="29"/>
      <c r="BOT82" s="29"/>
      <c r="BOU82" s="73"/>
      <c r="BOV82" s="29"/>
      <c r="BOW82" s="29"/>
      <c r="BOX82" s="29"/>
      <c r="BOY82" s="29"/>
      <c r="BOZ82" s="29"/>
      <c r="BPA82" s="136"/>
      <c r="BPB82" s="29"/>
      <c r="BPC82" s="29"/>
      <c r="BPD82" s="29"/>
      <c r="BPE82" s="29"/>
      <c r="BPF82" s="29"/>
      <c r="BPG82" s="73"/>
      <c r="BPH82" s="67"/>
      <c r="BPI82" s="67"/>
      <c r="BPJ82" s="67"/>
      <c r="BPK82" s="67"/>
      <c r="BPL82" s="29"/>
      <c r="BPM82" s="136"/>
      <c r="BPN82" s="29"/>
      <c r="BPO82" s="29"/>
      <c r="BPP82" s="29"/>
      <c r="BPQ82" s="29"/>
      <c r="BPR82" s="29"/>
      <c r="BPS82" s="73"/>
      <c r="BPT82" s="29"/>
      <c r="BPU82" s="29"/>
      <c r="BPV82" s="29"/>
      <c r="BPW82" s="29"/>
      <c r="BPX82" s="29"/>
      <c r="BPY82" s="136"/>
      <c r="BPZ82" s="29"/>
      <c r="BQA82" s="29"/>
      <c r="BQB82" s="29"/>
      <c r="BQC82" s="29"/>
      <c r="BQD82" s="29"/>
      <c r="BQE82" s="73"/>
      <c r="BQF82" s="29"/>
      <c r="BQG82" s="29"/>
      <c r="BQH82" s="29"/>
      <c r="BQI82" s="29"/>
      <c r="BQJ82" s="29"/>
      <c r="BQK82" s="30"/>
      <c r="BQL82" s="28"/>
      <c r="BQM82" s="67"/>
      <c r="BQN82" s="67"/>
      <c r="BQO82" s="67"/>
      <c r="BQP82" s="29"/>
      <c r="BQQ82" s="131"/>
      <c r="BQR82" s="29"/>
      <c r="BQS82" s="29"/>
      <c r="BQT82" s="29"/>
      <c r="BQU82" s="29"/>
      <c r="BQV82" s="29"/>
      <c r="BQW82" s="136"/>
      <c r="BQX82" s="29"/>
      <c r="BQY82" s="29"/>
      <c r="BQZ82" s="29"/>
      <c r="BRA82" s="29"/>
      <c r="BRB82" s="29"/>
      <c r="BRC82" s="73"/>
      <c r="BRD82" s="29"/>
      <c r="BRE82" s="29"/>
      <c r="BRF82" s="29"/>
      <c r="BRG82" s="29"/>
      <c r="BRH82" s="29"/>
      <c r="BRI82" s="136"/>
      <c r="BRJ82" s="29"/>
      <c r="BRK82" s="29"/>
      <c r="BRL82" s="29"/>
      <c r="BRM82" s="29"/>
      <c r="BRN82" s="29"/>
      <c r="BRO82" s="73"/>
      <c r="BRP82" s="67"/>
      <c r="BRQ82" s="67"/>
      <c r="BRR82" s="67"/>
      <c r="BRS82" s="67"/>
      <c r="BRT82" s="29"/>
      <c r="BRU82" s="136"/>
      <c r="BRV82" s="29"/>
      <c r="BRW82" s="29"/>
      <c r="BRX82" s="29"/>
      <c r="BRY82" s="29"/>
      <c r="BRZ82" s="29"/>
      <c r="BSA82" s="73"/>
      <c r="BSB82" s="29"/>
      <c r="BSC82" s="29"/>
      <c r="BSD82" s="29"/>
      <c r="BSE82" s="29"/>
      <c r="BSF82" s="29"/>
      <c r="BSG82" s="136"/>
      <c r="BSH82" s="29"/>
      <c r="BSI82" s="29"/>
      <c r="BSJ82" s="29"/>
      <c r="BSK82" s="29"/>
      <c r="BSL82" s="29"/>
      <c r="BSM82" s="73"/>
      <c r="BSN82" s="29"/>
      <c r="BSO82" s="29"/>
      <c r="BSP82" s="29"/>
      <c r="BSQ82" s="29"/>
      <c r="BSR82" s="29"/>
      <c r="BSS82" s="30"/>
      <c r="BST82" s="28"/>
      <c r="BSU82" s="67"/>
      <c r="BSV82" s="67"/>
      <c r="BSW82" s="67"/>
      <c r="BSX82" s="29"/>
      <c r="BSY82" s="131"/>
      <c r="BSZ82" s="29"/>
      <c r="BTA82" s="29"/>
      <c r="BTB82" s="29"/>
      <c r="BTC82" s="29"/>
      <c r="BTD82" s="29"/>
      <c r="BTE82" s="136"/>
      <c r="BTF82" s="29"/>
      <c r="BTG82" s="29"/>
      <c r="BTH82" s="29"/>
      <c r="BTI82" s="29"/>
      <c r="BTJ82" s="29"/>
      <c r="BTK82" s="73"/>
      <c r="BTL82" s="29"/>
      <c r="BTM82" s="29"/>
      <c r="BTN82" s="29"/>
      <c r="BTO82" s="29"/>
      <c r="BTP82" s="29"/>
      <c r="BTQ82" s="136"/>
      <c r="BTR82" s="29"/>
      <c r="BTS82" s="29"/>
      <c r="BTT82" s="29"/>
      <c r="BTU82" s="29"/>
      <c r="BTV82" s="29"/>
      <c r="BTW82" s="73"/>
      <c r="BTX82" s="67"/>
      <c r="BTY82" s="67"/>
      <c r="BTZ82" s="67"/>
      <c r="BUA82" s="67"/>
      <c r="BUB82" s="29"/>
      <c r="BUC82" s="136"/>
      <c r="BUD82" s="29"/>
      <c r="BUE82" s="29"/>
      <c r="BUF82" s="29"/>
      <c r="BUG82" s="29"/>
      <c r="BUH82" s="29"/>
      <c r="BUI82" s="73"/>
      <c r="BUJ82" s="29"/>
      <c r="BUK82" s="29"/>
      <c r="BUL82" s="29"/>
      <c r="BUM82" s="29"/>
      <c r="BUN82" s="29"/>
      <c r="BUO82" s="136"/>
      <c r="BUP82" s="29"/>
      <c r="BUQ82" s="29"/>
      <c r="BUR82" s="29"/>
      <c r="BUS82" s="29"/>
      <c r="BUT82" s="29"/>
      <c r="BUU82" s="73"/>
      <c r="BUV82" s="29"/>
      <c r="BUW82" s="29"/>
      <c r="BUX82" s="29"/>
      <c r="BUY82" s="29"/>
      <c r="BUZ82" s="29"/>
      <c r="BVA82" s="30"/>
      <c r="BVB82" s="90"/>
    </row>
    <row r="83" spans="1:1926" ht="20.100000000000001" customHeight="1" x14ac:dyDescent="0.25">
      <c r="A83" s="100" t="s">
        <v>20</v>
      </c>
      <c r="B83" s="63"/>
      <c r="C83" s="180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32"/>
      <c r="BOE83" s="64"/>
      <c r="BOF83" s="64"/>
      <c r="BOG83" s="64"/>
      <c r="BOH83" s="33"/>
      <c r="BOI83" s="132"/>
      <c r="BOJ83" s="33"/>
      <c r="BOK83" s="33"/>
      <c r="BOL83" s="33"/>
      <c r="BOM83" s="33"/>
      <c r="BON83" s="33"/>
      <c r="BOO83" s="137"/>
      <c r="BOP83" s="33"/>
      <c r="BOQ83" s="33"/>
      <c r="BOR83" s="33"/>
      <c r="BOS83" s="33"/>
      <c r="BOT83" s="33"/>
      <c r="BOU83" s="74"/>
      <c r="BOV83" s="33"/>
      <c r="BOW83" s="33"/>
      <c r="BOX83" s="33"/>
      <c r="BOY83" s="33"/>
      <c r="BOZ83" s="33"/>
      <c r="BPA83" s="137"/>
      <c r="BPB83" s="33"/>
      <c r="BPC83" s="33"/>
      <c r="BPD83" s="33"/>
      <c r="BPE83" s="33"/>
      <c r="BPF83" s="33"/>
      <c r="BPG83" s="74"/>
      <c r="BPH83" s="64"/>
      <c r="BPI83" s="64"/>
      <c r="BPJ83" s="64"/>
      <c r="BPK83" s="64"/>
      <c r="BPL83" s="33"/>
      <c r="BPM83" s="137"/>
      <c r="BPN83" s="33"/>
      <c r="BPO83" s="33"/>
      <c r="BPP83" s="33"/>
      <c r="BPQ83" s="33"/>
      <c r="BPR83" s="33"/>
      <c r="BPS83" s="74"/>
      <c r="BPT83" s="33"/>
      <c r="BPU83" s="33"/>
      <c r="BPV83" s="33"/>
      <c r="BPW83" s="33"/>
      <c r="BPX83" s="33"/>
      <c r="BPY83" s="137"/>
      <c r="BPZ83" s="33"/>
      <c r="BQA83" s="33"/>
      <c r="BQB83" s="33"/>
      <c r="BQC83" s="33"/>
      <c r="BQD83" s="33"/>
      <c r="BQE83" s="74"/>
      <c r="BQF83" s="33"/>
      <c r="BQG83" s="33"/>
      <c r="BQH83" s="33"/>
      <c r="BQI83" s="33"/>
      <c r="BQJ83" s="33"/>
      <c r="BQK83" s="34"/>
      <c r="BQL83" s="32"/>
      <c r="BQM83" s="64"/>
      <c r="BQN83" s="64"/>
      <c r="BQO83" s="64"/>
      <c r="BQP83" s="33"/>
      <c r="BQQ83" s="132"/>
      <c r="BQR83" s="33"/>
      <c r="BQS83" s="33"/>
      <c r="BQT83" s="33"/>
      <c r="BQU83" s="33"/>
      <c r="BQV83" s="33"/>
      <c r="BQW83" s="137"/>
      <c r="BQX83" s="33"/>
      <c r="BQY83" s="33"/>
      <c r="BQZ83" s="33"/>
      <c r="BRA83" s="33"/>
      <c r="BRB83" s="33"/>
      <c r="BRC83" s="74"/>
      <c r="BRD83" s="33"/>
      <c r="BRE83" s="33"/>
      <c r="BRF83" s="33"/>
      <c r="BRG83" s="33"/>
      <c r="BRH83" s="33"/>
      <c r="BRI83" s="137"/>
      <c r="BRJ83" s="33"/>
      <c r="BRK83" s="33"/>
      <c r="BRL83" s="33"/>
      <c r="BRM83" s="33"/>
      <c r="BRN83" s="33"/>
      <c r="BRO83" s="74"/>
      <c r="BRP83" s="64"/>
      <c r="BRQ83" s="64"/>
      <c r="BRR83" s="64"/>
      <c r="BRS83" s="64"/>
      <c r="BRT83" s="33"/>
      <c r="BRU83" s="137"/>
      <c r="BRV83" s="33"/>
      <c r="BRW83" s="33"/>
      <c r="BRX83" s="33"/>
      <c r="BRY83" s="33"/>
      <c r="BRZ83" s="33"/>
      <c r="BSA83" s="74"/>
      <c r="BSB83" s="33"/>
      <c r="BSC83" s="33"/>
      <c r="BSD83" s="33"/>
      <c r="BSE83" s="33"/>
      <c r="BSF83" s="33"/>
      <c r="BSG83" s="137"/>
      <c r="BSH83" s="33"/>
      <c r="BSI83" s="33"/>
      <c r="BSJ83" s="33"/>
      <c r="BSK83" s="33"/>
      <c r="BSL83" s="33"/>
      <c r="BSM83" s="74"/>
      <c r="BSN83" s="33"/>
      <c r="BSO83" s="33"/>
      <c r="BSP83" s="33"/>
      <c r="BSQ83" s="33"/>
      <c r="BSR83" s="33"/>
      <c r="BSS83" s="34"/>
      <c r="BST83" s="32"/>
      <c r="BSU83" s="64"/>
      <c r="BSV83" s="64"/>
      <c r="BSW83" s="64"/>
      <c r="BSX83" s="33"/>
      <c r="BSY83" s="132"/>
      <c r="BSZ83" s="33"/>
      <c r="BTA83" s="33"/>
      <c r="BTB83" s="33"/>
      <c r="BTC83" s="33"/>
      <c r="BTD83" s="33"/>
      <c r="BTE83" s="137"/>
      <c r="BTF83" s="33"/>
      <c r="BTG83" s="33"/>
      <c r="BTH83" s="33"/>
      <c r="BTI83" s="33"/>
      <c r="BTJ83" s="33"/>
      <c r="BTK83" s="74"/>
      <c r="BTL83" s="33"/>
      <c r="BTM83" s="33"/>
      <c r="BTN83" s="33"/>
      <c r="BTO83" s="33"/>
      <c r="BTP83" s="33"/>
      <c r="BTQ83" s="137"/>
      <c r="BTR83" s="33"/>
      <c r="BTS83" s="33"/>
      <c r="BTT83" s="33"/>
      <c r="BTU83" s="33"/>
      <c r="BTV83" s="33"/>
      <c r="BTW83" s="74"/>
      <c r="BTX83" s="64"/>
      <c r="BTY83" s="64"/>
      <c r="BTZ83" s="64"/>
      <c r="BUA83" s="64"/>
      <c r="BUB83" s="33"/>
      <c r="BUC83" s="137"/>
      <c r="BUD83" s="33"/>
      <c r="BUE83" s="33"/>
      <c r="BUF83" s="33"/>
      <c r="BUG83" s="33"/>
      <c r="BUH83" s="33"/>
      <c r="BUI83" s="74"/>
      <c r="BUJ83" s="33"/>
      <c r="BUK83" s="33"/>
      <c r="BUL83" s="33"/>
      <c r="BUM83" s="33"/>
      <c r="BUN83" s="33"/>
      <c r="BUO83" s="137"/>
      <c r="BUP83" s="33"/>
      <c r="BUQ83" s="33"/>
      <c r="BUR83" s="33"/>
      <c r="BUS83" s="33"/>
      <c r="BUT83" s="33"/>
      <c r="BUU83" s="74"/>
      <c r="BUV83" s="33"/>
      <c r="BUW83" s="33"/>
      <c r="BUX83" s="33"/>
      <c r="BUY83" s="33"/>
      <c r="BUZ83" s="33"/>
      <c r="BVA83" s="34"/>
      <c r="BVB83" s="90"/>
    </row>
    <row r="84" spans="1:1926" ht="20.100000000000001" customHeight="1" x14ac:dyDescent="0.25">
      <c r="A84" s="100" t="s">
        <v>21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36"/>
      <c r="BOE84" s="65"/>
      <c r="BOF84" s="65"/>
      <c r="BOG84" s="65"/>
      <c r="BOH84" s="37"/>
      <c r="BOI84" s="133"/>
      <c r="BOJ84" s="37"/>
      <c r="BOK84" s="37"/>
      <c r="BOL84" s="37"/>
      <c r="BOM84" s="37"/>
      <c r="BON84" s="37"/>
      <c r="BOO84" s="138"/>
      <c r="BOP84" s="37"/>
      <c r="BOQ84" s="37"/>
      <c r="BOR84" s="37"/>
      <c r="BOS84" s="37"/>
      <c r="BOT84" s="37"/>
      <c r="BOU84" s="75"/>
      <c r="BOV84" s="37"/>
      <c r="BOW84" s="37"/>
      <c r="BOX84" s="37"/>
      <c r="BOY84" s="37"/>
      <c r="BOZ84" s="37"/>
      <c r="BPA84" s="138"/>
      <c r="BPB84" s="37"/>
      <c r="BPC84" s="37"/>
      <c r="BPD84" s="37"/>
      <c r="BPE84" s="37"/>
      <c r="BPF84" s="37"/>
      <c r="BPG84" s="75"/>
      <c r="BPH84" s="65"/>
      <c r="BPI84" s="65"/>
      <c r="BPJ84" s="65"/>
      <c r="BPK84" s="65"/>
      <c r="BPL84" s="37"/>
      <c r="BPM84" s="138"/>
      <c r="BPN84" s="37"/>
      <c r="BPO84" s="37"/>
      <c r="BPP84" s="37"/>
      <c r="BPQ84" s="37"/>
      <c r="BPR84" s="37"/>
      <c r="BPS84" s="75"/>
      <c r="BPT84" s="37"/>
      <c r="BPU84" s="37"/>
      <c r="BPV84" s="37"/>
      <c r="BPW84" s="37"/>
      <c r="BPX84" s="37"/>
      <c r="BPY84" s="138"/>
      <c r="BPZ84" s="37"/>
      <c r="BQA84" s="37"/>
      <c r="BQB84" s="37"/>
      <c r="BQC84" s="37"/>
      <c r="BQD84" s="37"/>
      <c r="BQE84" s="75"/>
      <c r="BQF84" s="37"/>
      <c r="BQG84" s="37"/>
      <c r="BQH84" s="37"/>
      <c r="BQI84" s="37"/>
      <c r="BQJ84" s="37"/>
      <c r="BQK84" s="38"/>
      <c r="BQL84" s="36"/>
      <c r="BQM84" s="65"/>
      <c r="BQN84" s="65"/>
      <c r="BQO84" s="65"/>
      <c r="BQP84" s="37"/>
      <c r="BQQ84" s="133"/>
      <c r="BQR84" s="37"/>
      <c r="BQS84" s="37"/>
      <c r="BQT84" s="37"/>
      <c r="BQU84" s="37"/>
      <c r="BQV84" s="37"/>
      <c r="BQW84" s="138"/>
      <c r="BQX84" s="37"/>
      <c r="BQY84" s="37"/>
      <c r="BQZ84" s="37"/>
      <c r="BRA84" s="37"/>
      <c r="BRB84" s="37"/>
      <c r="BRC84" s="75"/>
      <c r="BRD84" s="37"/>
      <c r="BRE84" s="37"/>
      <c r="BRF84" s="37"/>
      <c r="BRG84" s="37"/>
      <c r="BRH84" s="37"/>
      <c r="BRI84" s="138"/>
      <c r="BRJ84" s="37"/>
      <c r="BRK84" s="37"/>
      <c r="BRL84" s="37"/>
      <c r="BRM84" s="37"/>
      <c r="BRN84" s="37"/>
      <c r="BRO84" s="75"/>
      <c r="BRP84" s="65"/>
      <c r="BRQ84" s="65"/>
      <c r="BRR84" s="65"/>
      <c r="BRS84" s="65"/>
      <c r="BRT84" s="37"/>
      <c r="BRU84" s="138"/>
      <c r="BRV84" s="37"/>
      <c r="BRW84" s="37"/>
      <c r="BRX84" s="37"/>
      <c r="BRY84" s="37"/>
      <c r="BRZ84" s="37"/>
      <c r="BSA84" s="75"/>
      <c r="BSB84" s="37"/>
      <c r="BSC84" s="37"/>
      <c r="BSD84" s="37"/>
      <c r="BSE84" s="37"/>
      <c r="BSF84" s="37"/>
      <c r="BSG84" s="138"/>
      <c r="BSH84" s="37"/>
      <c r="BSI84" s="37"/>
      <c r="BSJ84" s="37"/>
      <c r="BSK84" s="37"/>
      <c r="BSL84" s="37"/>
      <c r="BSM84" s="75"/>
      <c r="BSN84" s="37"/>
      <c r="BSO84" s="37"/>
      <c r="BSP84" s="37"/>
      <c r="BSQ84" s="37"/>
      <c r="BSR84" s="37"/>
      <c r="BSS84" s="38"/>
      <c r="BST84" s="36"/>
      <c r="BSU84" s="65"/>
      <c r="BSV84" s="65"/>
      <c r="BSW84" s="65"/>
      <c r="BSX84" s="37"/>
      <c r="BSY84" s="133"/>
      <c r="BSZ84" s="37"/>
      <c r="BTA84" s="37"/>
      <c r="BTB84" s="37"/>
      <c r="BTC84" s="37"/>
      <c r="BTD84" s="37"/>
      <c r="BTE84" s="138"/>
      <c r="BTF84" s="37"/>
      <c r="BTG84" s="37"/>
      <c r="BTH84" s="37"/>
      <c r="BTI84" s="37"/>
      <c r="BTJ84" s="37"/>
      <c r="BTK84" s="75"/>
      <c r="BTL84" s="37"/>
      <c r="BTM84" s="37"/>
      <c r="BTN84" s="37"/>
      <c r="BTO84" s="37"/>
      <c r="BTP84" s="37"/>
      <c r="BTQ84" s="138"/>
      <c r="BTR84" s="37"/>
      <c r="BTS84" s="37"/>
      <c r="BTT84" s="37"/>
      <c r="BTU84" s="37"/>
      <c r="BTV84" s="37"/>
      <c r="BTW84" s="75"/>
      <c r="BTX84" s="65"/>
      <c r="BTY84" s="65"/>
      <c r="BTZ84" s="65"/>
      <c r="BUA84" s="65"/>
      <c r="BUB84" s="37"/>
      <c r="BUC84" s="138"/>
      <c r="BUD84" s="37"/>
      <c r="BUE84" s="37"/>
      <c r="BUF84" s="37"/>
      <c r="BUG84" s="37"/>
      <c r="BUH84" s="37"/>
      <c r="BUI84" s="75"/>
      <c r="BUJ84" s="37"/>
      <c r="BUK84" s="37"/>
      <c r="BUL84" s="37"/>
      <c r="BUM84" s="37"/>
      <c r="BUN84" s="37"/>
      <c r="BUO84" s="138"/>
      <c r="BUP84" s="37"/>
      <c r="BUQ84" s="37"/>
      <c r="BUR84" s="37"/>
      <c r="BUS84" s="37"/>
      <c r="BUT84" s="37"/>
      <c r="BUU84" s="75"/>
      <c r="BUV84" s="37"/>
      <c r="BUW84" s="37"/>
      <c r="BUX84" s="37"/>
      <c r="BUY84" s="37"/>
      <c r="BUZ84" s="37"/>
      <c r="BVA84" s="38"/>
      <c r="BVB84" s="90"/>
    </row>
    <row r="85" spans="1:1926" ht="20.100000000000001" customHeight="1" x14ac:dyDescent="0.25">
      <c r="A85" s="100" t="s">
        <v>20</v>
      </c>
      <c r="B85" s="63"/>
      <c r="C85" s="180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40"/>
      <c r="BOE85" s="66"/>
      <c r="BOF85" s="66"/>
      <c r="BOG85" s="66"/>
      <c r="BOH85" s="41"/>
      <c r="BOI85" s="134"/>
      <c r="BOJ85" s="41"/>
      <c r="BOK85" s="41"/>
      <c r="BOL85" s="41"/>
      <c r="BOM85" s="41"/>
      <c r="BON85" s="41"/>
      <c r="BOO85" s="139"/>
      <c r="BOP85" s="41"/>
      <c r="BOQ85" s="41"/>
      <c r="BOR85" s="41"/>
      <c r="BOS85" s="41"/>
      <c r="BOT85" s="41"/>
      <c r="BOU85" s="76"/>
      <c r="BOV85" s="41"/>
      <c r="BOW85" s="41"/>
      <c r="BOX85" s="41"/>
      <c r="BOY85" s="41"/>
      <c r="BOZ85" s="41"/>
      <c r="BPA85" s="139"/>
      <c r="BPB85" s="41"/>
      <c r="BPC85" s="41"/>
      <c r="BPD85" s="41"/>
      <c r="BPE85" s="41"/>
      <c r="BPF85" s="41"/>
      <c r="BPG85" s="76"/>
      <c r="BPH85" s="66"/>
      <c r="BPI85" s="66"/>
      <c r="BPJ85" s="66"/>
      <c r="BPK85" s="66"/>
      <c r="BPL85" s="41"/>
      <c r="BPM85" s="139"/>
      <c r="BPN85" s="41"/>
      <c r="BPO85" s="41"/>
      <c r="BPP85" s="41"/>
      <c r="BPQ85" s="41"/>
      <c r="BPR85" s="41"/>
      <c r="BPS85" s="76"/>
      <c r="BPT85" s="41"/>
      <c r="BPU85" s="41"/>
      <c r="BPV85" s="41"/>
      <c r="BPW85" s="41"/>
      <c r="BPX85" s="41"/>
      <c r="BPY85" s="139"/>
      <c r="BPZ85" s="41"/>
      <c r="BQA85" s="41"/>
      <c r="BQB85" s="41"/>
      <c r="BQC85" s="41"/>
      <c r="BQD85" s="41"/>
      <c r="BQE85" s="76"/>
      <c r="BQF85" s="41"/>
      <c r="BQG85" s="41"/>
      <c r="BQH85" s="41"/>
      <c r="BQI85" s="41"/>
      <c r="BQJ85" s="41"/>
      <c r="BQK85" s="42"/>
      <c r="BQL85" s="40"/>
      <c r="BQM85" s="66"/>
      <c r="BQN85" s="66"/>
      <c r="BQO85" s="66"/>
      <c r="BQP85" s="41"/>
      <c r="BQQ85" s="134"/>
      <c r="BQR85" s="41"/>
      <c r="BQS85" s="41"/>
      <c r="BQT85" s="41"/>
      <c r="BQU85" s="41"/>
      <c r="BQV85" s="41"/>
      <c r="BQW85" s="139"/>
      <c r="BQX85" s="41"/>
      <c r="BQY85" s="41"/>
      <c r="BQZ85" s="41"/>
      <c r="BRA85" s="41"/>
      <c r="BRB85" s="41"/>
      <c r="BRC85" s="76"/>
      <c r="BRD85" s="41"/>
      <c r="BRE85" s="41"/>
      <c r="BRF85" s="41"/>
      <c r="BRG85" s="41"/>
      <c r="BRH85" s="41"/>
      <c r="BRI85" s="139"/>
      <c r="BRJ85" s="41"/>
      <c r="BRK85" s="41"/>
      <c r="BRL85" s="41"/>
      <c r="BRM85" s="41"/>
      <c r="BRN85" s="41"/>
      <c r="BRO85" s="76"/>
      <c r="BRP85" s="66"/>
      <c r="BRQ85" s="66"/>
      <c r="BRR85" s="66"/>
      <c r="BRS85" s="66"/>
      <c r="BRT85" s="41"/>
      <c r="BRU85" s="139"/>
      <c r="BRV85" s="41"/>
      <c r="BRW85" s="41"/>
      <c r="BRX85" s="41"/>
      <c r="BRY85" s="41"/>
      <c r="BRZ85" s="41"/>
      <c r="BSA85" s="76"/>
      <c r="BSB85" s="41"/>
      <c r="BSC85" s="41"/>
      <c r="BSD85" s="41"/>
      <c r="BSE85" s="41"/>
      <c r="BSF85" s="41"/>
      <c r="BSG85" s="139"/>
      <c r="BSH85" s="41"/>
      <c r="BSI85" s="41"/>
      <c r="BSJ85" s="41"/>
      <c r="BSK85" s="41"/>
      <c r="BSL85" s="41"/>
      <c r="BSM85" s="76"/>
      <c r="BSN85" s="41"/>
      <c r="BSO85" s="41"/>
      <c r="BSP85" s="41"/>
      <c r="BSQ85" s="41"/>
      <c r="BSR85" s="41"/>
      <c r="BSS85" s="42"/>
      <c r="BST85" s="40"/>
      <c r="BSU85" s="66"/>
      <c r="BSV85" s="66"/>
      <c r="BSW85" s="66"/>
      <c r="BSX85" s="41"/>
      <c r="BSY85" s="134"/>
      <c r="BSZ85" s="41"/>
      <c r="BTA85" s="41"/>
      <c r="BTB85" s="41"/>
      <c r="BTC85" s="41"/>
      <c r="BTD85" s="41"/>
      <c r="BTE85" s="139"/>
      <c r="BTF85" s="41"/>
      <c r="BTG85" s="41"/>
      <c r="BTH85" s="41"/>
      <c r="BTI85" s="41"/>
      <c r="BTJ85" s="41"/>
      <c r="BTK85" s="76"/>
      <c r="BTL85" s="41"/>
      <c r="BTM85" s="41"/>
      <c r="BTN85" s="41"/>
      <c r="BTO85" s="41"/>
      <c r="BTP85" s="41"/>
      <c r="BTQ85" s="139"/>
      <c r="BTR85" s="41"/>
      <c r="BTS85" s="41"/>
      <c r="BTT85" s="41"/>
      <c r="BTU85" s="41"/>
      <c r="BTV85" s="41"/>
      <c r="BTW85" s="76"/>
      <c r="BTX85" s="66"/>
      <c r="BTY85" s="66"/>
      <c r="BTZ85" s="66"/>
      <c r="BUA85" s="66"/>
      <c r="BUB85" s="41"/>
      <c r="BUC85" s="139"/>
      <c r="BUD85" s="41"/>
      <c r="BUE85" s="41"/>
      <c r="BUF85" s="41"/>
      <c r="BUG85" s="41"/>
      <c r="BUH85" s="41"/>
      <c r="BUI85" s="76"/>
      <c r="BUJ85" s="41"/>
      <c r="BUK85" s="41"/>
      <c r="BUL85" s="41"/>
      <c r="BUM85" s="41"/>
      <c r="BUN85" s="41"/>
      <c r="BUO85" s="139"/>
      <c r="BUP85" s="41"/>
      <c r="BUQ85" s="41"/>
      <c r="BUR85" s="41"/>
      <c r="BUS85" s="41"/>
      <c r="BUT85" s="41"/>
      <c r="BUU85" s="76"/>
      <c r="BUV85" s="41"/>
      <c r="BUW85" s="41"/>
      <c r="BUX85" s="41"/>
      <c r="BUY85" s="41"/>
      <c r="BUZ85" s="41"/>
      <c r="BVA85" s="42"/>
      <c r="BVB85" s="90"/>
    </row>
    <row r="86" spans="1:1926" ht="20.100000000000001" customHeight="1" x14ac:dyDescent="0.3">
      <c r="A86" s="100" t="s">
        <v>21</v>
      </c>
      <c r="B86" s="63"/>
      <c r="C86" s="181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28"/>
      <c r="BOE86" s="67"/>
      <c r="BOF86" s="67"/>
      <c r="BOG86" s="67"/>
      <c r="BOH86" s="29"/>
      <c r="BOI86" s="131"/>
      <c r="BOJ86" s="29"/>
      <c r="BOK86" s="29"/>
      <c r="BOL86" s="29"/>
      <c r="BOM86" s="29"/>
      <c r="BON86" s="29"/>
      <c r="BOO86" s="136"/>
      <c r="BOP86" s="29"/>
      <c r="BOQ86" s="29"/>
      <c r="BOR86" s="29"/>
      <c r="BOS86" s="29"/>
      <c r="BOT86" s="29"/>
      <c r="BOU86" s="73"/>
      <c r="BOV86" s="29"/>
      <c r="BOW86" s="29"/>
      <c r="BOX86" s="29"/>
      <c r="BOY86" s="29"/>
      <c r="BOZ86" s="29"/>
      <c r="BPA86" s="136"/>
      <c r="BPB86" s="29"/>
      <c r="BPC86" s="29"/>
      <c r="BPD86" s="29"/>
      <c r="BPE86" s="29"/>
      <c r="BPF86" s="29"/>
      <c r="BPG86" s="73"/>
      <c r="BPH86" s="67"/>
      <c r="BPI86" s="67"/>
      <c r="BPJ86" s="67"/>
      <c r="BPK86" s="67"/>
      <c r="BPL86" s="29"/>
      <c r="BPM86" s="136"/>
      <c r="BPN86" s="29"/>
      <c r="BPO86" s="29"/>
      <c r="BPP86" s="29"/>
      <c r="BPQ86" s="29"/>
      <c r="BPR86" s="29"/>
      <c r="BPS86" s="73"/>
      <c r="BPT86" s="29"/>
      <c r="BPU86" s="29"/>
      <c r="BPV86" s="29"/>
      <c r="BPW86" s="29"/>
      <c r="BPX86" s="29"/>
      <c r="BPY86" s="136"/>
      <c r="BPZ86" s="29"/>
      <c r="BQA86" s="29"/>
      <c r="BQB86" s="29"/>
      <c r="BQC86" s="29"/>
      <c r="BQD86" s="29"/>
      <c r="BQE86" s="73"/>
      <c r="BQF86" s="29"/>
      <c r="BQG86" s="29"/>
      <c r="BQH86" s="29"/>
      <c r="BQI86" s="29"/>
      <c r="BQJ86" s="29"/>
      <c r="BQK86" s="30"/>
      <c r="BQL86" s="28"/>
      <c r="BQM86" s="67"/>
      <c r="BQN86" s="67"/>
      <c r="BQO86" s="67"/>
      <c r="BQP86" s="29"/>
      <c r="BQQ86" s="131"/>
      <c r="BQR86" s="29"/>
      <c r="BQS86" s="29"/>
      <c r="BQT86" s="29"/>
      <c r="BQU86" s="29"/>
      <c r="BQV86" s="29"/>
      <c r="BQW86" s="136"/>
      <c r="BQX86" s="29"/>
      <c r="BQY86" s="29"/>
      <c r="BQZ86" s="29"/>
      <c r="BRA86" s="29"/>
      <c r="BRB86" s="29"/>
      <c r="BRC86" s="73"/>
      <c r="BRD86" s="29"/>
      <c r="BRE86" s="29"/>
      <c r="BRF86" s="29"/>
      <c r="BRG86" s="29"/>
      <c r="BRH86" s="29"/>
      <c r="BRI86" s="136"/>
      <c r="BRJ86" s="29"/>
      <c r="BRK86" s="29"/>
      <c r="BRL86" s="29"/>
      <c r="BRM86" s="29"/>
      <c r="BRN86" s="29"/>
      <c r="BRO86" s="73"/>
      <c r="BRP86" s="67"/>
      <c r="BRQ86" s="67"/>
      <c r="BRR86" s="67"/>
      <c r="BRS86" s="67"/>
      <c r="BRT86" s="29"/>
      <c r="BRU86" s="136"/>
      <c r="BRV86" s="29"/>
      <c r="BRW86" s="29"/>
      <c r="BRX86" s="29"/>
      <c r="BRY86" s="29"/>
      <c r="BRZ86" s="29"/>
      <c r="BSA86" s="73"/>
      <c r="BSB86" s="29"/>
      <c r="BSC86" s="29"/>
      <c r="BSD86" s="29"/>
      <c r="BSE86" s="29"/>
      <c r="BSF86" s="29"/>
      <c r="BSG86" s="136"/>
      <c r="BSH86" s="29"/>
      <c r="BSI86" s="29"/>
      <c r="BSJ86" s="29"/>
      <c r="BSK86" s="29"/>
      <c r="BSL86" s="29"/>
      <c r="BSM86" s="73"/>
      <c r="BSN86" s="29"/>
      <c r="BSO86" s="29"/>
      <c r="BSP86" s="29"/>
      <c r="BSQ86" s="29"/>
      <c r="BSR86" s="29"/>
      <c r="BSS86" s="30"/>
      <c r="BST86" s="28"/>
      <c r="BSU86" s="67"/>
      <c r="BSV86" s="67"/>
      <c r="BSW86" s="67"/>
      <c r="BSX86" s="29"/>
      <c r="BSY86" s="131"/>
      <c r="BSZ86" s="29"/>
      <c r="BTA86" s="29"/>
      <c r="BTB86" s="29"/>
      <c r="BTC86" s="29"/>
      <c r="BTD86" s="29"/>
      <c r="BTE86" s="136"/>
      <c r="BTF86" s="29"/>
      <c r="BTG86" s="29"/>
      <c r="BTH86" s="29"/>
      <c r="BTI86" s="29"/>
      <c r="BTJ86" s="29"/>
      <c r="BTK86" s="73"/>
      <c r="BTL86" s="29"/>
      <c r="BTM86" s="29"/>
      <c r="BTN86" s="29"/>
      <c r="BTO86" s="29"/>
      <c r="BTP86" s="29"/>
      <c r="BTQ86" s="136"/>
      <c r="BTR86" s="29"/>
      <c r="BTS86" s="29"/>
      <c r="BTT86" s="29"/>
      <c r="BTU86" s="29"/>
      <c r="BTV86" s="29"/>
      <c r="BTW86" s="73"/>
      <c r="BTX86" s="67"/>
      <c r="BTY86" s="67"/>
      <c r="BTZ86" s="67"/>
      <c r="BUA86" s="67"/>
      <c r="BUB86" s="29"/>
      <c r="BUC86" s="136"/>
      <c r="BUD86" s="29"/>
      <c r="BUE86" s="29"/>
      <c r="BUF86" s="29"/>
      <c r="BUG86" s="29"/>
      <c r="BUH86" s="29"/>
      <c r="BUI86" s="73"/>
      <c r="BUJ86" s="29"/>
      <c r="BUK86" s="29"/>
      <c r="BUL86" s="29"/>
      <c r="BUM86" s="29"/>
      <c r="BUN86" s="29"/>
      <c r="BUO86" s="136"/>
      <c r="BUP86" s="29"/>
      <c r="BUQ86" s="29"/>
      <c r="BUR86" s="29"/>
      <c r="BUS86" s="29"/>
      <c r="BUT86" s="29"/>
      <c r="BUU86" s="73"/>
      <c r="BUV86" s="29"/>
      <c r="BUW86" s="29"/>
      <c r="BUX86" s="29"/>
      <c r="BUY86" s="29"/>
      <c r="BUZ86" s="29"/>
      <c r="BVA86" s="30"/>
      <c r="BVB86" s="90"/>
    </row>
    <row r="87" spans="1:1926" ht="20.100000000000001" customHeight="1" x14ac:dyDescent="0.25">
      <c r="A87" s="100" t="s">
        <v>20</v>
      </c>
      <c r="B87" s="63"/>
      <c r="C87" s="180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32"/>
      <c r="BOE87" s="64"/>
      <c r="BOF87" s="64"/>
      <c r="BOG87" s="64"/>
      <c r="BOH87" s="33"/>
      <c r="BOI87" s="132"/>
      <c r="BOJ87" s="33"/>
      <c r="BOK87" s="33"/>
      <c r="BOL87" s="33"/>
      <c r="BOM87" s="33"/>
      <c r="BON87" s="33"/>
      <c r="BOO87" s="137"/>
      <c r="BOP87" s="33"/>
      <c r="BOQ87" s="33"/>
      <c r="BOR87" s="33"/>
      <c r="BOS87" s="33"/>
      <c r="BOT87" s="33"/>
      <c r="BOU87" s="74"/>
      <c r="BOV87" s="33"/>
      <c r="BOW87" s="33"/>
      <c r="BOX87" s="33"/>
      <c r="BOY87" s="33"/>
      <c r="BOZ87" s="33"/>
      <c r="BPA87" s="137"/>
      <c r="BPB87" s="33"/>
      <c r="BPC87" s="33"/>
      <c r="BPD87" s="33"/>
      <c r="BPE87" s="33"/>
      <c r="BPF87" s="33"/>
      <c r="BPG87" s="74"/>
      <c r="BPH87" s="64"/>
      <c r="BPI87" s="64"/>
      <c r="BPJ87" s="64"/>
      <c r="BPK87" s="64"/>
      <c r="BPL87" s="33"/>
      <c r="BPM87" s="137"/>
      <c r="BPN87" s="33"/>
      <c r="BPO87" s="33"/>
      <c r="BPP87" s="33"/>
      <c r="BPQ87" s="33"/>
      <c r="BPR87" s="33"/>
      <c r="BPS87" s="74"/>
      <c r="BPT87" s="33"/>
      <c r="BPU87" s="33"/>
      <c r="BPV87" s="33"/>
      <c r="BPW87" s="33"/>
      <c r="BPX87" s="33"/>
      <c r="BPY87" s="137"/>
      <c r="BPZ87" s="33"/>
      <c r="BQA87" s="33"/>
      <c r="BQB87" s="33"/>
      <c r="BQC87" s="33"/>
      <c r="BQD87" s="33"/>
      <c r="BQE87" s="74"/>
      <c r="BQF87" s="33"/>
      <c r="BQG87" s="33"/>
      <c r="BQH87" s="33"/>
      <c r="BQI87" s="33"/>
      <c r="BQJ87" s="33"/>
      <c r="BQK87" s="34"/>
      <c r="BQL87" s="32"/>
      <c r="BQM87" s="64"/>
      <c r="BQN87" s="64"/>
      <c r="BQO87" s="64"/>
      <c r="BQP87" s="33"/>
      <c r="BQQ87" s="132"/>
      <c r="BQR87" s="33"/>
      <c r="BQS87" s="33"/>
      <c r="BQT87" s="33"/>
      <c r="BQU87" s="33"/>
      <c r="BQV87" s="33"/>
      <c r="BQW87" s="137"/>
      <c r="BQX87" s="33"/>
      <c r="BQY87" s="33"/>
      <c r="BQZ87" s="33"/>
      <c r="BRA87" s="33"/>
      <c r="BRB87" s="33"/>
      <c r="BRC87" s="74"/>
      <c r="BRD87" s="33"/>
      <c r="BRE87" s="33"/>
      <c r="BRF87" s="33"/>
      <c r="BRG87" s="33"/>
      <c r="BRH87" s="33"/>
      <c r="BRI87" s="137"/>
      <c r="BRJ87" s="33"/>
      <c r="BRK87" s="33"/>
      <c r="BRL87" s="33"/>
      <c r="BRM87" s="33"/>
      <c r="BRN87" s="33"/>
      <c r="BRO87" s="74"/>
      <c r="BRP87" s="64"/>
      <c r="BRQ87" s="64"/>
      <c r="BRR87" s="64"/>
      <c r="BRS87" s="64"/>
      <c r="BRT87" s="33"/>
      <c r="BRU87" s="137"/>
      <c r="BRV87" s="33"/>
      <c r="BRW87" s="33"/>
      <c r="BRX87" s="33"/>
      <c r="BRY87" s="33"/>
      <c r="BRZ87" s="33"/>
      <c r="BSA87" s="74"/>
      <c r="BSB87" s="33"/>
      <c r="BSC87" s="33"/>
      <c r="BSD87" s="33"/>
      <c r="BSE87" s="33"/>
      <c r="BSF87" s="33"/>
      <c r="BSG87" s="137"/>
      <c r="BSH87" s="33"/>
      <c r="BSI87" s="33"/>
      <c r="BSJ87" s="33"/>
      <c r="BSK87" s="33"/>
      <c r="BSL87" s="33"/>
      <c r="BSM87" s="74"/>
      <c r="BSN87" s="33"/>
      <c r="BSO87" s="33"/>
      <c r="BSP87" s="33"/>
      <c r="BSQ87" s="33"/>
      <c r="BSR87" s="33"/>
      <c r="BSS87" s="34"/>
      <c r="BST87" s="32"/>
      <c r="BSU87" s="64"/>
      <c r="BSV87" s="64"/>
      <c r="BSW87" s="64"/>
      <c r="BSX87" s="33"/>
      <c r="BSY87" s="132"/>
      <c r="BSZ87" s="33"/>
      <c r="BTA87" s="33"/>
      <c r="BTB87" s="33"/>
      <c r="BTC87" s="33"/>
      <c r="BTD87" s="33"/>
      <c r="BTE87" s="137"/>
      <c r="BTF87" s="33"/>
      <c r="BTG87" s="33"/>
      <c r="BTH87" s="33"/>
      <c r="BTI87" s="33"/>
      <c r="BTJ87" s="33"/>
      <c r="BTK87" s="74"/>
      <c r="BTL87" s="33"/>
      <c r="BTM87" s="33"/>
      <c r="BTN87" s="33"/>
      <c r="BTO87" s="33"/>
      <c r="BTP87" s="33"/>
      <c r="BTQ87" s="137"/>
      <c r="BTR87" s="33"/>
      <c r="BTS87" s="33"/>
      <c r="BTT87" s="33"/>
      <c r="BTU87" s="33"/>
      <c r="BTV87" s="33"/>
      <c r="BTW87" s="74"/>
      <c r="BTX87" s="64"/>
      <c r="BTY87" s="64"/>
      <c r="BTZ87" s="64"/>
      <c r="BUA87" s="64"/>
      <c r="BUB87" s="33"/>
      <c r="BUC87" s="137"/>
      <c r="BUD87" s="33"/>
      <c r="BUE87" s="33"/>
      <c r="BUF87" s="33"/>
      <c r="BUG87" s="33"/>
      <c r="BUH87" s="33"/>
      <c r="BUI87" s="74"/>
      <c r="BUJ87" s="33"/>
      <c r="BUK87" s="33"/>
      <c r="BUL87" s="33"/>
      <c r="BUM87" s="33"/>
      <c r="BUN87" s="33"/>
      <c r="BUO87" s="137"/>
      <c r="BUP87" s="33"/>
      <c r="BUQ87" s="33"/>
      <c r="BUR87" s="33"/>
      <c r="BUS87" s="33"/>
      <c r="BUT87" s="33"/>
      <c r="BUU87" s="74"/>
      <c r="BUV87" s="33"/>
      <c r="BUW87" s="33"/>
      <c r="BUX87" s="33"/>
      <c r="BUY87" s="33"/>
      <c r="BUZ87" s="33"/>
      <c r="BVA87" s="34"/>
      <c r="BVB87" s="90"/>
    </row>
    <row r="88" spans="1:1926" ht="20.100000000000001" customHeight="1" x14ac:dyDescent="0.25">
      <c r="A88" s="100" t="s">
        <v>21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36"/>
      <c r="BOE88" s="65"/>
      <c r="BOF88" s="65"/>
      <c r="BOG88" s="65"/>
      <c r="BOH88" s="37"/>
      <c r="BOI88" s="133"/>
      <c r="BOJ88" s="37"/>
      <c r="BOK88" s="37"/>
      <c r="BOL88" s="37"/>
      <c r="BOM88" s="37"/>
      <c r="BON88" s="37"/>
      <c r="BOO88" s="138"/>
      <c r="BOP88" s="37"/>
      <c r="BOQ88" s="37"/>
      <c r="BOR88" s="37"/>
      <c r="BOS88" s="37"/>
      <c r="BOT88" s="37"/>
      <c r="BOU88" s="75"/>
      <c r="BOV88" s="37"/>
      <c r="BOW88" s="37"/>
      <c r="BOX88" s="37"/>
      <c r="BOY88" s="37"/>
      <c r="BOZ88" s="37"/>
      <c r="BPA88" s="138"/>
      <c r="BPB88" s="37"/>
      <c r="BPC88" s="37"/>
      <c r="BPD88" s="37"/>
      <c r="BPE88" s="37"/>
      <c r="BPF88" s="37"/>
      <c r="BPG88" s="75"/>
      <c r="BPH88" s="65"/>
      <c r="BPI88" s="65"/>
      <c r="BPJ88" s="65"/>
      <c r="BPK88" s="65"/>
      <c r="BPL88" s="37"/>
      <c r="BPM88" s="138"/>
      <c r="BPN88" s="37"/>
      <c r="BPO88" s="37"/>
      <c r="BPP88" s="37"/>
      <c r="BPQ88" s="37"/>
      <c r="BPR88" s="37"/>
      <c r="BPS88" s="75"/>
      <c r="BPT88" s="37"/>
      <c r="BPU88" s="37"/>
      <c r="BPV88" s="37"/>
      <c r="BPW88" s="37"/>
      <c r="BPX88" s="37"/>
      <c r="BPY88" s="138"/>
      <c r="BPZ88" s="37"/>
      <c r="BQA88" s="37"/>
      <c r="BQB88" s="37"/>
      <c r="BQC88" s="37"/>
      <c r="BQD88" s="37"/>
      <c r="BQE88" s="75"/>
      <c r="BQF88" s="37"/>
      <c r="BQG88" s="37"/>
      <c r="BQH88" s="37"/>
      <c r="BQI88" s="37"/>
      <c r="BQJ88" s="37"/>
      <c r="BQK88" s="38"/>
      <c r="BQL88" s="36"/>
      <c r="BQM88" s="65"/>
      <c r="BQN88" s="65"/>
      <c r="BQO88" s="65"/>
      <c r="BQP88" s="37"/>
      <c r="BQQ88" s="133"/>
      <c r="BQR88" s="37"/>
      <c r="BQS88" s="37"/>
      <c r="BQT88" s="37"/>
      <c r="BQU88" s="37"/>
      <c r="BQV88" s="37"/>
      <c r="BQW88" s="138"/>
      <c r="BQX88" s="37"/>
      <c r="BQY88" s="37"/>
      <c r="BQZ88" s="37"/>
      <c r="BRA88" s="37"/>
      <c r="BRB88" s="37"/>
      <c r="BRC88" s="75"/>
      <c r="BRD88" s="37"/>
      <c r="BRE88" s="37"/>
      <c r="BRF88" s="37"/>
      <c r="BRG88" s="37"/>
      <c r="BRH88" s="37"/>
      <c r="BRI88" s="138"/>
      <c r="BRJ88" s="37"/>
      <c r="BRK88" s="37"/>
      <c r="BRL88" s="37"/>
      <c r="BRM88" s="37"/>
      <c r="BRN88" s="37"/>
      <c r="BRO88" s="75"/>
      <c r="BRP88" s="65"/>
      <c r="BRQ88" s="65"/>
      <c r="BRR88" s="65"/>
      <c r="BRS88" s="65"/>
      <c r="BRT88" s="37"/>
      <c r="BRU88" s="138"/>
      <c r="BRV88" s="37"/>
      <c r="BRW88" s="37"/>
      <c r="BRX88" s="37"/>
      <c r="BRY88" s="37"/>
      <c r="BRZ88" s="37"/>
      <c r="BSA88" s="75"/>
      <c r="BSB88" s="37"/>
      <c r="BSC88" s="37"/>
      <c r="BSD88" s="37"/>
      <c r="BSE88" s="37"/>
      <c r="BSF88" s="37"/>
      <c r="BSG88" s="138"/>
      <c r="BSH88" s="37"/>
      <c r="BSI88" s="37"/>
      <c r="BSJ88" s="37"/>
      <c r="BSK88" s="37"/>
      <c r="BSL88" s="37"/>
      <c r="BSM88" s="75"/>
      <c r="BSN88" s="37"/>
      <c r="BSO88" s="37"/>
      <c r="BSP88" s="37"/>
      <c r="BSQ88" s="37"/>
      <c r="BSR88" s="37"/>
      <c r="BSS88" s="38"/>
      <c r="BST88" s="36"/>
      <c r="BSU88" s="65"/>
      <c r="BSV88" s="65"/>
      <c r="BSW88" s="65"/>
      <c r="BSX88" s="37"/>
      <c r="BSY88" s="133"/>
      <c r="BSZ88" s="37"/>
      <c r="BTA88" s="37"/>
      <c r="BTB88" s="37"/>
      <c r="BTC88" s="37"/>
      <c r="BTD88" s="37"/>
      <c r="BTE88" s="138"/>
      <c r="BTF88" s="37"/>
      <c r="BTG88" s="37"/>
      <c r="BTH88" s="37"/>
      <c r="BTI88" s="37"/>
      <c r="BTJ88" s="37"/>
      <c r="BTK88" s="75"/>
      <c r="BTL88" s="37"/>
      <c r="BTM88" s="37"/>
      <c r="BTN88" s="37"/>
      <c r="BTO88" s="37"/>
      <c r="BTP88" s="37"/>
      <c r="BTQ88" s="138"/>
      <c r="BTR88" s="37"/>
      <c r="BTS88" s="37"/>
      <c r="BTT88" s="37"/>
      <c r="BTU88" s="37"/>
      <c r="BTV88" s="37"/>
      <c r="BTW88" s="75"/>
      <c r="BTX88" s="65"/>
      <c r="BTY88" s="65"/>
      <c r="BTZ88" s="65"/>
      <c r="BUA88" s="65"/>
      <c r="BUB88" s="37"/>
      <c r="BUC88" s="138"/>
      <c r="BUD88" s="37"/>
      <c r="BUE88" s="37"/>
      <c r="BUF88" s="37"/>
      <c r="BUG88" s="37"/>
      <c r="BUH88" s="37"/>
      <c r="BUI88" s="75"/>
      <c r="BUJ88" s="37"/>
      <c r="BUK88" s="37"/>
      <c r="BUL88" s="37"/>
      <c r="BUM88" s="37"/>
      <c r="BUN88" s="37"/>
      <c r="BUO88" s="138"/>
      <c r="BUP88" s="37"/>
      <c r="BUQ88" s="37"/>
      <c r="BUR88" s="37"/>
      <c r="BUS88" s="37"/>
      <c r="BUT88" s="37"/>
      <c r="BUU88" s="75"/>
      <c r="BUV88" s="37"/>
      <c r="BUW88" s="37"/>
      <c r="BUX88" s="37"/>
      <c r="BUY88" s="37"/>
      <c r="BUZ88" s="37"/>
      <c r="BVA88" s="38"/>
      <c r="BVB88" s="90"/>
    </row>
    <row r="89" spans="1:1926" ht="20.100000000000001" customHeight="1" x14ac:dyDescent="0.25">
      <c r="A89" s="100" t="s">
        <v>20</v>
      </c>
      <c r="B89" s="63"/>
      <c r="C89" s="180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32"/>
      <c r="BOE89" s="64"/>
      <c r="BOF89" s="64"/>
      <c r="BOG89" s="64"/>
      <c r="BOH89" s="33"/>
      <c r="BOI89" s="132"/>
      <c r="BOJ89" s="33"/>
      <c r="BOK89" s="33"/>
      <c r="BOL89" s="33"/>
      <c r="BOM89" s="33"/>
      <c r="BON89" s="33"/>
      <c r="BOO89" s="137"/>
      <c r="BOP89" s="33"/>
      <c r="BOQ89" s="33"/>
      <c r="BOR89" s="33"/>
      <c r="BOS89" s="33"/>
      <c r="BOT89" s="33"/>
      <c r="BOU89" s="74"/>
      <c r="BOV89" s="33"/>
      <c r="BOW89" s="33"/>
      <c r="BOX89" s="33"/>
      <c r="BOY89" s="33"/>
      <c r="BOZ89" s="33"/>
      <c r="BPA89" s="137"/>
      <c r="BPB89" s="33"/>
      <c r="BPC89" s="33"/>
      <c r="BPD89" s="33"/>
      <c r="BPE89" s="33"/>
      <c r="BPF89" s="33"/>
      <c r="BPG89" s="74"/>
      <c r="BPH89" s="64"/>
      <c r="BPI89" s="64"/>
      <c r="BPJ89" s="64"/>
      <c r="BPK89" s="64"/>
      <c r="BPL89" s="33"/>
      <c r="BPM89" s="137"/>
      <c r="BPN89" s="33"/>
      <c r="BPO89" s="33"/>
      <c r="BPP89" s="33"/>
      <c r="BPQ89" s="33"/>
      <c r="BPR89" s="33"/>
      <c r="BPS89" s="74"/>
      <c r="BPT89" s="33"/>
      <c r="BPU89" s="33"/>
      <c r="BPV89" s="33"/>
      <c r="BPW89" s="33"/>
      <c r="BPX89" s="33"/>
      <c r="BPY89" s="137"/>
      <c r="BPZ89" s="33"/>
      <c r="BQA89" s="33"/>
      <c r="BQB89" s="33"/>
      <c r="BQC89" s="33"/>
      <c r="BQD89" s="33"/>
      <c r="BQE89" s="74"/>
      <c r="BQF89" s="33"/>
      <c r="BQG89" s="33"/>
      <c r="BQH89" s="33"/>
      <c r="BQI89" s="33"/>
      <c r="BQJ89" s="33"/>
      <c r="BQK89" s="34"/>
      <c r="BQL89" s="32"/>
      <c r="BQM89" s="64"/>
      <c r="BQN89" s="64"/>
      <c r="BQO89" s="64"/>
      <c r="BQP89" s="33"/>
      <c r="BQQ89" s="132"/>
      <c r="BQR89" s="33"/>
      <c r="BQS89" s="33"/>
      <c r="BQT89" s="33"/>
      <c r="BQU89" s="33"/>
      <c r="BQV89" s="33"/>
      <c r="BQW89" s="137"/>
      <c r="BQX89" s="33"/>
      <c r="BQY89" s="33"/>
      <c r="BQZ89" s="33"/>
      <c r="BRA89" s="33"/>
      <c r="BRB89" s="33"/>
      <c r="BRC89" s="74"/>
      <c r="BRD89" s="33"/>
      <c r="BRE89" s="33"/>
      <c r="BRF89" s="33"/>
      <c r="BRG89" s="33"/>
      <c r="BRH89" s="33"/>
      <c r="BRI89" s="137"/>
      <c r="BRJ89" s="33"/>
      <c r="BRK89" s="33"/>
      <c r="BRL89" s="33"/>
      <c r="BRM89" s="33"/>
      <c r="BRN89" s="33"/>
      <c r="BRO89" s="74"/>
      <c r="BRP89" s="64"/>
      <c r="BRQ89" s="64"/>
      <c r="BRR89" s="64"/>
      <c r="BRS89" s="64"/>
      <c r="BRT89" s="33"/>
      <c r="BRU89" s="137"/>
      <c r="BRV89" s="33"/>
      <c r="BRW89" s="33"/>
      <c r="BRX89" s="33"/>
      <c r="BRY89" s="33"/>
      <c r="BRZ89" s="33"/>
      <c r="BSA89" s="74"/>
      <c r="BSB89" s="33"/>
      <c r="BSC89" s="33"/>
      <c r="BSD89" s="33"/>
      <c r="BSE89" s="33"/>
      <c r="BSF89" s="33"/>
      <c r="BSG89" s="137"/>
      <c r="BSH89" s="33"/>
      <c r="BSI89" s="33"/>
      <c r="BSJ89" s="33"/>
      <c r="BSK89" s="33"/>
      <c r="BSL89" s="33"/>
      <c r="BSM89" s="74"/>
      <c r="BSN89" s="33"/>
      <c r="BSO89" s="33"/>
      <c r="BSP89" s="33"/>
      <c r="BSQ89" s="33"/>
      <c r="BSR89" s="33"/>
      <c r="BSS89" s="34"/>
      <c r="BST89" s="32"/>
      <c r="BSU89" s="64"/>
      <c r="BSV89" s="64"/>
      <c r="BSW89" s="64"/>
      <c r="BSX89" s="33"/>
      <c r="BSY89" s="132"/>
      <c r="BSZ89" s="33"/>
      <c r="BTA89" s="33"/>
      <c r="BTB89" s="33"/>
      <c r="BTC89" s="33"/>
      <c r="BTD89" s="33"/>
      <c r="BTE89" s="137"/>
      <c r="BTF89" s="33"/>
      <c r="BTG89" s="33"/>
      <c r="BTH89" s="33"/>
      <c r="BTI89" s="33"/>
      <c r="BTJ89" s="33"/>
      <c r="BTK89" s="74"/>
      <c r="BTL89" s="33"/>
      <c r="BTM89" s="33"/>
      <c r="BTN89" s="33"/>
      <c r="BTO89" s="33"/>
      <c r="BTP89" s="33"/>
      <c r="BTQ89" s="137"/>
      <c r="BTR89" s="33"/>
      <c r="BTS89" s="33"/>
      <c r="BTT89" s="33"/>
      <c r="BTU89" s="33"/>
      <c r="BTV89" s="33"/>
      <c r="BTW89" s="74"/>
      <c r="BTX89" s="64"/>
      <c r="BTY89" s="64"/>
      <c r="BTZ89" s="64"/>
      <c r="BUA89" s="64"/>
      <c r="BUB89" s="33"/>
      <c r="BUC89" s="137"/>
      <c r="BUD89" s="33"/>
      <c r="BUE89" s="33"/>
      <c r="BUF89" s="33"/>
      <c r="BUG89" s="33"/>
      <c r="BUH89" s="33"/>
      <c r="BUI89" s="74"/>
      <c r="BUJ89" s="33"/>
      <c r="BUK89" s="33"/>
      <c r="BUL89" s="33"/>
      <c r="BUM89" s="33"/>
      <c r="BUN89" s="33"/>
      <c r="BUO89" s="137"/>
      <c r="BUP89" s="33"/>
      <c r="BUQ89" s="33"/>
      <c r="BUR89" s="33"/>
      <c r="BUS89" s="33"/>
      <c r="BUT89" s="33"/>
      <c r="BUU89" s="74"/>
      <c r="BUV89" s="33"/>
      <c r="BUW89" s="33"/>
      <c r="BUX89" s="33"/>
      <c r="BUY89" s="33"/>
      <c r="BUZ89" s="33"/>
      <c r="BVA89" s="34"/>
      <c r="BVB89" s="90"/>
    </row>
    <row r="90" spans="1:1926" ht="20.100000000000001" customHeight="1" x14ac:dyDescent="0.3">
      <c r="A90" s="100" t="s">
        <v>21</v>
      </c>
      <c r="B90" s="63"/>
      <c r="C90" s="181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36"/>
      <c r="BOE90" s="65"/>
      <c r="BOF90" s="65"/>
      <c r="BOG90" s="65"/>
      <c r="BOH90" s="37"/>
      <c r="BOI90" s="133"/>
      <c r="BOJ90" s="37"/>
      <c r="BOK90" s="37"/>
      <c r="BOL90" s="37"/>
      <c r="BOM90" s="37"/>
      <c r="BON90" s="37"/>
      <c r="BOO90" s="138"/>
      <c r="BOP90" s="37"/>
      <c r="BOQ90" s="37"/>
      <c r="BOR90" s="37"/>
      <c r="BOS90" s="37"/>
      <c r="BOT90" s="37"/>
      <c r="BOU90" s="75"/>
      <c r="BOV90" s="37"/>
      <c r="BOW90" s="37"/>
      <c r="BOX90" s="37"/>
      <c r="BOY90" s="37"/>
      <c r="BOZ90" s="37"/>
      <c r="BPA90" s="138"/>
      <c r="BPB90" s="37"/>
      <c r="BPC90" s="37"/>
      <c r="BPD90" s="37"/>
      <c r="BPE90" s="37"/>
      <c r="BPF90" s="37"/>
      <c r="BPG90" s="75"/>
      <c r="BPH90" s="65"/>
      <c r="BPI90" s="65"/>
      <c r="BPJ90" s="65"/>
      <c r="BPK90" s="65"/>
      <c r="BPL90" s="37"/>
      <c r="BPM90" s="138"/>
      <c r="BPN90" s="37"/>
      <c r="BPO90" s="37"/>
      <c r="BPP90" s="37"/>
      <c r="BPQ90" s="37"/>
      <c r="BPR90" s="37"/>
      <c r="BPS90" s="75"/>
      <c r="BPT90" s="37"/>
      <c r="BPU90" s="37"/>
      <c r="BPV90" s="37"/>
      <c r="BPW90" s="37"/>
      <c r="BPX90" s="37"/>
      <c r="BPY90" s="138"/>
      <c r="BPZ90" s="37"/>
      <c r="BQA90" s="37"/>
      <c r="BQB90" s="37"/>
      <c r="BQC90" s="37"/>
      <c r="BQD90" s="37"/>
      <c r="BQE90" s="75"/>
      <c r="BQF90" s="37"/>
      <c r="BQG90" s="37"/>
      <c r="BQH90" s="37"/>
      <c r="BQI90" s="37"/>
      <c r="BQJ90" s="37"/>
      <c r="BQK90" s="38"/>
      <c r="BQL90" s="36"/>
      <c r="BQM90" s="65"/>
      <c r="BQN90" s="65"/>
      <c r="BQO90" s="65"/>
      <c r="BQP90" s="37"/>
      <c r="BQQ90" s="133"/>
      <c r="BQR90" s="37"/>
      <c r="BQS90" s="37"/>
      <c r="BQT90" s="37"/>
      <c r="BQU90" s="37"/>
      <c r="BQV90" s="37"/>
      <c r="BQW90" s="138"/>
      <c r="BQX90" s="37"/>
      <c r="BQY90" s="37"/>
      <c r="BQZ90" s="37"/>
      <c r="BRA90" s="37"/>
      <c r="BRB90" s="37"/>
      <c r="BRC90" s="75"/>
      <c r="BRD90" s="37"/>
      <c r="BRE90" s="37"/>
      <c r="BRF90" s="37"/>
      <c r="BRG90" s="37"/>
      <c r="BRH90" s="37"/>
      <c r="BRI90" s="138"/>
      <c r="BRJ90" s="37"/>
      <c r="BRK90" s="37"/>
      <c r="BRL90" s="37"/>
      <c r="BRM90" s="37"/>
      <c r="BRN90" s="37"/>
      <c r="BRO90" s="75"/>
      <c r="BRP90" s="65"/>
      <c r="BRQ90" s="65"/>
      <c r="BRR90" s="65"/>
      <c r="BRS90" s="65"/>
      <c r="BRT90" s="37"/>
      <c r="BRU90" s="138"/>
      <c r="BRV90" s="37"/>
      <c r="BRW90" s="37"/>
      <c r="BRX90" s="37"/>
      <c r="BRY90" s="37"/>
      <c r="BRZ90" s="37"/>
      <c r="BSA90" s="75"/>
      <c r="BSB90" s="37"/>
      <c r="BSC90" s="37"/>
      <c r="BSD90" s="37"/>
      <c r="BSE90" s="37"/>
      <c r="BSF90" s="37"/>
      <c r="BSG90" s="138"/>
      <c r="BSH90" s="37"/>
      <c r="BSI90" s="37"/>
      <c r="BSJ90" s="37"/>
      <c r="BSK90" s="37"/>
      <c r="BSL90" s="37"/>
      <c r="BSM90" s="75"/>
      <c r="BSN90" s="37"/>
      <c r="BSO90" s="37"/>
      <c r="BSP90" s="37"/>
      <c r="BSQ90" s="37"/>
      <c r="BSR90" s="37"/>
      <c r="BSS90" s="38"/>
      <c r="BST90" s="36"/>
      <c r="BSU90" s="65"/>
      <c r="BSV90" s="65"/>
      <c r="BSW90" s="65"/>
      <c r="BSX90" s="37"/>
      <c r="BSY90" s="133"/>
      <c r="BSZ90" s="37"/>
      <c r="BTA90" s="37"/>
      <c r="BTB90" s="37"/>
      <c r="BTC90" s="37"/>
      <c r="BTD90" s="37"/>
      <c r="BTE90" s="138"/>
      <c r="BTF90" s="37"/>
      <c r="BTG90" s="37"/>
      <c r="BTH90" s="37"/>
      <c r="BTI90" s="37"/>
      <c r="BTJ90" s="37"/>
      <c r="BTK90" s="75"/>
      <c r="BTL90" s="37"/>
      <c r="BTM90" s="37"/>
      <c r="BTN90" s="37"/>
      <c r="BTO90" s="37"/>
      <c r="BTP90" s="37"/>
      <c r="BTQ90" s="138"/>
      <c r="BTR90" s="37"/>
      <c r="BTS90" s="37"/>
      <c r="BTT90" s="37"/>
      <c r="BTU90" s="37"/>
      <c r="BTV90" s="37"/>
      <c r="BTW90" s="75"/>
      <c r="BTX90" s="65"/>
      <c r="BTY90" s="65"/>
      <c r="BTZ90" s="65"/>
      <c r="BUA90" s="65"/>
      <c r="BUB90" s="37"/>
      <c r="BUC90" s="138"/>
      <c r="BUD90" s="37"/>
      <c r="BUE90" s="37"/>
      <c r="BUF90" s="37"/>
      <c r="BUG90" s="37"/>
      <c r="BUH90" s="37"/>
      <c r="BUI90" s="75"/>
      <c r="BUJ90" s="37"/>
      <c r="BUK90" s="37"/>
      <c r="BUL90" s="37"/>
      <c r="BUM90" s="37"/>
      <c r="BUN90" s="37"/>
      <c r="BUO90" s="138"/>
      <c r="BUP90" s="37"/>
      <c r="BUQ90" s="37"/>
      <c r="BUR90" s="37"/>
      <c r="BUS90" s="37"/>
      <c r="BUT90" s="37"/>
      <c r="BUU90" s="75"/>
      <c r="BUV90" s="37"/>
      <c r="BUW90" s="37"/>
      <c r="BUX90" s="37"/>
      <c r="BUY90" s="37"/>
      <c r="BUZ90" s="37"/>
      <c r="BVA90" s="38"/>
      <c r="BVB90" s="90"/>
    </row>
    <row r="91" spans="1:1926" ht="20.100000000000001" customHeight="1" x14ac:dyDescent="0.25">
      <c r="A91" s="100" t="s">
        <v>20</v>
      </c>
      <c r="B91" s="63"/>
      <c r="C91" s="180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40"/>
      <c r="BOE91" s="66"/>
      <c r="BOF91" s="66"/>
      <c r="BOG91" s="66"/>
      <c r="BOH91" s="41"/>
      <c r="BOI91" s="134"/>
      <c r="BOJ91" s="41"/>
      <c r="BOK91" s="41"/>
      <c r="BOL91" s="41"/>
      <c r="BOM91" s="41"/>
      <c r="BON91" s="41"/>
      <c r="BOO91" s="139"/>
      <c r="BOP91" s="41"/>
      <c r="BOQ91" s="41"/>
      <c r="BOR91" s="41"/>
      <c r="BOS91" s="41"/>
      <c r="BOT91" s="41"/>
      <c r="BOU91" s="76"/>
      <c r="BOV91" s="41"/>
      <c r="BOW91" s="41"/>
      <c r="BOX91" s="41"/>
      <c r="BOY91" s="41"/>
      <c r="BOZ91" s="41"/>
      <c r="BPA91" s="139"/>
      <c r="BPB91" s="41"/>
      <c r="BPC91" s="41"/>
      <c r="BPD91" s="41"/>
      <c r="BPE91" s="41"/>
      <c r="BPF91" s="41"/>
      <c r="BPG91" s="76"/>
      <c r="BPH91" s="66"/>
      <c r="BPI91" s="66"/>
      <c r="BPJ91" s="66"/>
      <c r="BPK91" s="66"/>
      <c r="BPL91" s="41"/>
      <c r="BPM91" s="139"/>
      <c r="BPN91" s="41"/>
      <c r="BPO91" s="41"/>
      <c r="BPP91" s="41"/>
      <c r="BPQ91" s="41"/>
      <c r="BPR91" s="41"/>
      <c r="BPS91" s="76"/>
      <c r="BPT91" s="41"/>
      <c r="BPU91" s="41"/>
      <c r="BPV91" s="41"/>
      <c r="BPW91" s="41"/>
      <c r="BPX91" s="41"/>
      <c r="BPY91" s="139"/>
      <c r="BPZ91" s="41"/>
      <c r="BQA91" s="41"/>
      <c r="BQB91" s="41"/>
      <c r="BQC91" s="41"/>
      <c r="BQD91" s="41"/>
      <c r="BQE91" s="76"/>
      <c r="BQF91" s="41"/>
      <c r="BQG91" s="41"/>
      <c r="BQH91" s="41"/>
      <c r="BQI91" s="41"/>
      <c r="BQJ91" s="41"/>
      <c r="BQK91" s="42"/>
      <c r="BQL91" s="40"/>
      <c r="BQM91" s="66"/>
      <c r="BQN91" s="66"/>
      <c r="BQO91" s="66"/>
      <c r="BQP91" s="41"/>
      <c r="BQQ91" s="134"/>
      <c r="BQR91" s="41"/>
      <c r="BQS91" s="41"/>
      <c r="BQT91" s="41"/>
      <c r="BQU91" s="41"/>
      <c r="BQV91" s="41"/>
      <c r="BQW91" s="139"/>
      <c r="BQX91" s="41"/>
      <c r="BQY91" s="41"/>
      <c r="BQZ91" s="41"/>
      <c r="BRA91" s="41"/>
      <c r="BRB91" s="41"/>
      <c r="BRC91" s="76"/>
      <c r="BRD91" s="41"/>
      <c r="BRE91" s="41"/>
      <c r="BRF91" s="41"/>
      <c r="BRG91" s="41"/>
      <c r="BRH91" s="41"/>
      <c r="BRI91" s="139"/>
      <c r="BRJ91" s="41"/>
      <c r="BRK91" s="41"/>
      <c r="BRL91" s="41"/>
      <c r="BRM91" s="41"/>
      <c r="BRN91" s="41"/>
      <c r="BRO91" s="76"/>
      <c r="BRP91" s="66"/>
      <c r="BRQ91" s="66"/>
      <c r="BRR91" s="66"/>
      <c r="BRS91" s="66"/>
      <c r="BRT91" s="41"/>
      <c r="BRU91" s="139"/>
      <c r="BRV91" s="41"/>
      <c r="BRW91" s="41"/>
      <c r="BRX91" s="41"/>
      <c r="BRY91" s="41"/>
      <c r="BRZ91" s="41"/>
      <c r="BSA91" s="76"/>
      <c r="BSB91" s="41"/>
      <c r="BSC91" s="41"/>
      <c r="BSD91" s="41"/>
      <c r="BSE91" s="41"/>
      <c r="BSF91" s="41"/>
      <c r="BSG91" s="139"/>
      <c r="BSH91" s="41"/>
      <c r="BSI91" s="41"/>
      <c r="BSJ91" s="41"/>
      <c r="BSK91" s="41"/>
      <c r="BSL91" s="41"/>
      <c r="BSM91" s="76"/>
      <c r="BSN91" s="41"/>
      <c r="BSO91" s="41"/>
      <c r="BSP91" s="41"/>
      <c r="BSQ91" s="41"/>
      <c r="BSR91" s="41"/>
      <c r="BSS91" s="42"/>
      <c r="BST91" s="40"/>
      <c r="BSU91" s="66"/>
      <c r="BSV91" s="66"/>
      <c r="BSW91" s="66"/>
      <c r="BSX91" s="41"/>
      <c r="BSY91" s="134"/>
      <c r="BSZ91" s="41"/>
      <c r="BTA91" s="41"/>
      <c r="BTB91" s="41"/>
      <c r="BTC91" s="41"/>
      <c r="BTD91" s="41"/>
      <c r="BTE91" s="139"/>
      <c r="BTF91" s="41"/>
      <c r="BTG91" s="41"/>
      <c r="BTH91" s="41"/>
      <c r="BTI91" s="41"/>
      <c r="BTJ91" s="41"/>
      <c r="BTK91" s="76"/>
      <c r="BTL91" s="41"/>
      <c r="BTM91" s="41"/>
      <c r="BTN91" s="41"/>
      <c r="BTO91" s="41"/>
      <c r="BTP91" s="41"/>
      <c r="BTQ91" s="139"/>
      <c r="BTR91" s="41"/>
      <c r="BTS91" s="41"/>
      <c r="BTT91" s="41"/>
      <c r="BTU91" s="41"/>
      <c r="BTV91" s="41"/>
      <c r="BTW91" s="76"/>
      <c r="BTX91" s="66"/>
      <c r="BTY91" s="66"/>
      <c r="BTZ91" s="66"/>
      <c r="BUA91" s="66"/>
      <c r="BUB91" s="41"/>
      <c r="BUC91" s="139"/>
      <c r="BUD91" s="41"/>
      <c r="BUE91" s="41"/>
      <c r="BUF91" s="41"/>
      <c r="BUG91" s="41"/>
      <c r="BUH91" s="41"/>
      <c r="BUI91" s="76"/>
      <c r="BUJ91" s="41"/>
      <c r="BUK91" s="41"/>
      <c r="BUL91" s="41"/>
      <c r="BUM91" s="41"/>
      <c r="BUN91" s="41"/>
      <c r="BUO91" s="139"/>
      <c r="BUP91" s="41"/>
      <c r="BUQ91" s="41"/>
      <c r="BUR91" s="41"/>
      <c r="BUS91" s="41"/>
      <c r="BUT91" s="41"/>
      <c r="BUU91" s="76"/>
      <c r="BUV91" s="41"/>
      <c r="BUW91" s="41"/>
      <c r="BUX91" s="41"/>
      <c r="BUY91" s="41"/>
      <c r="BUZ91" s="41"/>
      <c r="BVA91" s="42"/>
      <c r="BVB91" s="90"/>
    </row>
    <row r="92" spans="1:1926" ht="20.100000000000001" customHeight="1" x14ac:dyDescent="0.3">
      <c r="A92" s="100" t="s">
        <v>21</v>
      </c>
      <c r="B92" s="63"/>
      <c r="C92" s="181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28"/>
      <c r="BOE92" s="67"/>
      <c r="BOF92" s="67"/>
      <c r="BOG92" s="67"/>
      <c r="BOH92" s="29"/>
      <c r="BOI92" s="133"/>
      <c r="BOJ92" s="29"/>
      <c r="BOK92" s="29"/>
      <c r="BOL92" s="29"/>
      <c r="BOM92" s="29"/>
      <c r="BON92" s="29"/>
      <c r="BOO92" s="138"/>
      <c r="BOP92" s="29"/>
      <c r="BOQ92" s="29"/>
      <c r="BOR92" s="29"/>
      <c r="BOS92" s="29"/>
      <c r="BOT92" s="29"/>
      <c r="BOU92" s="75"/>
      <c r="BOV92" s="29"/>
      <c r="BOW92" s="29"/>
      <c r="BOX92" s="29"/>
      <c r="BOY92" s="29"/>
      <c r="BOZ92" s="29"/>
      <c r="BPA92" s="138"/>
      <c r="BPB92" s="29"/>
      <c r="BPC92" s="29"/>
      <c r="BPD92" s="29"/>
      <c r="BPE92" s="29"/>
      <c r="BPF92" s="29"/>
      <c r="BPG92" s="75"/>
      <c r="BPH92" s="67"/>
      <c r="BPI92" s="67"/>
      <c r="BPJ92" s="67"/>
      <c r="BPK92" s="67"/>
      <c r="BPL92" s="29"/>
      <c r="BPM92" s="138"/>
      <c r="BPN92" s="29"/>
      <c r="BPO92" s="29"/>
      <c r="BPP92" s="29"/>
      <c r="BPQ92" s="29"/>
      <c r="BPR92" s="29"/>
      <c r="BPS92" s="75"/>
      <c r="BPT92" s="29"/>
      <c r="BPU92" s="29"/>
      <c r="BPV92" s="29"/>
      <c r="BPW92" s="29"/>
      <c r="BPX92" s="29"/>
      <c r="BPY92" s="138"/>
      <c r="BPZ92" s="29"/>
      <c r="BQA92" s="29"/>
      <c r="BQB92" s="29"/>
      <c r="BQC92" s="29"/>
      <c r="BQD92" s="29"/>
      <c r="BQE92" s="75"/>
      <c r="BQF92" s="29"/>
      <c r="BQG92" s="29"/>
      <c r="BQH92" s="29"/>
      <c r="BQI92" s="29"/>
      <c r="BQJ92" s="29"/>
      <c r="BQK92" s="30"/>
      <c r="BQL92" s="28"/>
      <c r="BQM92" s="67"/>
      <c r="BQN92" s="67"/>
      <c r="BQO92" s="67"/>
      <c r="BQP92" s="29"/>
      <c r="BQQ92" s="133"/>
      <c r="BQR92" s="29"/>
      <c r="BQS92" s="29"/>
      <c r="BQT92" s="29"/>
      <c r="BQU92" s="29"/>
      <c r="BQV92" s="29"/>
      <c r="BQW92" s="138"/>
      <c r="BQX92" s="29"/>
      <c r="BQY92" s="29"/>
      <c r="BQZ92" s="29"/>
      <c r="BRA92" s="29"/>
      <c r="BRB92" s="29"/>
      <c r="BRC92" s="75"/>
      <c r="BRD92" s="29"/>
      <c r="BRE92" s="29"/>
      <c r="BRF92" s="29"/>
      <c r="BRG92" s="29"/>
      <c r="BRH92" s="29"/>
      <c r="BRI92" s="138"/>
      <c r="BRJ92" s="29"/>
      <c r="BRK92" s="29"/>
      <c r="BRL92" s="29"/>
      <c r="BRM92" s="29"/>
      <c r="BRN92" s="29"/>
      <c r="BRO92" s="75"/>
      <c r="BRP92" s="67"/>
      <c r="BRQ92" s="67"/>
      <c r="BRR92" s="67"/>
      <c r="BRS92" s="67"/>
      <c r="BRT92" s="29"/>
      <c r="BRU92" s="138"/>
      <c r="BRV92" s="29"/>
      <c r="BRW92" s="29"/>
      <c r="BRX92" s="29"/>
      <c r="BRY92" s="29"/>
      <c r="BRZ92" s="29"/>
      <c r="BSA92" s="75"/>
      <c r="BSB92" s="29"/>
      <c r="BSC92" s="29"/>
      <c r="BSD92" s="29"/>
      <c r="BSE92" s="29"/>
      <c r="BSF92" s="29"/>
      <c r="BSG92" s="138"/>
      <c r="BSH92" s="29"/>
      <c r="BSI92" s="29"/>
      <c r="BSJ92" s="29"/>
      <c r="BSK92" s="29"/>
      <c r="BSL92" s="29"/>
      <c r="BSM92" s="75"/>
      <c r="BSN92" s="29"/>
      <c r="BSO92" s="29"/>
      <c r="BSP92" s="29"/>
      <c r="BSQ92" s="29"/>
      <c r="BSR92" s="29"/>
      <c r="BSS92" s="30"/>
      <c r="BST92" s="28"/>
      <c r="BSU92" s="67"/>
      <c r="BSV92" s="67"/>
      <c r="BSW92" s="67"/>
      <c r="BSX92" s="29"/>
      <c r="BSY92" s="133"/>
      <c r="BSZ92" s="29"/>
      <c r="BTA92" s="29"/>
      <c r="BTB92" s="29"/>
      <c r="BTC92" s="29"/>
      <c r="BTD92" s="29"/>
      <c r="BTE92" s="138"/>
      <c r="BTF92" s="29"/>
      <c r="BTG92" s="29"/>
      <c r="BTH92" s="29"/>
      <c r="BTI92" s="29"/>
      <c r="BTJ92" s="29"/>
      <c r="BTK92" s="75"/>
      <c r="BTL92" s="29"/>
      <c r="BTM92" s="29"/>
      <c r="BTN92" s="29"/>
      <c r="BTO92" s="29"/>
      <c r="BTP92" s="29"/>
      <c r="BTQ92" s="138"/>
      <c r="BTR92" s="29"/>
      <c r="BTS92" s="29"/>
      <c r="BTT92" s="29"/>
      <c r="BTU92" s="29"/>
      <c r="BTV92" s="29"/>
      <c r="BTW92" s="75"/>
      <c r="BTX92" s="67"/>
      <c r="BTY92" s="67"/>
      <c r="BTZ92" s="67"/>
      <c r="BUA92" s="67"/>
      <c r="BUB92" s="29"/>
      <c r="BUC92" s="138"/>
      <c r="BUD92" s="29"/>
      <c r="BUE92" s="29"/>
      <c r="BUF92" s="29"/>
      <c r="BUG92" s="29"/>
      <c r="BUH92" s="29"/>
      <c r="BUI92" s="75"/>
      <c r="BUJ92" s="29"/>
      <c r="BUK92" s="29"/>
      <c r="BUL92" s="29"/>
      <c r="BUM92" s="29"/>
      <c r="BUN92" s="29"/>
      <c r="BUO92" s="138"/>
      <c r="BUP92" s="29"/>
      <c r="BUQ92" s="29"/>
      <c r="BUR92" s="29"/>
      <c r="BUS92" s="29"/>
      <c r="BUT92" s="29"/>
      <c r="BUU92" s="75"/>
      <c r="BUV92" s="29"/>
      <c r="BUW92" s="29"/>
      <c r="BUX92" s="29"/>
      <c r="BUY92" s="29"/>
      <c r="BUZ92" s="29"/>
      <c r="BVA92" s="30"/>
      <c r="BVB92" s="90"/>
    </row>
    <row r="93" spans="1:1926" ht="20.100000000000001" customHeight="1" x14ac:dyDescent="0.25">
      <c r="A93" s="100" t="s">
        <v>20</v>
      </c>
      <c r="B93" s="63"/>
      <c r="C93" s="180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32"/>
      <c r="BOE93" s="64"/>
      <c r="BOF93" s="64"/>
      <c r="BOG93" s="64"/>
      <c r="BOH93" s="33"/>
      <c r="BOI93" s="132"/>
      <c r="BOJ93" s="33"/>
      <c r="BOK93" s="33"/>
      <c r="BOL93" s="33"/>
      <c r="BOM93" s="33"/>
      <c r="BON93" s="33"/>
      <c r="BOO93" s="137"/>
      <c r="BOP93" s="33"/>
      <c r="BOQ93" s="33"/>
      <c r="BOR93" s="33"/>
      <c r="BOS93" s="33"/>
      <c r="BOT93" s="33"/>
      <c r="BOU93" s="74"/>
      <c r="BOV93" s="33"/>
      <c r="BOW93" s="33"/>
      <c r="BOX93" s="33"/>
      <c r="BOY93" s="33"/>
      <c r="BOZ93" s="33"/>
      <c r="BPA93" s="137"/>
      <c r="BPB93" s="33"/>
      <c r="BPC93" s="33"/>
      <c r="BPD93" s="33"/>
      <c r="BPE93" s="33"/>
      <c r="BPF93" s="33"/>
      <c r="BPG93" s="74"/>
      <c r="BPH93" s="64"/>
      <c r="BPI93" s="64"/>
      <c r="BPJ93" s="64"/>
      <c r="BPK93" s="64"/>
      <c r="BPL93" s="33"/>
      <c r="BPM93" s="137"/>
      <c r="BPN93" s="33"/>
      <c r="BPO93" s="33"/>
      <c r="BPP93" s="33"/>
      <c r="BPQ93" s="33"/>
      <c r="BPR93" s="33"/>
      <c r="BPS93" s="74"/>
      <c r="BPT93" s="33"/>
      <c r="BPU93" s="33"/>
      <c r="BPV93" s="33"/>
      <c r="BPW93" s="33"/>
      <c r="BPX93" s="33"/>
      <c r="BPY93" s="137"/>
      <c r="BPZ93" s="33"/>
      <c r="BQA93" s="33"/>
      <c r="BQB93" s="33"/>
      <c r="BQC93" s="33"/>
      <c r="BQD93" s="33"/>
      <c r="BQE93" s="74"/>
      <c r="BQF93" s="33"/>
      <c r="BQG93" s="33"/>
      <c r="BQH93" s="33"/>
      <c r="BQI93" s="33"/>
      <c r="BQJ93" s="33"/>
      <c r="BQK93" s="34"/>
      <c r="BQL93" s="32"/>
      <c r="BQM93" s="64"/>
      <c r="BQN93" s="64"/>
      <c r="BQO93" s="64"/>
      <c r="BQP93" s="33"/>
      <c r="BQQ93" s="132"/>
      <c r="BQR93" s="33"/>
      <c r="BQS93" s="33"/>
      <c r="BQT93" s="33"/>
      <c r="BQU93" s="33"/>
      <c r="BQV93" s="33"/>
      <c r="BQW93" s="137"/>
      <c r="BQX93" s="33"/>
      <c r="BQY93" s="33"/>
      <c r="BQZ93" s="33"/>
      <c r="BRA93" s="33"/>
      <c r="BRB93" s="33"/>
      <c r="BRC93" s="74"/>
      <c r="BRD93" s="33"/>
      <c r="BRE93" s="33"/>
      <c r="BRF93" s="33"/>
      <c r="BRG93" s="33"/>
      <c r="BRH93" s="33"/>
      <c r="BRI93" s="137"/>
      <c r="BRJ93" s="33"/>
      <c r="BRK93" s="33"/>
      <c r="BRL93" s="33"/>
      <c r="BRM93" s="33"/>
      <c r="BRN93" s="33"/>
      <c r="BRO93" s="74"/>
      <c r="BRP93" s="64"/>
      <c r="BRQ93" s="64"/>
      <c r="BRR93" s="64"/>
      <c r="BRS93" s="64"/>
      <c r="BRT93" s="33"/>
      <c r="BRU93" s="137"/>
      <c r="BRV93" s="33"/>
      <c r="BRW93" s="33"/>
      <c r="BRX93" s="33"/>
      <c r="BRY93" s="33"/>
      <c r="BRZ93" s="33"/>
      <c r="BSA93" s="74"/>
      <c r="BSB93" s="33"/>
      <c r="BSC93" s="33"/>
      <c r="BSD93" s="33"/>
      <c r="BSE93" s="33"/>
      <c r="BSF93" s="33"/>
      <c r="BSG93" s="137"/>
      <c r="BSH93" s="33"/>
      <c r="BSI93" s="33"/>
      <c r="BSJ93" s="33"/>
      <c r="BSK93" s="33"/>
      <c r="BSL93" s="33"/>
      <c r="BSM93" s="74"/>
      <c r="BSN93" s="33"/>
      <c r="BSO93" s="33"/>
      <c r="BSP93" s="33"/>
      <c r="BSQ93" s="33"/>
      <c r="BSR93" s="33"/>
      <c r="BSS93" s="34"/>
      <c r="BST93" s="32"/>
      <c r="BSU93" s="64"/>
      <c r="BSV93" s="64"/>
      <c r="BSW93" s="64"/>
      <c r="BSX93" s="33"/>
      <c r="BSY93" s="132"/>
      <c r="BSZ93" s="33"/>
      <c r="BTA93" s="33"/>
      <c r="BTB93" s="33"/>
      <c r="BTC93" s="33"/>
      <c r="BTD93" s="33"/>
      <c r="BTE93" s="137"/>
      <c r="BTF93" s="33"/>
      <c r="BTG93" s="33"/>
      <c r="BTH93" s="33"/>
      <c r="BTI93" s="33"/>
      <c r="BTJ93" s="33"/>
      <c r="BTK93" s="74"/>
      <c r="BTL93" s="33"/>
      <c r="BTM93" s="33"/>
      <c r="BTN93" s="33"/>
      <c r="BTO93" s="33"/>
      <c r="BTP93" s="33"/>
      <c r="BTQ93" s="137"/>
      <c r="BTR93" s="33"/>
      <c r="BTS93" s="33"/>
      <c r="BTT93" s="33"/>
      <c r="BTU93" s="33"/>
      <c r="BTV93" s="33"/>
      <c r="BTW93" s="74"/>
      <c r="BTX93" s="64"/>
      <c r="BTY93" s="64"/>
      <c r="BTZ93" s="64"/>
      <c r="BUA93" s="64"/>
      <c r="BUB93" s="33"/>
      <c r="BUC93" s="137"/>
      <c r="BUD93" s="33"/>
      <c r="BUE93" s="33"/>
      <c r="BUF93" s="33"/>
      <c r="BUG93" s="33"/>
      <c r="BUH93" s="33"/>
      <c r="BUI93" s="74"/>
      <c r="BUJ93" s="33"/>
      <c r="BUK93" s="33"/>
      <c r="BUL93" s="33"/>
      <c r="BUM93" s="33"/>
      <c r="BUN93" s="33"/>
      <c r="BUO93" s="137"/>
      <c r="BUP93" s="33"/>
      <c r="BUQ93" s="33"/>
      <c r="BUR93" s="33"/>
      <c r="BUS93" s="33"/>
      <c r="BUT93" s="33"/>
      <c r="BUU93" s="74"/>
      <c r="BUV93" s="33"/>
      <c r="BUW93" s="33"/>
      <c r="BUX93" s="33"/>
      <c r="BUY93" s="33"/>
      <c r="BUZ93" s="33"/>
      <c r="BVA93" s="34"/>
      <c r="BVB93" s="90"/>
    </row>
    <row r="94" spans="1:1926" ht="20.100000000000001" customHeight="1" x14ac:dyDescent="0.25">
      <c r="A94" s="100" t="s">
        <v>21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36"/>
      <c r="BOE94" s="65"/>
      <c r="BOF94" s="65"/>
      <c r="BOG94" s="65"/>
      <c r="BOH94" s="37"/>
      <c r="BOI94" s="133"/>
      <c r="BOJ94" s="37"/>
      <c r="BOK94" s="37"/>
      <c r="BOL94" s="37"/>
      <c r="BOM94" s="37"/>
      <c r="BON94" s="37"/>
      <c r="BOO94" s="138"/>
      <c r="BOP94" s="37"/>
      <c r="BOQ94" s="37"/>
      <c r="BOR94" s="37"/>
      <c r="BOS94" s="37"/>
      <c r="BOT94" s="37"/>
      <c r="BOU94" s="75"/>
      <c r="BOV94" s="37"/>
      <c r="BOW94" s="37"/>
      <c r="BOX94" s="37"/>
      <c r="BOY94" s="37"/>
      <c r="BOZ94" s="37"/>
      <c r="BPA94" s="138"/>
      <c r="BPB94" s="37"/>
      <c r="BPC94" s="37"/>
      <c r="BPD94" s="37"/>
      <c r="BPE94" s="37"/>
      <c r="BPF94" s="37"/>
      <c r="BPG94" s="75"/>
      <c r="BPH94" s="65"/>
      <c r="BPI94" s="65"/>
      <c r="BPJ94" s="65"/>
      <c r="BPK94" s="65"/>
      <c r="BPL94" s="37"/>
      <c r="BPM94" s="138"/>
      <c r="BPN94" s="37"/>
      <c r="BPO94" s="37"/>
      <c r="BPP94" s="37"/>
      <c r="BPQ94" s="37"/>
      <c r="BPR94" s="37"/>
      <c r="BPS94" s="75"/>
      <c r="BPT94" s="37"/>
      <c r="BPU94" s="37"/>
      <c r="BPV94" s="37"/>
      <c r="BPW94" s="37"/>
      <c r="BPX94" s="37"/>
      <c r="BPY94" s="138"/>
      <c r="BPZ94" s="37"/>
      <c r="BQA94" s="37"/>
      <c r="BQB94" s="37"/>
      <c r="BQC94" s="37"/>
      <c r="BQD94" s="37"/>
      <c r="BQE94" s="75"/>
      <c r="BQF94" s="37"/>
      <c r="BQG94" s="37"/>
      <c r="BQH94" s="37"/>
      <c r="BQI94" s="37"/>
      <c r="BQJ94" s="37"/>
      <c r="BQK94" s="38"/>
      <c r="BQL94" s="36"/>
      <c r="BQM94" s="65"/>
      <c r="BQN94" s="65"/>
      <c r="BQO94" s="65"/>
      <c r="BQP94" s="37"/>
      <c r="BQQ94" s="133"/>
      <c r="BQR94" s="37"/>
      <c r="BQS94" s="37"/>
      <c r="BQT94" s="37"/>
      <c r="BQU94" s="37"/>
      <c r="BQV94" s="37"/>
      <c r="BQW94" s="138"/>
      <c r="BQX94" s="37"/>
      <c r="BQY94" s="37"/>
      <c r="BQZ94" s="37"/>
      <c r="BRA94" s="37"/>
      <c r="BRB94" s="37"/>
      <c r="BRC94" s="75"/>
      <c r="BRD94" s="37"/>
      <c r="BRE94" s="37"/>
      <c r="BRF94" s="37"/>
      <c r="BRG94" s="37"/>
      <c r="BRH94" s="37"/>
      <c r="BRI94" s="138"/>
      <c r="BRJ94" s="37"/>
      <c r="BRK94" s="37"/>
      <c r="BRL94" s="37"/>
      <c r="BRM94" s="37"/>
      <c r="BRN94" s="37"/>
      <c r="BRO94" s="75"/>
      <c r="BRP94" s="65"/>
      <c r="BRQ94" s="65"/>
      <c r="BRR94" s="65"/>
      <c r="BRS94" s="65"/>
      <c r="BRT94" s="37"/>
      <c r="BRU94" s="138"/>
      <c r="BRV94" s="37"/>
      <c r="BRW94" s="37"/>
      <c r="BRX94" s="37"/>
      <c r="BRY94" s="37"/>
      <c r="BRZ94" s="37"/>
      <c r="BSA94" s="75"/>
      <c r="BSB94" s="37"/>
      <c r="BSC94" s="37"/>
      <c r="BSD94" s="37"/>
      <c r="BSE94" s="37"/>
      <c r="BSF94" s="37"/>
      <c r="BSG94" s="138"/>
      <c r="BSH94" s="37"/>
      <c r="BSI94" s="37"/>
      <c r="BSJ94" s="37"/>
      <c r="BSK94" s="37"/>
      <c r="BSL94" s="37"/>
      <c r="BSM94" s="75"/>
      <c r="BSN94" s="37"/>
      <c r="BSO94" s="37"/>
      <c r="BSP94" s="37"/>
      <c r="BSQ94" s="37"/>
      <c r="BSR94" s="37"/>
      <c r="BSS94" s="38"/>
      <c r="BST94" s="36"/>
      <c r="BSU94" s="65"/>
      <c r="BSV94" s="65"/>
      <c r="BSW94" s="65"/>
      <c r="BSX94" s="37"/>
      <c r="BSY94" s="133"/>
      <c r="BSZ94" s="37"/>
      <c r="BTA94" s="37"/>
      <c r="BTB94" s="37"/>
      <c r="BTC94" s="37"/>
      <c r="BTD94" s="37"/>
      <c r="BTE94" s="138"/>
      <c r="BTF94" s="37"/>
      <c r="BTG94" s="37"/>
      <c r="BTH94" s="37"/>
      <c r="BTI94" s="37"/>
      <c r="BTJ94" s="37"/>
      <c r="BTK94" s="75"/>
      <c r="BTL94" s="37"/>
      <c r="BTM94" s="37"/>
      <c r="BTN94" s="37"/>
      <c r="BTO94" s="37"/>
      <c r="BTP94" s="37"/>
      <c r="BTQ94" s="138"/>
      <c r="BTR94" s="37"/>
      <c r="BTS94" s="37"/>
      <c r="BTT94" s="37"/>
      <c r="BTU94" s="37"/>
      <c r="BTV94" s="37"/>
      <c r="BTW94" s="75"/>
      <c r="BTX94" s="65"/>
      <c r="BTY94" s="65"/>
      <c r="BTZ94" s="65"/>
      <c r="BUA94" s="65"/>
      <c r="BUB94" s="37"/>
      <c r="BUC94" s="138"/>
      <c r="BUD94" s="37"/>
      <c r="BUE94" s="37"/>
      <c r="BUF94" s="37"/>
      <c r="BUG94" s="37"/>
      <c r="BUH94" s="37"/>
      <c r="BUI94" s="75"/>
      <c r="BUJ94" s="37"/>
      <c r="BUK94" s="37"/>
      <c r="BUL94" s="37"/>
      <c r="BUM94" s="37"/>
      <c r="BUN94" s="37"/>
      <c r="BUO94" s="138"/>
      <c r="BUP94" s="37"/>
      <c r="BUQ94" s="37"/>
      <c r="BUR94" s="37"/>
      <c r="BUS94" s="37"/>
      <c r="BUT94" s="37"/>
      <c r="BUU94" s="75"/>
      <c r="BUV94" s="37"/>
      <c r="BUW94" s="37"/>
      <c r="BUX94" s="37"/>
      <c r="BUY94" s="37"/>
      <c r="BUZ94" s="37"/>
      <c r="BVA94" s="38"/>
      <c r="BVB94" s="90"/>
    </row>
    <row r="95" spans="1:1926" ht="20.100000000000001" customHeight="1" x14ac:dyDescent="0.25">
      <c r="B95" s="96"/>
      <c r="C95" s="172" t="s">
        <v>9</v>
      </c>
      <c r="D95" s="173"/>
      <c r="E95" s="117">
        <f>SUM(E15,E17,E19,E21,E23,E25,E27,E29,E31,E33,E35,E37,E39,E41,E43,E45,E47,E49,E51,E53,E55,E57,E59,E61,E63,E65,E67,E69,E71,E73,E75,E77,E79,E81,E83,E85,E87,E89,E91,E93)</f>
        <v>627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70"/>
      <c r="BOE95" s="69"/>
      <c r="BOF95" s="69"/>
      <c r="BOG95" s="69"/>
      <c r="BOH95" s="69"/>
      <c r="BOI95" s="69"/>
      <c r="BOJ95" s="69"/>
      <c r="BOK95" s="69"/>
      <c r="BOL95" s="69"/>
      <c r="BOM95" s="69"/>
      <c r="BON95" s="69"/>
      <c r="BOO95" s="69"/>
      <c r="BOP95" s="69"/>
      <c r="BOQ95" s="69"/>
      <c r="BOR95" s="69"/>
      <c r="BOS95" s="69"/>
      <c r="BOT95" s="69"/>
      <c r="BOU95" s="69"/>
      <c r="BOV95" s="69"/>
      <c r="BOW95" s="69"/>
      <c r="BOX95" s="69"/>
      <c r="BOY95" s="69"/>
      <c r="BOZ95" s="69"/>
      <c r="BPA95" s="69"/>
      <c r="BPB95" s="69"/>
      <c r="BPC95" s="69"/>
      <c r="BPD95" s="69"/>
      <c r="BPE95" s="69"/>
      <c r="BPF95" s="69"/>
      <c r="BPG95" s="69"/>
      <c r="BPH95" s="69"/>
      <c r="BPI95" s="69"/>
      <c r="BPJ95" s="69"/>
      <c r="BPK95" s="69"/>
      <c r="BPL95" s="69"/>
      <c r="BPM95" s="69"/>
      <c r="BPN95" s="69"/>
      <c r="BPO95" s="69"/>
      <c r="BPP95" s="69"/>
      <c r="BPQ95" s="69"/>
      <c r="BPR95" s="69"/>
      <c r="BPS95" s="69"/>
      <c r="BPT95" s="69"/>
      <c r="BPU95" s="69"/>
      <c r="BPV95" s="69"/>
      <c r="BPW95" s="69"/>
      <c r="BPX95" s="69"/>
      <c r="BPY95" s="69"/>
      <c r="BPZ95" s="69"/>
      <c r="BQA95" s="69"/>
      <c r="BQB95" s="69"/>
      <c r="BQC95" s="69"/>
      <c r="BQD95" s="69"/>
      <c r="BQE95" s="69"/>
      <c r="BQF95" s="69"/>
      <c r="BQG95" s="69"/>
      <c r="BQH95" s="69"/>
      <c r="BQI95" s="69"/>
      <c r="BQJ95" s="69"/>
      <c r="BQK95" s="85"/>
      <c r="BQL95" s="70"/>
      <c r="BQM95" s="69"/>
      <c r="BQN95" s="69"/>
      <c r="BQO95" s="69"/>
      <c r="BQP95" s="69"/>
      <c r="BQQ95" s="69"/>
      <c r="BQR95" s="69"/>
      <c r="BQS95" s="69"/>
      <c r="BQT95" s="69"/>
      <c r="BQU95" s="69"/>
      <c r="BQV95" s="69"/>
      <c r="BQW95" s="69"/>
      <c r="BQX95" s="69"/>
      <c r="BQY95" s="69"/>
      <c r="BQZ95" s="69"/>
      <c r="BRA95" s="69"/>
      <c r="BRB95" s="69"/>
      <c r="BRC95" s="69"/>
      <c r="BRD95" s="69"/>
      <c r="BRE95" s="69"/>
      <c r="BRF95" s="69"/>
      <c r="BRG95" s="69"/>
      <c r="BRH95" s="69"/>
      <c r="BRI95" s="69"/>
      <c r="BRJ95" s="69"/>
      <c r="BRK95" s="69"/>
      <c r="BRL95" s="69"/>
      <c r="BRM95" s="69"/>
      <c r="BRN95" s="69"/>
      <c r="BRO95" s="69"/>
      <c r="BRP95" s="69"/>
      <c r="BRQ95" s="69"/>
      <c r="BRR95" s="69"/>
      <c r="BRS95" s="69"/>
      <c r="BRT95" s="69"/>
      <c r="BRU95" s="69"/>
      <c r="BRV95" s="69"/>
      <c r="BRW95" s="69"/>
      <c r="BRX95" s="69"/>
      <c r="BRY95" s="69"/>
      <c r="BRZ95" s="69"/>
      <c r="BSA95" s="69"/>
      <c r="BSB95" s="69"/>
      <c r="BSC95" s="69"/>
      <c r="BSD95" s="69"/>
      <c r="BSE95" s="69"/>
      <c r="BSF95" s="69"/>
      <c r="BSG95" s="69"/>
      <c r="BSH95" s="69"/>
      <c r="BSI95" s="69"/>
      <c r="BSJ95" s="69"/>
      <c r="BSK95" s="69"/>
      <c r="BSL95" s="69"/>
      <c r="BSM95" s="69"/>
      <c r="BSN95" s="69"/>
      <c r="BSO95" s="69"/>
      <c r="BSP95" s="69"/>
      <c r="BSQ95" s="69"/>
      <c r="BSR95" s="69"/>
      <c r="BSS95" s="85"/>
      <c r="BST95" s="70"/>
      <c r="BSU95" s="69"/>
      <c r="BSV95" s="69"/>
      <c r="BSW95" s="69"/>
      <c r="BSX95" s="69"/>
      <c r="BSY95" s="69"/>
      <c r="BSZ95" s="69"/>
      <c r="BTA95" s="69"/>
      <c r="BTB95" s="69"/>
      <c r="BTC95" s="69"/>
      <c r="BTD95" s="69"/>
      <c r="BTE95" s="69"/>
      <c r="BTF95" s="69"/>
      <c r="BTG95" s="69"/>
      <c r="BTH95" s="69"/>
      <c r="BTI95" s="69"/>
      <c r="BTJ95" s="69"/>
      <c r="BTK95" s="69"/>
      <c r="BTL95" s="69"/>
      <c r="BTM95" s="69"/>
      <c r="BTN95" s="69"/>
      <c r="BTO95" s="69"/>
      <c r="BTP95" s="69"/>
      <c r="BTQ95" s="69"/>
      <c r="BTR95" s="69"/>
      <c r="BTS95" s="69"/>
      <c r="BTT95" s="69"/>
      <c r="BTU95" s="69"/>
      <c r="BTV95" s="69"/>
      <c r="BTW95" s="69"/>
      <c r="BTX95" s="69"/>
      <c r="BTY95" s="69"/>
      <c r="BTZ95" s="69"/>
      <c r="BUA95" s="69"/>
      <c r="BUB95" s="69"/>
      <c r="BUC95" s="69"/>
      <c r="BUD95" s="69"/>
      <c r="BUE95" s="69"/>
      <c r="BUF95" s="69"/>
      <c r="BUG95" s="69"/>
      <c r="BUH95" s="69"/>
      <c r="BUI95" s="69"/>
      <c r="BUJ95" s="69"/>
      <c r="BUK95" s="69"/>
      <c r="BUL95" s="69"/>
      <c r="BUM95" s="69"/>
      <c r="BUN95" s="69"/>
      <c r="BUO95" s="69"/>
      <c r="BUP95" s="69"/>
      <c r="BUQ95" s="69"/>
      <c r="BUR95" s="69"/>
      <c r="BUS95" s="69"/>
      <c r="BUT95" s="69"/>
      <c r="BUU95" s="69"/>
      <c r="BUV95" s="69"/>
      <c r="BUW95" s="69"/>
      <c r="BUX95" s="69"/>
      <c r="BUY95" s="69"/>
      <c r="BUZ95" s="69"/>
      <c r="BVA95" s="85"/>
      <c r="BVB95" s="90"/>
    </row>
    <row r="96" spans="1:1926" ht="20.100000000000001" customHeight="1" thickBot="1" x14ac:dyDescent="0.3">
      <c r="B96" s="96"/>
      <c r="C96" s="174"/>
      <c r="D96" s="175"/>
      <c r="E96" s="123" t="str">
        <f xml:space="preserve"> setValueToTime(E95)</f>
        <v>52h15min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112"/>
      <c r="BOE96" s="113"/>
      <c r="BOF96" s="113"/>
      <c r="BOG96" s="113"/>
      <c r="BOH96" s="113"/>
      <c r="BOI96" s="113"/>
      <c r="BOJ96" s="113"/>
      <c r="BOK96" s="113"/>
      <c r="BOL96" s="113"/>
      <c r="BOM96" s="113"/>
      <c r="BON96" s="113"/>
      <c r="BOO96" s="113"/>
      <c r="BOP96" s="113"/>
      <c r="BOQ96" s="113"/>
      <c r="BOR96" s="113"/>
      <c r="BOS96" s="113"/>
      <c r="BOT96" s="113"/>
      <c r="BOU96" s="113"/>
      <c r="BOV96" s="113"/>
      <c r="BOW96" s="113"/>
      <c r="BOX96" s="113"/>
      <c r="BOY96" s="113"/>
      <c r="BOZ96" s="113"/>
      <c r="BPA96" s="113"/>
      <c r="BPB96" s="113"/>
      <c r="BPC96" s="113"/>
      <c r="BPD96" s="113"/>
      <c r="BPE96" s="113"/>
      <c r="BPF96" s="113"/>
      <c r="BPG96" s="113"/>
      <c r="BPH96" s="113"/>
      <c r="BPI96" s="113"/>
      <c r="BPJ96" s="113"/>
      <c r="BPK96" s="113"/>
      <c r="BPL96" s="113"/>
      <c r="BPM96" s="113"/>
      <c r="BPN96" s="113"/>
      <c r="BPO96" s="113"/>
      <c r="BPP96" s="113"/>
      <c r="BPQ96" s="113"/>
      <c r="BPR96" s="113"/>
      <c r="BPS96" s="113"/>
      <c r="BPT96" s="113"/>
      <c r="BPU96" s="113"/>
      <c r="BPV96" s="113"/>
      <c r="BPW96" s="113"/>
      <c r="BPX96" s="113"/>
      <c r="BPY96" s="113"/>
      <c r="BPZ96" s="113"/>
      <c r="BQA96" s="113"/>
      <c r="BQB96" s="113"/>
      <c r="BQC96" s="113"/>
      <c r="BQD96" s="113"/>
      <c r="BQE96" s="113"/>
      <c r="BQF96" s="113"/>
      <c r="BQG96" s="113"/>
      <c r="BQH96" s="113"/>
      <c r="BQI96" s="113"/>
      <c r="BQJ96" s="113"/>
      <c r="BQK96" s="114"/>
      <c r="BQL96" s="112"/>
      <c r="BQM96" s="113"/>
      <c r="BQN96" s="113"/>
      <c r="BQO96" s="113"/>
      <c r="BQP96" s="113"/>
      <c r="BQQ96" s="113"/>
      <c r="BQR96" s="113"/>
      <c r="BQS96" s="113"/>
      <c r="BQT96" s="113"/>
      <c r="BQU96" s="113"/>
      <c r="BQV96" s="113"/>
      <c r="BQW96" s="113"/>
      <c r="BQX96" s="113"/>
      <c r="BQY96" s="113"/>
      <c r="BQZ96" s="113"/>
      <c r="BRA96" s="113"/>
      <c r="BRB96" s="113"/>
      <c r="BRC96" s="113"/>
      <c r="BRD96" s="113"/>
      <c r="BRE96" s="113"/>
      <c r="BRF96" s="113"/>
      <c r="BRG96" s="113"/>
      <c r="BRH96" s="113"/>
      <c r="BRI96" s="113"/>
      <c r="BRJ96" s="113"/>
      <c r="BRK96" s="113"/>
      <c r="BRL96" s="113"/>
      <c r="BRM96" s="113"/>
      <c r="BRN96" s="113"/>
      <c r="BRO96" s="113"/>
      <c r="BRP96" s="113"/>
      <c r="BRQ96" s="113"/>
      <c r="BRR96" s="113"/>
      <c r="BRS96" s="113"/>
      <c r="BRT96" s="113"/>
      <c r="BRU96" s="113"/>
      <c r="BRV96" s="113"/>
      <c r="BRW96" s="113"/>
      <c r="BRX96" s="113"/>
      <c r="BRY96" s="113"/>
      <c r="BRZ96" s="113"/>
      <c r="BSA96" s="113"/>
      <c r="BSB96" s="113"/>
      <c r="BSC96" s="113"/>
      <c r="BSD96" s="113"/>
      <c r="BSE96" s="113"/>
      <c r="BSF96" s="113"/>
      <c r="BSG96" s="113"/>
      <c r="BSH96" s="113"/>
      <c r="BSI96" s="113"/>
      <c r="BSJ96" s="113"/>
      <c r="BSK96" s="113"/>
      <c r="BSL96" s="113"/>
      <c r="BSM96" s="113"/>
      <c r="BSN96" s="113"/>
      <c r="BSO96" s="113"/>
      <c r="BSP96" s="113"/>
      <c r="BSQ96" s="113"/>
      <c r="BSR96" s="113"/>
      <c r="BSS96" s="114"/>
      <c r="BST96" s="112"/>
      <c r="BSU96" s="113"/>
      <c r="BSV96" s="113"/>
      <c r="BSW96" s="113"/>
      <c r="BSX96" s="113"/>
      <c r="BSY96" s="113"/>
      <c r="BSZ96" s="113"/>
      <c r="BTA96" s="113"/>
      <c r="BTB96" s="113"/>
      <c r="BTC96" s="113"/>
      <c r="BTD96" s="113"/>
      <c r="BTE96" s="113"/>
      <c r="BTF96" s="113"/>
      <c r="BTG96" s="113"/>
      <c r="BTH96" s="113"/>
      <c r="BTI96" s="113"/>
      <c r="BTJ96" s="113"/>
      <c r="BTK96" s="113"/>
      <c r="BTL96" s="113"/>
      <c r="BTM96" s="113"/>
      <c r="BTN96" s="113"/>
      <c r="BTO96" s="113"/>
      <c r="BTP96" s="113"/>
      <c r="BTQ96" s="113"/>
      <c r="BTR96" s="113"/>
      <c r="BTS96" s="113"/>
      <c r="BTT96" s="113"/>
      <c r="BTU96" s="113"/>
      <c r="BTV96" s="113"/>
      <c r="BTW96" s="113"/>
      <c r="BTX96" s="113"/>
      <c r="BTY96" s="113"/>
      <c r="BTZ96" s="113"/>
      <c r="BUA96" s="113"/>
      <c r="BUB96" s="113"/>
      <c r="BUC96" s="113"/>
      <c r="BUD96" s="113"/>
      <c r="BUE96" s="113"/>
      <c r="BUF96" s="113"/>
      <c r="BUG96" s="113"/>
      <c r="BUH96" s="113"/>
      <c r="BUI96" s="113"/>
      <c r="BUJ96" s="113"/>
      <c r="BUK96" s="113"/>
      <c r="BUL96" s="113"/>
      <c r="BUM96" s="113"/>
      <c r="BUN96" s="113"/>
      <c r="BUO96" s="113"/>
      <c r="BUP96" s="113"/>
      <c r="BUQ96" s="113"/>
      <c r="BUR96" s="113"/>
      <c r="BUS96" s="113"/>
      <c r="BUT96" s="113"/>
      <c r="BUU96" s="113"/>
      <c r="BUV96" s="113"/>
      <c r="BUW96" s="113"/>
      <c r="BUX96" s="113"/>
      <c r="BUY96" s="113"/>
      <c r="BUZ96" s="113"/>
      <c r="BVA96" s="114"/>
      <c r="BVB96" s="90"/>
    </row>
    <row r="97" spans="2:1926" ht="20.100000000000001" customHeight="1" x14ac:dyDescent="0.25">
      <c r="B97" s="96"/>
      <c r="C97" s="176" t="s">
        <v>10</v>
      </c>
      <c r="D97" s="17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15"/>
      <c r="BOE97" s="115"/>
      <c r="BOF97" s="115"/>
      <c r="BOG97" s="115"/>
      <c r="BOH97" s="115"/>
      <c r="BOI97" s="115"/>
      <c r="BOJ97" s="115"/>
      <c r="BOK97" s="115"/>
      <c r="BOL97" s="115"/>
      <c r="BOM97" s="115"/>
      <c r="BON97" s="115"/>
      <c r="BOO97" s="115"/>
      <c r="BOP97" s="115"/>
      <c r="BOQ97" s="115"/>
      <c r="BOR97" s="115"/>
      <c r="BOS97" s="115"/>
      <c r="BOT97" s="115"/>
      <c r="BOU97" s="115"/>
      <c r="BOV97" s="115"/>
      <c r="BOW97" s="115"/>
      <c r="BOX97" s="115"/>
      <c r="BOY97" s="115"/>
      <c r="BOZ97" s="115"/>
      <c r="BPA97" s="115"/>
      <c r="BPB97" s="115"/>
      <c r="BPC97" s="115"/>
      <c r="BPD97" s="115"/>
      <c r="BPE97" s="115"/>
      <c r="BPF97" s="115"/>
      <c r="BPG97" s="115"/>
      <c r="BPH97" s="115"/>
      <c r="BPI97" s="115"/>
      <c r="BPJ97" s="115"/>
      <c r="BPK97" s="115"/>
      <c r="BPL97" s="115"/>
      <c r="BPM97" s="115"/>
      <c r="BPN97" s="115"/>
      <c r="BPO97" s="115"/>
      <c r="BPP97" s="115"/>
      <c r="BPQ97" s="115"/>
      <c r="BPR97" s="115"/>
      <c r="BPS97" s="115"/>
      <c r="BPT97" s="115"/>
      <c r="BPU97" s="115"/>
      <c r="BPV97" s="115"/>
      <c r="BPW97" s="115"/>
      <c r="BPX97" s="115"/>
      <c r="BPY97" s="115"/>
      <c r="BPZ97" s="115"/>
      <c r="BQA97" s="115"/>
      <c r="BQB97" s="115"/>
      <c r="BQC97" s="115"/>
      <c r="BQD97" s="115"/>
      <c r="BQE97" s="115"/>
      <c r="BQF97" s="115"/>
      <c r="BQG97" s="115"/>
      <c r="BQH97" s="115"/>
      <c r="BQI97" s="115"/>
      <c r="BQJ97" s="115"/>
      <c r="BQK97" s="116"/>
      <c r="BQL97" s="115"/>
      <c r="BQM97" s="115"/>
      <c r="BQN97" s="115"/>
      <c r="BQO97" s="115"/>
      <c r="BQP97" s="115"/>
      <c r="BQQ97" s="115"/>
      <c r="BQR97" s="115"/>
      <c r="BQS97" s="115"/>
      <c r="BQT97" s="115"/>
      <c r="BQU97" s="115"/>
      <c r="BQV97" s="115"/>
      <c r="BQW97" s="115"/>
      <c r="BQX97" s="115"/>
      <c r="BQY97" s="115"/>
      <c r="BQZ97" s="115"/>
      <c r="BRA97" s="115"/>
      <c r="BRB97" s="115"/>
      <c r="BRC97" s="115"/>
      <c r="BRD97" s="115"/>
      <c r="BRE97" s="115"/>
      <c r="BRF97" s="115"/>
      <c r="BRG97" s="115"/>
      <c r="BRH97" s="115"/>
      <c r="BRI97" s="115"/>
      <c r="BRJ97" s="115"/>
      <c r="BRK97" s="115"/>
      <c r="BRL97" s="115"/>
      <c r="BRM97" s="115"/>
      <c r="BRN97" s="115"/>
      <c r="BRO97" s="115"/>
      <c r="BRP97" s="115"/>
      <c r="BRQ97" s="115"/>
      <c r="BRR97" s="115"/>
      <c r="BRS97" s="115"/>
      <c r="BRT97" s="115"/>
      <c r="BRU97" s="115"/>
      <c r="BRV97" s="115"/>
      <c r="BRW97" s="115"/>
      <c r="BRX97" s="115"/>
      <c r="BRY97" s="115"/>
      <c r="BRZ97" s="115"/>
      <c r="BSA97" s="115"/>
      <c r="BSB97" s="115"/>
      <c r="BSC97" s="115"/>
      <c r="BSD97" s="115"/>
      <c r="BSE97" s="115"/>
      <c r="BSF97" s="115"/>
      <c r="BSG97" s="115"/>
      <c r="BSH97" s="115"/>
      <c r="BSI97" s="115"/>
      <c r="BSJ97" s="115"/>
      <c r="BSK97" s="115"/>
      <c r="BSL97" s="115"/>
      <c r="BSM97" s="115"/>
      <c r="BSN97" s="115"/>
      <c r="BSO97" s="115"/>
      <c r="BSP97" s="115"/>
      <c r="BSQ97" s="115"/>
      <c r="BSR97" s="115"/>
      <c r="BSS97" s="116"/>
      <c r="BST97" s="115"/>
      <c r="BSU97" s="115"/>
      <c r="BSV97" s="115"/>
      <c r="BSW97" s="115"/>
      <c r="BSX97" s="115"/>
      <c r="BSY97" s="115"/>
      <c r="BSZ97" s="115"/>
      <c r="BTA97" s="115"/>
      <c r="BTB97" s="115"/>
      <c r="BTC97" s="115"/>
      <c r="BTD97" s="115"/>
      <c r="BTE97" s="115"/>
      <c r="BTF97" s="115"/>
      <c r="BTG97" s="115"/>
      <c r="BTH97" s="115"/>
      <c r="BTI97" s="115"/>
      <c r="BTJ97" s="115"/>
      <c r="BTK97" s="115"/>
      <c r="BTL97" s="115"/>
      <c r="BTM97" s="115"/>
      <c r="BTN97" s="115"/>
      <c r="BTO97" s="115"/>
      <c r="BTP97" s="115"/>
      <c r="BTQ97" s="115"/>
      <c r="BTR97" s="115"/>
      <c r="BTS97" s="115"/>
      <c r="BTT97" s="115"/>
      <c r="BTU97" s="115"/>
      <c r="BTV97" s="115"/>
      <c r="BTW97" s="115"/>
      <c r="BTX97" s="115"/>
      <c r="BTY97" s="115"/>
      <c r="BTZ97" s="115"/>
      <c r="BUA97" s="115"/>
      <c r="BUB97" s="115"/>
      <c r="BUC97" s="115"/>
      <c r="BUD97" s="115"/>
      <c r="BUE97" s="115"/>
      <c r="BUF97" s="115"/>
      <c r="BUG97" s="115"/>
      <c r="BUH97" s="115"/>
      <c r="BUI97" s="115"/>
      <c r="BUJ97" s="115"/>
      <c r="BUK97" s="115"/>
      <c r="BUL97" s="115"/>
      <c r="BUM97" s="115"/>
      <c r="BUN97" s="115"/>
      <c r="BUO97" s="115"/>
      <c r="BUP97" s="115"/>
      <c r="BUQ97" s="115"/>
      <c r="BUR97" s="115"/>
      <c r="BUS97" s="115"/>
      <c r="BUT97" s="115"/>
      <c r="BUU97" s="115"/>
      <c r="BUV97" s="115"/>
      <c r="BUW97" s="115"/>
      <c r="BUX97" s="115"/>
      <c r="BUY97" s="115"/>
      <c r="BUZ97" s="115"/>
      <c r="BVA97" s="116"/>
      <c r="BVB97" s="124"/>
    </row>
    <row r="98" spans="2:1926" ht="20.100000000000001" customHeight="1" thickBot="1" x14ac:dyDescent="0.3">
      <c r="B98" s="96"/>
      <c r="C98" s="178"/>
      <c r="D98" s="17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71"/>
      <c r="BOE98" s="71"/>
      <c r="BOF98" s="71"/>
      <c r="BOG98" s="71"/>
      <c r="BOH98" s="71"/>
      <c r="BOI98" s="71"/>
      <c r="BOJ98" s="71"/>
      <c r="BOK98" s="71"/>
      <c r="BOL98" s="71"/>
      <c r="BOM98" s="71"/>
      <c r="BON98" s="71"/>
      <c r="BOO98" s="71"/>
      <c r="BOP98" s="71"/>
      <c r="BOQ98" s="71"/>
      <c r="BOR98" s="71"/>
      <c r="BOS98" s="71"/>
      <c r="BOT98" s="71"/>
      <c r="BOU98" s="71"/>
      <c r="BOV98" s="71"/>
      <c r="BOW98" s="71"/>
      <c r="BOX98" s="71"/>
      <c r="BOY98" s="71"/>
      <c r="BOZ98" s="71"/>
      <c r="BPA98" s="71"/>
      <c r="BPB98" s="71"/>
      <c r="BPC98" s="71"/>
      <c r="BPD98" s="71"/>
      <c r="BPE98" s="71"/>
      <c r="BPF98" s="71"/>
      <c r="BPG98" s="71"/>
      <c r="BPH98" s="71"/>
      <c r="BPI98" s="71"/>
      <c r="BPJ98" s="71"/>
      <c r="BPK98" s="71"/>
      <c r="BPL98" s="71"/>
      <c r="BPM98" s="71"/>
      <c r="BPN98" s="71"/>
      <c r="BPO98" s="71"/>
      <c r="BPP98" s="71"/>
      <c r="BPQ98" s="71"/>
      <c r="BPR98" s="71"/>
      <c r="BPS98" s="71"/>
      <c r="BPT98" s="71"/>
      <c r="BPU98" s="71"/>
      <c r="BPV98" s="71"/>
      <c r="BPW98" s="71"/>
      <c r="BPX98" s="71"/>
      <c r="BPY98" s="71"/>
      <c r="BPZ98" s="71"/>
      <c r="BQA98" s="71"/>
      <c r="BQB98" s="71"/>
      <c r="BQC98" s="71"/>
      <c r="BQD98" s="71"/>
      <c r="BQE98" s="71"/>
      <c r="BQF98" s="71"/>
      <c r="BQG98" s="71"/>
      <c r="BQH98" s="71"/>
      <c r="BQI98" s="71"/>
      <c r="BQJ98" s="71"/>
      <c r="BQK98" s="86"/>
      <c r="BQL98" s="71"/>
      <c r="BQM98" s="71"/>
      <c r="BQN98" s="71"/>
      <c r="BQO98" s="71"/>
      <c r="BQP98" s="71"/>
      <c r="BQQ98" s="71"/>
      <c r="BQR98" s="71"/>
      <c r="BQS98" s="71"/>
      <c r="BQT98" s="71"/>
      <c r="BQU98" s="71"/>
      <c r="BQV98" s="71"/>
      <c r="BQW98" s="71"/>
      <c r="BQX98" s="71"/>
      <c r="BQY98" s="71"/>
      <c r="BQZ98" s="71"/>
      <c r="BRA98" s="71"/>
      <c r="BRB98" s="71"/>
      <c r="BRC98" s="71"/>
      <c r="BRD98" s="71"/>
      <c r="BRE98" s="71"/>
      <c r="BRF98" s="71"/>
      <c r="BRG98" s="71"/>
      <c r="BRH98" s="71"/>
      <c r="BRI98" s="71"/>
      <c r="BRJ98" s="71"/>
      <c r="BRK98" s="71"/>
      <c r="BRL98" s="71"/>
      <c r="BRM98" s="71"/>
      <c r="BRN98" s="71"/>
      <c r="BRO98" s="71"/>
      <c r="BRP98" s="71"/>
      <c r="BRQ98" s="71"/>
      <c r="BRR98" s="71"/>
      <c r="BRS98" s="71"/>
      <c r="BRT98" s="71"/>
      <c r="BRU98" s="71"/>
      <c r="BRV98" s="71"/>
      <c r="BRW98" s="71"/>
      <c r="BRX98" s="71"/>
      <c r="BRY98" s="71"/>
      <c r="BRZ98" s="71"/>
      <c r="BSA98" s="71"/>
      <c r="BSB98" s="71"/>
      <c r="BSC98" s="71"/>
      <c r="BSD98" s="71"/>
      <c r="BSE98" s="71"/>
      <c r="BSF98" s="71"/>
      <c r="BSG98" s="71"/>
      <c r="BSH98" s="71"/>
      <c r="BSI98" s="71"/>
      <c r="BSJ98" s="71"/>
      <c r="BSK98" s="71"/>
      <c r="BSL98" s="71"/>
      <c r="BSM98" s="71"/>
      <c r="BSN98" s="71"/>
      <c r="BSO98" s="71"/>
      <c r="BSP98" s="71"/>
      <c r="BSQ98" s="71"/>
      <c r="BSR98" s="71"/>
      <c r="BSS98" s="86"/>
      <c r="BST98" s="71"/>
      <c r="BSU98" s="71"/>
      <c r="BSV98" s="71"/>
      <c r="BSW98" s="71"/>
      <c r="BSX98" s="71"/>
      <c r="BSY98" s="71"/>
      <c r="BSZ98" s="71"/>
      <c r="BTA98" s="71"/>
      <c r="BTB98" s="71"/>
      <c r="BTC98" s="71"/>
      <c r="BTD98" s="71"/>
      <c r="BTE98" s="71"/>
      <c r="BTF98" s="71"/>
      <c r="BTG98" s="71"/>
      <c r="BTH98" s="71"/>
      <c r="BTI98" s="71"/>
      <c r="BTJ98" s="71"/>
      <c r="BTK98" s="71"/>
      <c r="BTL98" s="71"/>
      <c r="BTM98" s="71"/>
      <c r="BTN98" s="71"/>
      <c r="BTO98" s="71"/>
      <c r="BTP98" s="71"/>
      <c r="BTQ98" s="71"/>
      <c r="BTR98" s="71"/>
      <c r="BTS98" s="71"/>
      <c r="BTT98" s="71"/>
      <c r="BTU98" s="71"/>
      <c r="BTV98" s="71"/>
      <c r="BTW98" s="71"/>
      <c r="BTX98" s="71"/>
      <c r="BTY98" s="71"/>
      <c r="BTZ98" s="71"/>
      <c r="BUA98" s="71"/>
      <c r="BUB98" s="71"/>
      <c r="BUC98" s="71"/>
      <c r="BUD98" s="71"/>
      <c r="BUE98" s="71"/>
      <c r="BUF98" s="71"/>
      <c r="BUG98" s="71"/>
      <c r="BUH98" s="71"/>
      <c r="BUI98" s="71"/>
      <c r="BUJ98" s="71"/>
      <c r="BUK98" s="71"/>
      <c r="BUL98" s="71"/>
      <c r="BUM98" s="71"/>
      <c r="BUN98" s="71"/>
      <c r="BUO98" s="71"/>
      <c r="BUP98" s="71"/>
      <c r="BUQ98" s="71"/>
      <c r="BUR98" s="71"/>
      <c r="BUS98" s="71"/>
      <c r="BUT98" s="71"/>
      <c r="BUU98" s="71"/>
      <c r="BUV98" s="71"/>
      <c r="BUW98" s="71"/>
      <c r="BUX98" s="71"/>
      <c r="BUY98" s="71"/>
      <c r="BUZ98" s="71"/>
      <c r="BVA98" s="86"/>
      <c r="BVB98" s="90"/>
    </row>
    <row r="99" spans="2:19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89"/>
      <c r="BOE99" s="89"/>
      <c r="BOF99" s="89"/>
      <c r="BOG99" s="89"/>
      <c r="BOH99" s="89"/>
      <c r="BOI99" s="89"/>
      <c r="BOJ99" s="89"/>
      <c r="BOK99" s="89"/>
      <c r="BOL99" s="89"/>
      <c r="BOM99" s="89"/>
      <c r="BON99" s="89"/>
      <c r="BOO99" s="89"/>
      <c r="BOP99" s="89"/>
      <c r="BOQ99" s="89"/>
      <c r="BOR99" s="89"/>
      <c r="BOS99" s="89"/>
      <c r="BOT99" s="89"/>
      <c r="BOU99" s="89"/>
      <c r="BOV99" s="89"/>
      <c r="BOW99" s="89"/>
      <c r="BOX99" s="89"/>
      <c r="BOY99" s="89"/>
      <c r="BOZ99" s="89"/>
      <c r="BPA99" s="89"/>
      <c r="BPB99" s="89"/>
      <c r="BPC99" s="89"/>
      <c r="BPD99" s="89"/>
      <c r="BPE99" s="89"/>
      <c r="BPF99" s="89"/>
      <c r="BPG99" s="89"/>
      <c r="BPH99" s="89"/>
      <c r="BPI99" s="89"/>
      <c r="BPJ99" s="89"/>
      <c r="BPK99" s="89"/>
      <c r="BPL99" s="89"/>
      <c r="BPM99" s="89"/>
      <c r="BPN99" s="89"/>
      <c r="BPO99" s="89"/>
      <c r="BPP99" s="89"/>
      <c r="BPQ99" s="89"/>
      <c r="BPR99" s="89"/>
      <c r="BPS99" s="89"/>
      <c r="BPT99" s="89"/>
      <c r="BPU99" s="89"/>
      <c r="BPV99" s="89"/>
      <c r="BPW99" s="89"/>
      <c r="BPX99" s="89"/>
      <c r="BPY99" s="89"/>
      <c r="BPZ99" s="89"/>
      <c r="BQA99" s="89"/>
      <c r="BQB99" s="89"/>
      <c r="BQC99" s="89"/>
      <c r="BQD99" s="89"/>
      <c r="BQE99" s="89"/>
      <c r="BQF99" s="89"/>
      <c r="BQG99" s="89"/>
      <c r="BQH99" s="89"/>
      <c r="BQI99" s="89"/>
      <c r="BQJ99" s="89"/>
      <c r="BQK99" s="89"/>
      <c r="BQL99" s="89"/>
      <c r="BQM99" s="89"/>
      <c r="BQN99" s="89"/>
      <c r="BQO99" s="89"/>
      <c r="BQP99" s="89"/>
      <c r="BQQ99" s="89"/>
      <c r="BQR99" s="89"/>
      <c r="BQS99" s="89"/>
      <c r="BQT99" s="89"/>
      <c r="BQU99" s="89"/>
      <c r="BQV99" s="89"/>
      <c r="BQW99" s="89"/>
      <c r="BQX99" s="89"/>
      <c r="BQY99" s="89"/>
      <c r="BQZ99" s="89"/>
      <c r="BRA99" s="89"/>
      <c r="BRB99" s="89"/>
      <c r="BRC99" s="89"/>
      <c r="BRD99" s="89"/>
      <c r="BRE99" s="89"/>
      <c r="BRF99" s="89"/>
      <c r="BRG99" s="89"/>
      <c r="BRH99" s="89"/>
      <c r="BRI99" s="89"/>
      <c r="BRJ99" s="89"/>
      <c r="BRK99" s="89"/>
      <c r="BRL99" s="89"/>
      <c r="BRM99" s="89"/>
      <c r="BRN99" s="89"/>
      <c r="BRO99" s="89"/>
      <c r="BRP99" s="89"/>
      <c r="BRQ99" s="89"/>
      <c r="BRR99" s="89"/>
      <c r="BRS99" s="89"/>
      <c r="BRT99" s="89"/>
      <c r="BRU99" s="89"/>
      <c r="BRV99" s="89"/>
      <c r="BRW99" s="89"/>
      <c r="BRX99" s="89"/>
      <c r="BRY99" s="89"/>
      <c r="BRZ99" s="89"/>
      <c r="BSA99" s="89"/>
      <c r="BSB99" s="89"/>
      <c r="BSC99" s="89"/>
      <c r="BSD99" s="89"/>
      <c r="BSE99" s="89"/>
      <c r="BSF99" s="89"/>
      <c r="BSG99" s="89"/>
      <c r="BSH99" s="89"/>
      <c r="BSI99" s="89"/>
      <c r="BSJ99" s="89"/>
      <c r="BSK99" s="89"/>
      <c r="BSL99" s="89"/>
      <c r="BSM99" s="89"/>
      <c r="BSN99" s="89"/>
      <c r="BSO99" s="89"/>
      <c r="BSP99" s="89"/>
      <c r="BSQ99" s="89"/>
      <c r="BSR99" s="89"/>
      <c r="BSS99" s="89"/>
      <c r="BST99" s="89"/>
      <c r="BSU99" s="89"/>
      <c r="BSV99" s="89"/>
      <c r="BSW99" s="89"/>
      <c r="BSX99" s="89"/>
      <c r="BSY99" s="89"/>
      <c r="BSZ99" s="89"/>
      <c r="BTA99" s="89"/>
      <c r="BTB99" s="89"/>
      <c r="BTC99" s="89"/>
      <c r="BTD99" s="89"/>
      <c r="BTE99" s="89"/>
      <c r="BTF99" s="89"/>
      <c r="BTG99" s="89"/>
      <c r="BTH99" s="89"/>
      <c r="BTI99" s="89"/>
      <c r="BTJ99" s="89"/>
      <c r="BTK99" s="89"/>
      <c r="BTL99" s="89"/>
      <c r="BTM99" s="89"/>
      <c r="BTN99" s="89"/>
      <c r="BTO99" s="89"/>
      <c r="BTP99" s="89"/>
      <c r="BTQ99" s="89"/>
      <c r="BTR99" s="89"/>
      <c r="BTS99" s="89"/>
      <c r="BTT99" s="89"/>
      <c r="BTU99" s="89"/>
      <c r="BTV99" s="89"/>
      <c r="BTW99" s="89"/>
      <c r="BTX99" s="89"/>
      <c r="BTY99" s="89"/>
      <c r="BTZ99" s="89"/>
      <c r="BUA99" s="89"/>
      <c r="BUB99" s="89"/>
      <c r="BUC99" s="89"/>
      <c r="BUD99" s="89"/>
      <c r="BUE99" s="89"/>
      <c r="BUF99" s="89"/>
      <c r="BUG99" s="89"/>
      <c r="BUH99" s="89"/>
      <c r="BUI99" s="89"/>
      <c r="BUJ99" s="89"/>
      <c r="BUK99" s="89"/>
      <c r="BUL99" s="89"/>
      <c r="BUM99" s="89"/>
      <c r="BUN99" s="89"/>
      <c r="BUO99" s="89"/>
      <c r="BUP99" s="89"/>
      <c r="BUQ99" s="89"/>
      <c r="BUR99" s="89"/>
      <c r="BUS99" s="89"/>
      <c r="BUT99" s="89"/>
      <c r="BUU99" s="89"/>
      <c r="BUV99" s="89"/>
      <c r="BUW99" s="89"/>
      <c r="BUX99" s="89"/>
      <c r="BUY99" s="89"/>
      <c r="BUZ99" s="89"/>
      <c r="BVA99" s="89"/>
      <c r="BVB99" s="91"/>
    </row>
  </sheetData>
  <sheetProtection insertRows="0" insertHyperlinks="0" selectLockedCells="1"/>
  <mergeCells count="466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52.5703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27</v>
      </c>
      <c r="C2" s="163"/>
      <c r="D2" s="82" t="s">
        <v>15</v>
      </c>
      <c r="E2" s="94">
        <v>45446</v>
      </c>
      <c r="F2" s="126" t="s">
        <v>48</v>
      </c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07" t="s">
        <v>14</v>
      </c>
      <c r="F3" s="208"/>
      <c r="G3" s="46"/>
    </row>
    <row r="4" spans="1:7" s="52" customFormat="1" x14ac:dyDescent="0.3">
      <c r="A4" s="48" t="s">
        <v>16</v>
      </c>
      <c r="B4" s="49">
        <v>200</v>
      </c>
      <c r="C4" s="152" t="str">
        <f xml:space="preserve"> IF(B4="","",setValueToTime(B4))</f>
        <v>16h40min</v>
      </c>
      <c r="D4" s="50"/>
      <c r="E4" s="205"/>
      <c r="F4" s="206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199"/>
      <c r="F10" s="20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1"/>
      <c r="F11" s="202"/>
      <c r="G11" s="51"/>
    </row>
    <row r="12" spans="1:7" s="52" customFormat="1" ht="15" thickBot="1" x14ac:dyDescent="0.35">
      <c r="A12" s="111" t="s">
        <v>29</v>
      </c>
      <c r="B12" s="84">
        <f>SUM(B4:B11)</f>
        <v>200</v>
      </c>
      <c r="C12" s="111" t="str">
        <f xml:space="preserve"> setValueToTime(B12)</f>
        <v>16h40min</v>
      </c>
      <c r="D12" s="120"/>
      <c r="E12" s="203"/>
      <c r="F12" s="20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26</v>
      </c>
      <c r="C14" s="163"/>
      <c r="D14" s="82" t="s">
        <v>15</v>
      </c>
      <c r="E14" s="94">
        <v>45446</v>
      </c>
      <c r="F14" s="126" t="s">
        <v>49</v>
      </c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07" t="s">
        <v>14</v>
      </c>
      <c r="F15" s="208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05"/>
      <c r="F16" s="206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199"/>
      <c r="F17" s="200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199"/>
      <c r="F18" s="20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199"/>
      <c r="F19" s="20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199"/>
      <c r="F20" s="20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199"/>
      <c r="F21" s="20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199"/>
      <c r="F22" s="20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1"/>
      <c r="F23" s="202"/>
      <c r="G23" s="51"/>
    </row>
    <row r="24" spans="1:7" s="52" customFormat="1" ht="15" thickBot="1" x14ac:dyDescent="0.35">
      <c r="A24" s="111" t="s">
        <v>29</v>
      </c>
      <c r="B24" s="84">
        <f>SUM(B16:B23)</f>
        <v>0</v>
      </c>
      <c r="C24" s="111" t="str">
        <f xml:space="preserve"> setValueToTime(B24)</f>
        <v>0h</v>
      </c>
      <c r="D24" s="120"/>
      <c r="E24" s="203"/>
      <c r="F24" s="20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25</v>
      </c>
      <c r="C26" s="163"/>
      <c r="D26" s="82" t="s">
        <v>15</v>
      </c>
      <c r="E26" s="94">
        <v>45443</v>
      </c>
      <c r="F26" s="126" t="s">
        <v>48</v>
      </c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07" t="s">
        <v>14</v>
      </c>
      <c r="F27" s="208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05"/>
      <c r="F28" s="206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199"/>
      <c r="F29" s="200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199"/>
      <c r="F30" s="20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199"/>
      <c r="F31" s="20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199"/>
      <c r="F32" s="20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199"/>
      <c r="F33" s="20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199"/>
      <c r="F34" s="20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1"/>
      <c r="F35" s="202"/>
      <c r="G35" s="51"/>
    </row>
    <row r="36" spans="1:7" s="52" customFormat="1" ht="15" thickBot="1" x14ac:dyDescent="0.35">
      <c r="A36" s="111" t="s">
        <v>29</v>
      </c>
      <c r="B36" s="84">
        <f>SUM(B28:B35)</f>
        <v>0</v>
      </c>
      <c r="C36" s="111" t="str">
        <f xml:space="preserve"> setValueToTime(B36)</f>
        <v>0h</v>
      </c>
      <c r="D36" s="120"/>
      <c r="E36" s="203"/>
      <c r="F36" s="20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24</v>
      </c>
      <c r="C38" s="163"/>
      <c r="D38" s="82" t="s">
        <v>15</v>
      </c>
      <c r="E38" s="94">
        <v>45443</v>
      </c>
      <c r="F38" s="126" t="s">
        <v>49</v>
      </c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07" t="s">
        <v>14</v>
      </c>
      <c r="F39" s="208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05"/>
      <c r="F40" s="206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199"/>
      <c r="F41" s="20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199"/>
      <c r="F42" s="20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199"/>
      <c r="F43" s="20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199"/>
      <c r="F44" s="20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199"/>
      <c r="F45" s="20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199"/>
      <c r="F46" s="20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1"/>
      <c r="F47" s="202"/>
      <c r="G47" s="51"/>
    </row>
    <row r="48" spans="1:7" s="52" customFormat="1" ht="15" thickBot="1" x14ac:dyDescent="0.35">
      <c r="A48" s="111" t="s">
        <v>29</v>
      </c>
      <c r="B48" s="84">
        <f>SUM(B40:B47)</f>
        <v>0</v>
      </c>
      <c r="C48" s="111" t="str">
        <f xml:space="preserve"> setValueToTime(B48)</f>
        <v>0h</v>
      </c>
      <c r="D48" s="120"/>
      <c r="E48" s="203"/>
      <c r="F48" s="20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23</v>
      </c>
      <c r="C50" s="163"/>
      <c r="D50" s="82" t="s">
        <v>15</v>
      </c>
      <c r="E50" s="94">
        <v>45442</v>
      </c>
      <c r="F50" s="126" t="s">
        <v>48</v>
      </c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07" t="s">
        <v>14</v>
      </c>
      <c r="F51" s="208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05"/>
      <c r="F52" s="206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199"/>
      <c r="F53" s="200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199"/>
      <c r="F54" s="20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199"/>
      <c r="F55" s="20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199"/>
      <c r="F56" s="20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199"/>
      <c r="F57" s="20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199"/>
      <c r="F58" s="20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1"/>
      <c r="F59" s="202"/>
      <c r="G59" s="51"/>
    </row>
    <row r="60" spans="1:7" s="52" customFormat="1" ht="15" thickBot="1" x14ac:dyDescent="0.35">
      <c r="A60" s="111" t="s">
        <v>29</v>
      </c>
      <c r="B60" s="84">
        <f>SUM(B52:B59)</f>
        <v>0</v>
      </c>
      <c r="C60" s="111" t="str">
        <f xml:space="preserve"> setValueToTime(B60)</f>
        <v>0h</v>
      </c>
      <c r="D60" s="120"/>
      <c r="E60" s="203"/>
      <c r="F60" s="20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22</v>
      </c>
      <c r="C62" s="163"/>
      <c r="D62" s="82" t="s">
        <v>15</v>
      </c>
      <c r="E62" s="94">
        <v>45442</v>
      </c>
      <c r="F62" s="126" t="s">
        <v>49</v>
      </c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07" t="s">
        <v>14</v>
      </c>
      <c r="F63" s="208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05"/>
      <c r="F64" s="206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199"/>
      <c r="F65" s="200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199"/>
      <c r="F66" s="20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199"/>
      <c r="F67" s="20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199"/>
      <c r="F68" s="20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199"/>
      <c r="F69" s="20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199"/>
      <c r="F70" s="20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1"/>
      <c r="F71" s="202"/>
      <c r="G71" s="51"/>
    </row>
    <row r="72" spans="1:7" s="52" customFormat="1" ht="15" thickBot="1" x14ac:dyDescent="0.35">
      <c r="A72" s="111" t="s">
        <v>29</v>
      </c>
      <c r="B72" s="84">
        <f>SUM(B64:B71)</f>
        <v>0</v>
      </c>
      <c r="C72" s="111" t="str">
        <f xml:space="preserve"> setValueToTime(B72)</f>
        <v>0h</v>
      </c>
      <c r="D72" s="120"/>
      <c r="E72" s="203"/>
      <c r="F72" s="20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21</v>
      </c>
      <c r="C74" s="163"/>
      <c r="D74" s="82" t="s">
        <v>15</v>
      </c>
      <c r="E74" s="94">
        <v>45441</v>
      </c>
      <c r="F74" s="126" t="s">
        <v>49</v>
      </c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07" t="s">
        <v>14</v>
      </c>
      <c r="F75" s="208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05"/>
      <c r="F76" s="206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199"/>
      <c r="F77" s="200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199"/>
      <c r="F78" s="200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199"/>
      <c r="F79" s="200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199"/>
      <c r="F80" s="20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199"/>
      <c r="F81" s="20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199"/>
      <c r="F82" s="20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1"/>
      <c r="F83" s="202"/>
      <c r="G83" s="51"/>
    </row>
    <row r="84" spans="1:7" s="52" customFormat="1" ht="15" thickBot="1" x14ac:dyDescent="0.35">
      <c r="A84" s="111" t="s">
        <v>29</v>
      </c>
      <c r="B84" s="84">
        <f>SUM(B76:B83)</f>
        <v>0</v>
      </c>
      <c r="C84" s="111" t="str">
        <f xml:space="preserve"> setValueToTime(B84)</f>
        <v>0h</v>
      </c>
      <c r="D84" s="120"/>
      <c r="E84" s="203"/>
      <c r="F84" s="20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20</v>
      </c>
      <c r="C86" s="163"/>
      <c r="D86" s="82" t="s">
        <v>15</v>
      </c>
      <c r="E86" s="94">
        <v>45440</v>
      </c>
      <c r="F86" s="126" t="s">
        <v>48</v>
      </c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07" t="s">
        <v>14</v>
      </c>
      <c r="F87" s="208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05"/>
      <c r="F88" s="206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199"/>
      <c r="F89" s="200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199"/>
      <c r="F90" s="200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199"/>
      <c r="F91" s="200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199"/>
      <c r="F92" s="200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199"/>
      <c r="F93" s="200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199"/>
      <c r="F94" s="200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01"/>
      <c r="F95" s="202"/>
      <c r="G95" s="51"/>
    </row>
    <row r="96" spans="1:7" s="52" customFormat="1" ht="15" thickBot="1" x14ac:dyDescent="0.35">
      <c r="A96" s="111" t="s">
        <v>29</v>
      </c>
      <c r="B96" s="84">
        <f>SUM(B88:B95)</f>
        <v>0</v>
      </c>
      <c r="C96" s="111" t="str">
        <f xml:space="preserve"> setValueToTime(B96)</f>
        <v>0h</v>
      </c>
      <c r="D96" s="120"/>
      <c r="E96" s="203"/>
      <c r="F96" s="20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19</v>
      </c>
      <c r="C98" s="163"/>
      <c r="D98" s="82" t="s">
        <v>15</v>
      </c>
      <c r="E98" s="94">
        <v>45440</v>
      </c>
      <c r="F98" s="126" t="s">
        <v>49</v>
      </c>
      <c r="G98" s="46"/>
    </row>
    <row r="99" spans="1:7" s="47" customFormat="1" ht="30" customHeight="1" thickBot="1" x14ac:dyDescent="0.3">
      <c r="A99" s="80" t="s">
        <v>5</v>
      </c>
      <c r="B99" s="150" t="s">
        <v>42</v>
      </c>
      <c r="C99" s="151"/>
      <c r="D99" s="80" t="s">
        <v>13</v>
      </c>
      <c r="E99" s="207" t="s">
        <v>14</v>
      </c>
      <c r="F99" s="208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05"/>
      <c r="F100" s="206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199"/>
      <c r="F101" s="200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199"/>
      <c r="F102" s="200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199"/>
      <c r="F103" s="200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199"/>
      <c r="F104" s="200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199"/>
      <c r="F105" s="200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199"/>
      <c r="F106" s="200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01"/>
      <c r="F107" s="202"/>
      <c r="G107" s="51"/>
    </row>
    <row r="108" spans="1:7" s="52" customFormat="1" ht="15" thickBot="1" x14ac:dyDescent="0.35">
      <c r="A108" s="111" t="s">
        <v>29</v>
      </c>
      <c r="B108" s="84">
        <f>SUM(B100:B107)</f>
        <v>0</v>
      </c>
      <c r="C108" s="111" t="str">
        <f xml:space="preserve"> setValueToTime(B108)</f>
        <v>0h</v>
      </c>
      <c r="D108" s="120"/>
      <c r="E108" s="203"/>
      <c r="F108" s="20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18</v>
      </c>
      <c r="C110" s="163"/>
      <c r="D110" s="82" t="s">
        <v>15</v>
      </c>
      <c r="E110" s="94">
        <v>45439</v>
      </c>
      <c r="F110" s="126" t="s">
        <v>48</v>
      </c>
      <c r="G110" s="46"/>
    </row>
    <row r="111" spans="1:7" s="47" customFormat="1" ht="30" customHeight="1" thickBot="1" x14ac:dyDescent="0.3">
      <c r="A111" s="80" t="s">
        <v>5</v>
      </c>
      <c r="B111" s="150" t="s">
        <v>42</v>
      </c>
      <c r="C111" s="151"/>
      <c r="D111" s="80" t="s">
        <v>13</v>
      </c>
      <c r="E111" s="207" t="s">
        <v>14</v>
      </c>
      <c r="F111" s="208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05"/>
      <c r="F112" s="206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199"/>
      <c r="F113" s="200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199"/>
      <c r="F114" s="200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199"/>
      <c r="F115" s="200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199"/>
      <c r="F116" s="200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199"/>
      <c r="F117" s="200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199"/>
      <c r="F118" s="200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01"/>
      <c r="F119" s="202"/>
      <c r="G119" s="51"/>
    </row>
    <row r="120" spans="1:7" s="52" customFormat="1" ht="15" thickBot="1" x14ac:dyDescent="0.35">
      <c r="A120" s="111" t="s">
        <v>29</v>
      </c>
      <c r="B120" s="84">
        <f>SUM(B112:B119)</f>
        <v>0</v>
      </c>
      <c r="C120" s="111" t="str">
        <f xml:space="preserve"> setValueToTime(B120)</f>
        <v>0h</v>
      </c>
      <c r="D120" s="120"/>
      <c r="E120" s="203"/>
      <c r="F120" s="20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17</v>
      </c>
      <c r="C122" s="163"/>
      <c r="D122" s="82" t="s">
        <v>15</v>
      </c>
      <c r="E122" s="94">
        <v>45439</v>
      </c>
      <c r="F122" s="126" t="s">
        <v>49</v>
      </c>
      <c r="G122" s="46"/>
    </row>
    <row r="123" spans="1:7" s="47" customFormat="1" ht="30" customHeight="1" thickBot="1" x14ac:dyDescent="0.3">
      <c r="A123" s="80" t="s">
        <v>5</v>
      </c>
      <c r="B123" s="150" t="s">
        <v>42</v>
      </c>
      <c r="C123" s="151"/>
      <c r="D123" s="80" t="s">
        <v>13</v>
      </c>
      <c r="E123" s="207" t="s">
        <v>14</v>
      </c>
      <c r="F123" s="208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05"/>
      <c r="F124" s="206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199"/>
      <c r="F125" s="200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199"/>
      <c r="F126" s="200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199"/>
      <c r="F127" s="200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199"/>
      <c r="F128" s="200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199"/>
      <c r="F129" s="200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199"/>
      <c r="F130" s="200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01"/>
      <c r="F131" s="202"/>
      <c r="G131" s="51"/>
    </row>
    <row r="132" spans="1:7" s="52" customFormat="1" ht="15" thickBot="1" x14ac:dyDescent="0.35">
      <c r="A132" s="111" t="s">
        <v>29</v>
      </c>
      <c r="B132" s="84">
        <f>SUM(B124:B131)</f>
        <v>0</v>
      </c>
      <c r="C132" s="111" t="str">
        <f xml:space="preserve"> setValueToTime(B132)</f>
        <v>0h</v>
      </c>
      <c r="D132" s="120"/>
      <c r="E132" s="203"/>
      <c r="F132" s="20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16</v>
      </c>
      <c r="C134" s="163"/>
      <c r="D134" s="82" t="s">
        <v>15</v>
      </c>
      <c r="E134" s="94">
        <v>45436</v>
      </c>
      <c r="F134" s="126" t="s">
        <v>48</v>
      </c>
      <c r="G134" s="46"/>
    </row>
    <row r="135" spans="1:7" s="47" customFormat="1" ht="30" customHeight="1" thickBot="1" x14ac:dyDescent="0.3">
      <c r="A135" s="80" t="s">
        <v>5</v>
      </c>
      <c r="B135" s="150" t="s">
        <v>42</v>
      </c>
      <c r="C135" s="151"/>
      <c r="D135" s="80" t="s">
        <v>13</v>
      </c>
      <c r="E135" s="207" t="s">
        <v>14</v>
      </c>
      <c r="F135" s="208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05"/>
      <c r="F136" s="206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199"/>
      <c r="F137" s="200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199"/>
      <c r="F138" s="200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199"/>
      <c r="F139" s="200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199"/>
      <c r="F140" s="200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199"/>
      <c r="F141" s="200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199"/>
      <c r="F142" s="200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01"/>
      <c r="F143" s="202"/>
      <c r="G143" s="51"/>
    </row>
    <row r="144" spans="1:7" s="52" customFormat="1" ht="15" thickBot="1" x14ac:dyDescent="0.35">
      <c r="A144" s="111" t="s">
        <v>29</v>
      </c>
      <c r="B144" s="84">
        <f>SUM(B136:B143)</f>
        <v>0</v>
      </c>
      <c r="C144" s="111" t="str">
        <f xml:space="preserve"> setValueToTime(B144)</f>
        <v>0h</v>
      </c>
      <c r="D144" s="120"/>
      <c r="E144" s="203"/>
      <c r="F144" s="20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15</v>
      </c>
      <c r="C146" s="163"/>
      <c r="D146" s="82" t="s">
        <v>15</v>
      </c>
      <c r="E146" s="94">
        <v>45436</v>
      </c>
      <c r="F146" s="126" t="s">
        <v>49</v>
      </c>
      <c r="G146" s="46"/>
    </row>
    <row r="147" spans="1:7" s="47" customFormat="1" ht="30" customHeight="1" thickBot="1" x14ac:dyDescent="0.3">
      <c r="A147" s="80" t="s">
        <v>5</v>
      </c>
      <c r="B147" s="150" t="s">
        <v>42</v>
      </c>
      <c r="C147" s="151"/>
      <c r="D147" s="80" t="s">
        <v>13</v>
      </c>
      <c r="E147" s="207" t="s">
        <v>14</v>
      </c>
      <c r="F147" s="208"/>
      <c r="G147" s="46"/>
    </row>
    <row r="148" spans="1:7" s="52" customFormat="1" x14ac:dyDescent="0.3">
      <c r="A148" s="48"/>
      <c r="B148" s="49">
        <v>12</v>
      </c>
      <c r="C148" s="152" t="str">
        <f xml:space="preserve"> IF(B148="","",setValueToTime(B148))</f>
        <v>1h</v>
      </c>
      <c r="D148" s="55" t="s">
        <v>79</v>
      </c>
      <c r="E148" s="205"/>
      <c r="F148" s="206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199"/>
      <c r="F149" s="200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199"/>
      <c r="F150" s="200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199"/>
      <c r="F151" s="200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199"/>
      <c r="F152" s="200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199"/>
      <c r="F153" s="200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199"/>
      <c r="F154" s="200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01"/>
      <c r="F155" s="202"/>
      <c r="G155" s="51"/>
    </row>
    <row r="156" spans="1:7" s="52" customFormat="1" ht="15" thickBot="1" x14ac:dyDescent="0.35">
      <c r="A156" s="111" t="s">
        <v>29</v>
      </c>
      <c r="B156" s="84">
        <f>SUM(B148:B155)</f>
        <v>12</v>
      </c>
      <c r="C156" s="111" t="str">
        <f xml:space="preserve"> setValueToTime(B156)</f>
        <v>1h</v>
      </c>
      <c r="D156" s="120"/>
      <c r="E156" s="203"/>
      <c r="F156" s="20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14</v>
      </c>
      <c r="C158" s="163"/>
      <c r="D158" s="82" t="s">
        <v>15</v>
      </c>
      <c r="E158" s="94">
        <v>45435</v>
      </c>
      <c r="F158" s="126" t="s">
        <v>48</v>
      </c>
      <c r="G158" s="46"/>
    </row>
    <row r="159" spans="1:7" s="47" customFormat="1" ht="30" customHeight="1" thickBot="1" x14ac:dyDescent="0.3">
      <c r="A159" s="80" t="s">
        <v>5</v>
      </c>
      <c r="B159" s="150" t="s">
        <v>42</v>
      </c>
      <c r="C159" s="151"/>
      <c r="D159" s="80" t="s">
        <v>13</v>
      </c>
      <c r="E159" s="207" t="s">
        <v>14</v>
      </c>
      <c r="F159" s="208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05"/>
      <c r="F160" s="206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199"/>
      <c r="F161" s="200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199"/>
      <c r="F162" s="200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199"/>
      <c r="F163" s="200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199"/>
      <c r="F164" s="200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199"/>
      <c r="F165" s="200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199"/>
      <c r="F166" s="200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01"/>
      <c r="F167" s="202"/>
      <c r="G167" s="51"/>
    </row>
    <row r="168" spans="1:7" s="52" customFormat="1" ht="15" thickBot="1" x14ac:dyDescent="0.35">
      <c r="A168" s="111" t="s">
        <v>29</v>
      </c>
      <c r="B168" s="84">
        <f>SUM(B160:B167)</f>
        <v>0</v>
      </c>
      <c r="C168" s="111" t="str">
        <f xml:space="preserve"> setValueToTime(B168)</f>
        <v>0h</v>
      </c>
      <c r="D168" s="120"/>
      <c r="E168" s="203"/>
      <c r="F168" s="20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13</v>
      </c>
      <c r="C170" s="163"/>
      <c r="D170" s="82" t="s">
        <v>15</v>
      </c>
      <c r="E170" s="94">
        <v>45435</v>
      </c>
      <c r="F170" s="126" t="s">
        <v>49</v>
      </c>
      <c r="G170" s="46"/>
    </row>
    <row r="171" spans="1:7" s="47" customFormat="1" ht="30" customHeight="1" thickBot="1" x14ac:dyDescent="0.3">
      <c r="A171" s="80" t="s">
        <v>5</v>
      </c>
      <c r="B171" s="150" t="s">
        <v>42</v>
      </c>
      <c r="C171" s="151"/>
      <c r="D171" s="80" t="s">
        <v>13</v>
      </c>
      <c r="E171" s="207" t="s">
        <v>14</v>
      </c>
      <c r="F171" s="208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05"/>
      <c r="F172" s="206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199"/>
      <c r="F173" s="200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199"/>
      <c r="F174" s="200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199"/>
      <c r="F175" s="200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199"/>
      <c r="F176" s="200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199"/>
      <c r="F177" s="200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199"/>
      <c r="F178" s="200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01"/>
      <c r="F179" s="202"/>
      <c r="G179" s="51"/>
    </row>
    <row r="180" spans="1:7" s="52" customFormat="1" ht="15" thickBot="1" x14ac:dyDescent="0.35">
      <c r="A180" s="111" t="s">
        <v>29</v>
      </c>
      <c r="B180" s="84">
        <f>SUM(B172:B179)</f>
        <v>0</v>
      </c>
      <c r="C180" s="111" t="str">
        <f xml:space="preserve"> setValueToTime(B180)</f>
        <v>0h</v>
      </c>
      <c r="D180" s="120"/>
      <c r="E180" s="203"/>
      <c r="F180" s="20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12</v>
      </c>
      <c r="C182" s="163"/>
      <c r="D182" s="82" t="s">
        <v>15</v>
      </c>
      <c r="E182" s="94">
        <v>45434</v>
      </c>
      <c r="F182" s="126" t="s">
        <v>49</v>
      </c>
      <c r="G182" s="46"/>
    </row>
    <row r="183" spans="1:7" s="47" customFormat="1" ht="30" customHeight="1" thickBot="1" x14ac:dyDescent="0.3">
      <c r="A183" s="80" t="s">
        <v>5</v>
      </c>
      <c r="B183" s="150" t="s">
        <v>42</v>
      </c>
      <c r="C183" s="151"/>
      <c r="D183" s="80" t="s">
        <v>13</v>
      </c>
      <c r="E183" s="207" t="s">
        <v>14</v>
      </c>
      <c r="F183" s="208"/>
      <c r="G183" s="46"/>
    </row>
    <row r="184" spans="1:7" s="52" customFormat="1" x14ac:dyDescent="0.3">
      <c r="A184" s="48" t="s">
        <v>86</v>
      </c>
      <c r="B184" s="49">
        <v>3</v>
      </c>
      <c r="C184" s="152" t="str">
        <f xml:space="preserve"> IF(B184="","",setValueToTime(B184))</f>
        <v>0h15min</v>
      </c>
      <c r="D184" s="50" t="s">
        <v>97</v>
      </c>
      <c r="E184" s="205"/>
      <c r="F184" s="206"/>
      <c r="G184" s="51"/>
    </row>
    <row r="185" spans="1:7" s="52" customFormat="1" x14ac:dyDescent="0.3">
      <c r="A185" s="53" t="s">
        <v>16</v>
      </c>
      <c r="B185" s="54">
        <v>23</v>
      </c>
      <c r="C185" s="153" t="str">
        <f t="shared" ref="C185:C191" si="15" xml:space="preserve"> IF(B185="","",setValueToTime(B185))</f>
        <v>1h55min</v>
      </c>
      <c r="D185" s="55" t="s">
        <v>67</v>
      </c>
      <c r="E185" s="199"/>
      <c r="F185" s="200"/>
      <c r="G185" s="51"/>
    </row>
    <row r="186" spans="1:7" s="52" customFormat="1" x14ac:dyDescent="0.3">
      <c r="A186" s="53" t="s">
        <v>17</v>
      </c>
      <c r="B186" s="54">
        <v>2</v>
      </c>
      <c r="C186" s="153" t="str">
        <f t="shared" si="15"/>
        <v>0h10min</v>
      </c>
      <c r="D186" s="55" t="s">
        <v>55</v>
      </c>
      <c r="E186" s="199"/>
      <c r="F186" s="200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199"/>
      <c r="F187" s="200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199"/>
      <c r="F188" s="200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199"/>
      <c r="F189" s="200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199"/>
      <c r="F190" s="200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01"/>
      <c r="F191" s="202"/>
      <c r="G191" s="51"/>
    </row>
    <row r="192" spans="1:7" s="52" customFormat="1" ht="15" thickBot="1" x14ac:dyDescent="0.35">
      <c r="A192" s="111" t="s">
        <v>29</v>
      </c>
      <c r="B192" s="84">
        <f>SUM(B184:B191)</f>
        <v>28</v>
      </c>
      <c r="C192" s="111" t="str">
        <f xml:space="preserve"> setValueToTime(B192)</f>
        <v>2h20min</v>
      </c>
      <c r="D192" s="120"/>
      <c r="E192" s="203"/>
      <c r="F192" s="20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11</v>
      </c>
      <c r="C194" s="163"/>
      <c r="D194" s="82" t="s">
        <v>15</v>
      </c>
      <c r="E194" s="94">
        <v>45433</v>
      </c>
      <c r="F194" s="126" t="s">
        <v>48</v>
      </c>
      <c r="G194" s="46"/>
    </row>
    <row r="195" spans="1:7" s="47" customFormat="1" ht="30" customHeight="1" thickBot="1" x14ac:dyDescent="0.3">
      <c r="A195" s="80" t="s">
        <v>5</v>
      </c>
      <c r="B195" s="150" t="s">
        <v>42</v>
      </c>
      <c r="C195" s="151"/>
      <c r="D195" s="80" t="s">
        <v>13</v>
      </c>
      <c r="E195" s="207" t="s">
        <v>14</v>
      </c>
      <c r="F195" s="208"/>
      <c r="G195" s="46"/>
    </row>
    <row r="196" spans="1:7" s="52" customFormat="1" ht="27" x14ac:dyDescent="0.3">
      <c r="A196" s="48" t="s">
        <v>85</v>
      </c>
      <c r="B196" s="49">
        <v>9</v>
      </c>
      <c r="C196" s="152" t="str">
        <f xml:space="preserve"> IF(B196="","",setValueToTime(B196))</f>
        <v>0h45min</v>
      </c>
      <c r="D196" s="50" t="s">
        <v>92</v>
      </c>
      <c r="E196" s="205"/>
      <c r="F196" s="206"/>
      <c r="G196" s="51"/>
    </row>
    <row r="197" spans="1:7" s="52" customFormat="1" x14ac:dyDescent="0.3">
      <c r="A197" s="53" t="s">
        <v>86</v>
      </c>
      <c r="B197" s="54">
        <v>3</v>
      </c>
      <c r="C197" s="153" t="str">
        <f t="shared" ref="C197:C203" si="16" xml:space="preserve"> IF(B197="","",setValueToTime(B197))</f>
        <v>0h15min</v>
      </c>
      <c r="D197" s="55" t="s">
        <v>81</v>
      </c>
      <c r="E197" s="199"/>
      <c r="F197" s="200"/>
      <c r="G197" s="51"/>
    </row>
    <row r="198" spans="1:7" s="52" customFormat="1" ht="27" x14ac:dyDescent="0.3">
      <c r="A198" s="53" t="s">
        <v>85</v>
      </c>
      <c r="B198" s="54">
        <v>12</v>
      </c>
      <c r="C198" s="153" t="str">
        <f t="shared" si="16"/>
        <v>1h</v>
      </c>
      <c r="D198" s="55" t="s">
        <v>94</v>
      </c>
      <c r="E198" s="199"/>
      <c r="F198" s="200"/>
      <c r="G198" s="51"/>
    </row>
    <row r="199" spans="1:7" s="52" customFormat="1" x14ac:dyDescent="0.3">
      <c r="A199" s="53" t="s">
        <v>86</v>
      </c>
      <c r="B199" s="54">
        <v>2</v>
      </c>
      <c r="C199" s="153" t="str">
        <f t="shared" si="16"/>
        <v>0h10min</v>
      </c>
      <c r="D199" s="55" t="s">
        <v>95</v>
      </c>
      <c r="E199" s="199"/>
      <c r="F199" s="200"/>
      <c r="G199" s="51"/>
    </row>
    <row r="200" spans="1:7" s="52" customFormat="1" x14ac:dyDescent="0.3">
      <c r="A200" s="54" t="s">
        <v>17</v>
      </c>
      <c r="B200" s="54">
        <v>2</v>
      </c>
      <c r="C200" s="154" t="str">
        <f t="shared" si="16"/>
        <v>0h10min</v>
      </c>
      <c r="D200" s="55" t="s">
        <v>55</v>
      </c>
      <c r="E200" s="199"/>
      <c r="F200" s="200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199"/>
      <c r="F201" s="200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199"/>
      <c r="F202" s="200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01"/>
      <c r="F203" s="202"/>
      <c r="G203" s="51"/>
    </row>
    <row r="204" spans="1:7" s="52" customFormat="1" ht="15" thickBot="1" x14ac:dyDescent="0.35">
      <c r="A204" s="111" t="s">
        <v>29</v>
      </c>
      <c r="B204" s="84">
        <f>SUM(B196:B203)</f>
        <v>28</v>
      </c>
      <c r="C204" s="111" t="str">
        <f xml:space="preserve"> setValueToTime(B204)</f>
        <v>2h20min</v>
      </c>
      <c r="D204" s="120"/>
      <c r="E204" s="203"/>
      <c r="F204" s="20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10</v>
      </c>
      <c r="C206" s="163"/>
      <c r="D206" s="82" t="s">
        <v>15</v>
      </c>
      <c r="E206" s="94">
        <v>45433</v>
      </c>
      <c r="F206" s="126" t="s">
        <v>49</v>
      </c>
      <c r="G206" s="46"/>
    </row>
    <row r="207" spans="1:7" s="47" customFormat="1" ht="30" customHeight="1" thickBot="1" x14ac:dyDescent="0.3">
      <c r="A207" s="80" t="s">
        <v>5</v>
      </c>
      <c r="B207" s="150" t="s">
        <v>42</v>
      </c>
      <c r="C207" s="151"/>
      <c r="D207" s="80" t="s">
        <v>13</v>
      </c>
      <c r="E207" s="207" t="s">
        <v>14</v>
      </c>
      <c r="F207" s="208"/>
      <c r="G207" s="46"/>
    </row>
    <row r="208" spans="1:7" s="52" customFormat="1" ht="27" x14ac:dyDescent="0.3">
      <c r="A208" s="48" t="s">
        <v>85</v>
      </c>
      <c r="B208" s="49">
        <v>24</v>
      </c>
      <c r="C208" s="152" t="str">
        <f xml:space="preserve"> IF(B208="","",setValueToTime(B208))</f>
        <v>2h</v>
      </c>
      <c r="D208" s="50" t="s">
        <v>83</v>
      </c>
      <c r="E208" s="205"/>
      <c r="F208" s="206"/>
      <c r="G208" s="51"/>
    </row>
    <row r="209" spans="1:7" s="52" customFormat="1" x14ac:dyDescent="0.3">
      <c r="A209" s="53" t="s">
        <v>86</v>
      </c>
      <c r="B209" s="54">
        <v>8</v>
      </c>
      <c r="C209" s="153" t="str">
        <f t="shared" ref="C209:C215" si="17" xml:space="preserve"> IF(B209="","",setValueToTime(B209))</f>
        <v>0h40min</v>
      </c>
      <c r="D209" s="55" t="s">
        <v>81</v>
      </c>
      <c r="E209" s="199"/>
      <c r="F209" s="200"/>
      <c r="G209" s="51"/>
    </row>
    <row r="210" spans="1:7" s="52" customFormat="1" x14ac:dyDescent="0.3">
      <c r="A210" s="53" t="s">
        <v>16</v>
      </c>
      <c r="B210" s="54">
        <v>14</v>
      </c>
      <c r="C210" s="153" t="str">
        <f t="shared" si="17"/>
        <v>1h10min</v>
      </c>
      <c r="D210" s="55" t="s">
        <v>67</v>
      </c>
      <c r="E210" s="199"/>
      <c r="F210" s="200"/>
      <c r="G210" s="51"/>
    </row>
    <row r="211" spans="1:7" s="52" customFormat="1" x14ac:dyDescent="0.3">
      <c r="A211" s="53" t="s">
        <v>17</v>
      </c>
      <c r="B211" s="54">
        <v>2</v>
      </c>
      <c r="C211" s="153" t="str">
        <f t="shared" si="17"/>
        <v>0h10min</v>
      </c>
      <c r="D211" s="55" t="s">
        <v>55</v>
      </c>
      <c r="E211" s="199"/>
      <c r="F211" s="200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199"/>
      <c r="F212" s="200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199"/>
      <c r="F213" s="200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199"/>
      <c r="F214" s="200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01"/>
      <c r="F215" s="202"/>
      <c r="G215" s="51"/>
    </row>
    <row r="216" spans="1:7" s="52" customFormat="1" ht="15" thickBot="1" x14ac:dyDescent="0.35">
      <c r="A216" s="111" t="s">
        <v>29</v>
      </c>
      <c r="B216" s="84">
        <f>SUM(B208:B215)</f>
        <v>48</v>
      </c>
      <c r="C216" s="111" t="str">
        <f xml:space="preserve"> setValueToTime(B216)</f>
        <v>4h</v>
      </c>
      <c r="D216" s="120"/>
      <c r="E216" s="203"/>
      <c r="F216" s="20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9</v>
      </c>
      <c r="C218" s="163"/>
      <c r="D218" s="82" t="s">
        <v>15</v>
      </c>
      <c r="E218" s="94">
        <v>45429</v>
      </c>
      <c r="F218" s="126" t="s">
        <v>48</v>
      </c>
      <c r="G218" s="46"/>
    </row>
    <row r="219" spans="1:7" s="47" customFormat="1" ht="30" customHeight="1" thickBot="1" x14ac:dyDescent="0.3">
      <c r="A219" s="80" t="s">
        <v>5</v>
      </c>
      <c r="B219" s="150" t="s">
        <v>42</v>
      </c>
      <c r="C219" s="151"/>
      <c r="D219" s="80" t="s">
        <v>13</v>
      </c>
      <c r="E219" s="207" t="s">
        <v>14</v>
      </c>
      <c r="F219" s="208"/>
      <c r="G219" s="46"/>
    </row>
    <row r="220" spans="1:7" s="52" customFormat="1" x14ac:dyDescent="0.3">
      <c r="A220" s="48" t="s">
        <v>90</v>
      </c>
      <c r="B220" s="49">
        <v>12</v>
      </c>
      <c r="C220" s="152" t="str">
        <f xml:space="preserve"> IF(B220="","",setValueToTime(B220))</f>
        <v>1h</v>
      </c>
      <c r="D220" s="55" t="s">
        <v>82</v>
      </c>
      <c r="E220" s="205"/>
      <c r="F220" s="206"/>
      <c r="G220" s="51"/>
    </row>
    <row r="221" spans="1:7" s="52" customFormat="1" ht="27" x14ac:dyDescent="0.3">
      <c r="A221" s="53" t="s">
        <v>85</v>
      </c>
      <c r="B221" s="54">
        <v>9</v>
      </c>
      <c r="C221" s="153" t="str">
        <f t="shared" ref="C221:C227" si="18" xml:space="preserve"> IF(B221="","",setValueToTime(B221))</f>
        <v>0h45min</v>
      </c>
      <c r="D221" s="55" t="s">
        <v>80</v>
      </c>
      <c r="E221" s="199"/>
      <c r="F221" s="200"/>
      <c r="G221" s="51"/>
    </row>
    <row r="222" spans="1:7" s="52" customFormat="1" x14ac:dyDescent="0.3">
      <c r="A222" s="53" t="s">
        <v>86</v>
      </c>
      <c r="B222" s="54">
        <v>4</v>
      </c>
      <c r="C222" s="153" t="str">
        <f t="shared" si="18"/>
        <v>0h20min</v>
      </c>
      <c r="D222" s="55" t="s">
        <v>81</v>
      </c>
      <c r="E222" s="199"/>
      <c r="F222" s="200"/>
      <c r="G222" s="51"/>
    </row>
    <row r="223" spans="1:7" s="52" customFormat="1" x14ac:dyDescent="0.3">
      <c r="A223" s="53" t="s">
        <v>16</v>
      </c>
      <c r="B223" s="54">
        <v>11</v>
      </c>
      <c r="C223" s="153" t="str">
        <f t="shared" si="18"/>
        <v>0h55min</v>
      </c>
      <c r="D223" s="55" t="s">
        <v>67</v>
      </c>
      <c r="E223" s="199"/>
      <c r="F223" s="200"/>
      <c r="G223" s="51"/>
    </row>
    <row r="224" spans="1:7" s="52" customFormat="1" x14ac:dyDescent="0.3">
      <c r="A224" s="54" t="s">
        <v>17</v>
      </c>
      <c r="B224" s="54">
        <v>2</v>
      </c>
      <c r="C224" s="154" t="str">
        <f t="shared" si="18"/>
        <v>0h10min</v>
      </c>
      <c r="D224" s="55" t="s">
        <v>55</v>
      </c>
      <c r="E224" s="199"/>
      <c r="F224" s="200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199"/>
      <c r="F225" s="200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199"/>
      <c r="F226" s="200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01"/>
      <c r="F227" s="202"/>
      <c r="G227" s="51"/>
    </row>
    <row r="228" spans="1:7" s="52" customFormat="1" ht="15" thickBot="1" x14ac:dyDescent="0.35">
      <c r="A228" s="111" t="s">
        <v>29</v>
      </c>
      <c r="B228" s="84">
        <f>SUM(B220:B227)</f>
        <v>38</v>
      </c>
      <c r="C228" s="111" t="str">
        <f xml:space="preserve"> setValueToTime(B228)</f>
        <v>3h10min</v>
      </c>
      <c r="D228" s="120"/>
      <c r="E228" s="203"/>
      <c r="F228" s="20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8</v>
      </c>
      <c r="C230" s="163"/>
      <c r="D230" s="82" t="s">
        <v>15</v>
      </c>
      <c r="E230" s="94">
        <v>45429</v>
      </c>
      <c r="F230" s="126" t="s">
        <v>49</v>
      </c>
      <c r="G230" s="46"/>
    </row>
    <row r="231" spans="1:7" s="47" customFormat="1" ht="30" customHeight="1" thickBot="1" x14ac:dyDescent="0.3">
      <c r="A231" s="80" t="s">
        <v>5</v>
      </c>
      <c r="B231" s="150" t="s">
        <v>42</v>
      </c>
      <c r="C231" s="151"/>
      <c r="D231" s="80" t="s">
        <v>13</v>
      </c>
      <c r="E231" s="207" t="s">
        <v>14</v>
      </c>
      <c r="F231" s="208"/>
      <c r="G231" s="46"/>
    </row>
    <row r="232" spans="1:7" s="52" customFormat="1" ht="27" x14ac:dyDescent="0.3">
      <c r="A232" s="48" t="s">
        <v>85</v>
      </c>
      <c r="B232" s="54">
        <v>12</v>
      </c>
      <c r="C232" s="152" t="str">
        <f xml:space="preserve"> IF(B232="","",setValueToTime(B232))</f>
        <v>1h</v>
      </c>
      <c r="D232" s="55" t="s">
        <v>93</v>
      </c>
      <c r="E232" s="205"/>
      <c r="F232" s="206"/>
      <c r="G232" s="51"/>
    </row>
    <row r="233" spans="1:7" s="52" customFormat="1" ht="15" thickBot="1" x14ac:dyDescent="0.35">
      <c r="A233" s="53" t="s">
        <v>86</v>
      </c>
      <c r="B233" s="54">
        <v>7</v>
      </c>
      <c r="C233" s="153" t="str">
        <f t="shared" ref="C233:C239" si="19" xml:space="preserve"> IF(B233="","",setValueToTime(B233))</f>
        <v>0h35min</v>
      </c>
      <c r="D233" s="55" t="s">
        <v>78</v>
      </c>
      <c r="E233" s="199"/>
      <c r="F233" s="200"/>
      <c r="G233" s="51"/>
    </row>
    <row r="234" spans="1:7" s="52" customFormat="1" ht="15" thickBot="1" x14ac:dyDescent="0.35">
      <c r="A234" s="53" t="s">
        <v>16</v>
      </c>
      <c r="B234" s="49">
        <v>27</v>
      </c>
      <c r="C234" s="153" t="str">
        <f t="shared" si="19"/>
        <v>2h15min</v>
      </c>
      <c r="D234" s="55" t="s">
        <v>66</v>
      </c>
      <c r="E234" s="199"/>
      <c r="F234" s="200"/>
      <c r="G234" s="51"/>
    </row>
    <row r="235" spans="1:7" s="52" customFormat="1" x14ac:dyDescent="0.3">
      <c r="A235" s="53" t="s">
        <v>17</v>
      </c>
      <c r="B235" s="49">
        <v>2</v>
      </c>
      <c r="C235" s="153" t="str">
        <f t="shared" si="19"/>
        <v>0h10min</v>
      </c>
      <c r="D235" s="55" t="s">
        <v>55</v>
      </c>
      <c r="E235" s="199"/>
      <c r="F235" s="200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199"/>
      <c r="F236" s="200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199"/>
      <c r="F237" s="200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199"/>
      <c r="F238" s="200"/>
      <c r="G238" s="51"/>
    </row>
    <row r="239" spans="1:7" s="52" customFormat="1" ht="15" thickBot="1" x14ac:dyDescent="0.35">
      <c r="A239" s="56"/>
      <c r="B239" s="54"/>
      <c r="C239" s="155" t="str">
        <f t="shared" si="19"/>
        <v/>
      </c>
      <c r="D239" s="55"/>
      <c r="E239" s="201"/>
      <c r="F239" s="202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03"/>
      <c r="F240" s="20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7</v>
      </c>
      <c r="C242" s="163"/>
      <c r="D242" s="82" t="s">
        <v>15</v>
      </c>
      <c r="E242" s="94">
        <v>45428</v>
      </c>
      <c r="F242" s="126" t="s">
        <v>48</v>
      </c>
      <c r="G242" s="46"/>
    </row>
    <row r="243" spans="1:7" s="47" customFormat="1" ht="30" customHeight="1" thickBot="1" x14ac:dyDescent="0.3">
      <c r="A243" s="80" t="s">
        <v>5</v>
      </c>
      <c r="B243" s="150" t="s">
        <v>42</v>
      </c>
      <c r="C243" s="151"/>
      <c r="D243" s="80" t="s">
        <v>13</v>
      </c>
      <c r="E243" s="207" t="s">
        <v>14</v>
      </c>
      <c r="F243" s="208"/>
      <c r="G243" s="46"/>
    </row>
    <row r="244" spans="1:7" s="52" customFormat="1" x14ac:dyDescent="0.3">
      <c r="A244" s="48" t="s">
        <v>4</v>
      </c>
      <c r="B244" s="49">
        <v>12</v>
      </c>
      <c r="C244" s="152" t="str">
        <f xml:space="preserve"> IF(B244="","",setValueToTime(B244))</f>
        <v>1h</v>
      </c>
      <c r="D244" s="50" t="s">
        <v>51</v>
      </c>
      <c r="E244" s="205"/>
      <c r="F244" s="206"/>
      <c r="G244" s="51"/>
    </row>
    <row r="245" spans="1:7" s="52" customFormat="1" ht="27" x14ac:dyDescent="0.3">
      <c r="A245" s="53" t="s">
        <v>85</v>
      </c>
      <c r="B245" s="54">
        <v>10</v>
      </c>
      <c r="C245" s="153" t="str">
        <f t="shared" ref="C245:C251" si="20" xml:space="preserve"> IF(B245="","",setValueToTime(B245))</f>
        <v>0h50min</v>
      </c>
      <c r="D245" s="55" t="s">
        <v>76</v>
      </c>
      <c r="E245" s="199"/>
      <c r="F245" s="200"/>
      <c r="G245" s="51"/>
    </row>
    <row r="246" spans="1:7" s="52" customFormat="1" x14ac:dyDescent="0.3">
      <c r="A246" s="53" t="s">
        <v>86</v>
      </c>
      <c r="B246" s="54">
        <v>8</v>
      </c>
      <c r="C246" s="153" t="str">
        <f t="shared" si="20"/>
        <v>0h40min</v>
      </c>
      <c r="D246" s="55" t="s">
        <v>77</v>
      </c>
      <c r="E246" s="199"/>
      <c r="F246" s="200"/>
      <c r="G246" s="51"/>
    </row>
    <row r="247" spans="1:7" s="52" customFormat="1" x14ac:dyDescent="0.3">
      <c r="A247" s="53" t="s">
        <v>16</v>
      </c>
      <c r="B247" s="54">
        <v>6</v>
      </c>
      <c r="C247" s="153" t="str">
        <f t="shared" si="20"/>
        <v>0h30min</v>
      </c>
      <c r="D247" s="55" t="s">
        <v>66</v>
      </c>
      <c r="E247" s="199"/>
      <c r="F247" s="200"/>
      <c r="G247" s="51"/>
    </row>
    <row r="248" spans="1:7" s="52" customFormat="1" x14ac:dyDescent="0.3">
      <c r="A248" s="54" t="s">
        <v>17</v>
      </c>
      <c r="B248" s="54">
        <v>2</v>
      </c>
      <c r="C248" s="154" t="str">
        <f t="shared" si="20"/>
        <v>0h10min</v>
      </c>
      <c r="D248" s="55" t="s">
        <v>55</v>
      </c>
      <c r="E248" s="199"/>
      <c r="F248" s="200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199"/>
      <c r="F249" s="200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199"/>
      <c r="F250" s="200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01"/>
      <c r="F251" s="202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03"/>
      <c r="F252" s="20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6</v>
      </c>
      <c r="C254" s="163"/>
      <c r="D254" s="82" t="s">
        <v>15</v>
      </c>
      <c r="E254" s="94">
        <v>45428</v>
      </c>
      <c r="F254" s="126" t="s">
        <v>49</v>
      </c>
      <c r="G254" s="46"/>
    </row>
    <row r="255" spans="1:7" s="47" customFormat="1" ht="30" customHeight="1" thickBot="1" x14ac:dyDescent="0.3">
      <c r="A255" s="80" t="s">
        <v>5</v>
      </c>
      <c r="B255" s="150" t="s">
        <v>42</v>
      </c>
      <c r="C255" s="151"/>
      <c r="D255" s="80" t="s">
        <v>13</v>
      </c>
      <c r="E255" s="207" t="s">
        <v>14</v>
      </c>
      <c r="F255" s="208"/>
      <c r="G255" s="46"/>
    </row>
    <row r="256" spans="1:7" s="52" customFormat="1" x14ac:dyDescent="0.3">
      <c r="A256" s="48" t="s">
        <v>33</v>
      </c>
      <c r="B256" s="49">
        <v>18</v>
      </c>
      <c r="C256" s="152" t="str">
        <f xml:space="preserve"> IF(B256="","",setValueToTime(B256))</f>
        <v>1h30min</v>
      </c>
      <c r="D256" s="50" t="s">
        <v>60</v>
      </c>
      <c r="E256" s="205"/>
      <c r="F256" s="206"/>
      <c r="G256" s="51"/>
    </row>
    <row r="257" spans="1:7" s="52" customFormat="1" x14ac:dyDescent="0.3">
      <c r="A257" s="53" t="s">
        <v>91</v>
      </c>
      <c r="B257" s="54">
        <v>4</v>
      </c>
      <c r="C257" s="153" t="str">
        <f t="shared" ref="C257:C263" si="21" xml:space="preserve"> IF(B257="","",setValueToTime(B257))</f>
        <v>0h20min</v>
      </c>
      <c r="D257" s="55" t="s">
        <v>62</v>
      </c>
      <c r="E257" s="199"/>
      <c r="F257" s="200"/>
      <c r="G257" s="51"/>
    </row>
    <row r="258" spans="1:7" s="52" customFormat="1" ht="27" x14ac:dyDescent="0.3">
      <c r="A258" s="53" t="s">
        <v>85</v>
      </c>
      <c r="B258" s="54">
        <v>11</v>
      </c>
      <c r="C258" s="153" t="str">
        <f t="shared" si="21"/>
        <v>0h55min</v>
      </c>
      <c r="D258" s="55" t="s">
        <v>61</v>
      </c>
      <c r="E258" s="199"/>
      <c r="F258" s="200"/>
      <c r="G258" s="51"/>
    </row>
    <row r="259" spans="1:7" s="52" customFormat="1" x14ac:dyDescent="0.3">
      <c r="A259" s="53" t="s">
        <v>86</v>
      </c>
      <c r="B259" s="54">
        <v>5</v>
      </c>
      <c r="C259" s="153" t="str">
        <f t="shared" si="21"/>
        <v>0h25min</v>
      </c>
      <c r="D259" s="55" t="s">
        <v>63</v>
      </c>
      <c r="E259" s="199"/>
      <c r="F259" s="200"/>
      <c r="G259" s="51"/>
    </row>
    <row r="260" spans="1:7" s="52" customFormat="1" x14ac:dyDescent="0.3">
      <c r="A260" s="54" t="s">
        <v>84</v>
      </c>
      <c r="B260" s="54">
        <v>8</v>
      </c>
      <c r="C260" s="154" t="str">
        <f t="shared" si="21"/>
        <v>0h40min</v>
      </c>
      <c r="D260" s="55" t="s">
        <v>75</v>
      </c>
      <c r="E260" s="199"/>
      <c r="F260" s="200"/>
      <c r="G260" s="51"/>
    </row>
    <row r="261" spans="1:7" s="52" customFormat="1" x14ac:dyDescent="0.3">
      <c r="A261" s="54" t="s">
        <v>17</v>
      </c>
      <c r="B261" s="54">
        <v>2</v>
      </c>
      <c r="C261" s="154" t="str">
        <f t="shared" si="21"/>
        <v>0h10min</v>
      </c>
      <c r="D261" s="55" t="s">
        <v>55</v>
      </c>
      <c r="E261" s="199"/>
      <c r="F261" s="200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199"/>
      <c r="F262" s="200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01"/>
      <c r="F263" s="202"/>
      <c r="G263" s="51"/>
    </row>
    <row r="264" spans="1:7" s="52" customFormat="1" ht="15" thickBot="1" x14ac:dyDescent="0.35">
      <c r="A264" s="111" t="s">
        <v>29</v>
      </c>
      <c r="B264" s="84">
        <f>SUM(B256:B263)</f>
        <v>48</v>
      </c>
      <c r="C264" s="111" t="str">
        <f xml:space="preserve"> setValueToTime(B264)</f>
        <v>4h</v>
      </c>
      <c r="D264" s="120"/>
      <c r="E264" s="203"/>
      <c r="F264" s="20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5</v>
      </c>
      <c r="C266" s="163"/>
      <c r="D266" s="82" t="s">
        <v>15</v>
      </c>
      <c r="E266" s="94">
        <v>45427</v>
      </c>
      <c r="F266" s="126" t="s">
        <v>49</v>
      </c>
      <c r="G266" s="46"/>
    </row>
    <row r="267" spans="1:7" s="47" customFormat="1" ht="30" customHeight="1" thickBot="1" x14ac:dyDescent="0.3">
      <c r="A267" s="80" t="s">
        <v>5</v>
      </c>
      <c r="B267" s="150" t="s">
        <v>42</v>
      </c>
      <c r="C267" s="151"/>
      <c r="D267" s="80" t="s">
        <v>13</v>
      </c>
      <c r="E267" s="207" t="s">
        <v>14</v>
      </c>
      <c r="F267" s="208"/>
      <c r="G267" s="46"/>
    </row>
    <row r="268" spans="1:7" s="52" customFormat="1" x14ac:dyDescent="0.3">
      <c r="A268" s="48" t="s">
        <v>86</v>
      </c>
      <c r="B268" s="54">
        <v>2</v>
      </c>
      <c r="C268" s="152" t="str">
        <f xml:space="preserve"> IF(B268="","",setValueToTime(B268))</f>
        <v>0h10min</v>
      </c>
      <c r="D268" s="55" t="s">
        <v>69</v>
      </c>
      <c r="E268" s="205"/>
      <c r="F268" s="206"/>
      <c r="G268" s="51"/>
    </row>
    <row r="269" spans="1:7" s="52" customFormat="1" x14ac:dyDescent="0.3">
      <c r="A269" s="53" t="s">
        <v>84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68</v>
      </c>
      <c r="E269" s="199"/>
      <c r="F269" s="200"/>
      <c r="G269" s="51"/>
    </row>
    <row r="270" spans="1:7" s="52" customFormat="1" ht="27" x14ac:dyDescent="0.3">
      <c r="A270" s="53" t="s">
        <v>85</v>
      </c>
      <c r="B270" s="54">
        <v>8</v>
      </c>
      <c r="C270" s="153" t="str">
        <f t="shared" si="22"/>
        <v>0h40min</v>
      </c>
      <c r="D270" s="55" t="s">
        <v>70</v>
      </c>
      <c r="E270" s="199"/>
      <c r="F270" s="200"/>
      <c r="G270" s="51"/>
    </row>
    <row r="271" spans="1:7" s="52" customFormat="1" x14ac:dyDescent="0.3">
      <c r="A271" s="53" t="s">
        <v>86</v>
      </c>
      <c r="B271" s="54">
        <v>5</v>
      </c>
      <c r="C271" s="153" t="str">
        <f t="shared" si="22"/>
        <v>0h25min</v>
      </c>
      <c r="D271" s="55" t="s">
        <v>71</v>
      </c>
      <c r="E271" s="199"/>
      <c r="F271" s="200"/>
      <c r="G271" s="51"/>
    </row>
    <row r="272" spans="1:7" s="52" customFormat="1" x14ac:dyDescent="0.3">
      <c r="A272" s="54" t="s">
        <v>16</v>
      </c>
      <c r="B272" s="54">
        <v>8</v>
      </c>
      <c r="C272" s="154" t="str">
        <f t="shared" si="22"/>
        <v>0h40min</v>
      </c>
      <c r="D272" s="55" t="s">
        <v>67</v>
      </c>
      <c r="E272" s="199"/>
      <c r="F272" s="200"/>
      <c r="G272" s="51"/>
    </row>
    <row r="273" spans="1:7" s="52" customFormat="1" x14ac:dyDescent="0.3">
      <c r="A273" s="54" t="s">
        <v>17</v>
      </c>
      <c r="B273" s="54">
        <v>2</v>
      </c>
      <c r="C273" s="154" t="str">
        <f t="shared" si="22"/>
        <v>0h10min</v>
      </c>
      <c r="D273" s="55" t="s">
        <v>55</v>
      </c>
      <c r="E273" s="199"/>
      <c r="F273" s="200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199"/>
      <c r="F274" s="200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01"/>
      <c r="F275" s="202"/>
      <c r="G275" s="51"/>
    </row>
    <row r="276" spans="1:7" s="52" customFormat="1" ht="15" thickBot="1" x14ac:dyDescent="0.35">
      <c r="A276" s="111" t="s">
        <v>29</v>
      </c>
      <c r="B276" s="84">
        <f>SUM(B268:B275)</f>
        <v>28</v>
      </c>
      <c r="C276" s="111" t="str">
        <f xml:space="preserve"> setValueToTime(B276)</f>
        <v>2h20min</v>
      </c>
      <c r="D276" s="120"/>
      <c r="E276" s="203"/>
      <c r="F276" s="20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4</v>
      </c>
      <c r="C278" s="163"/>
      <c r="D278" s="82" t="s">
        <v>15</v>
      </c>
      <c r="E278" s="94">
        <v>45426</v>
      </c>
      <c r="F278" s="126" t="s">
        <v>48</v>
      </c>
      <c r="G278" s="46"/>
    </row>
    <row r="279" spans="1:7" s="47" customFormat="1" ht="30" customHeight="1" thickBot="1" x14ac:dyDescent="0.3">
      <c r="A279" s="80" t="s">
        <v>5</v>
      </c>
      <c r="B279" s="150" t="s">
        <v>42</v>
      </c>
      <c r="C279" s="151"/>
      <c r="D279" s="80" t="s">
        <v>13</v>
      </c>
      <c r="E279" s="207" t="s">
        <v>14</v>
      </c>
      <c r="F279" s="208"/>
      <c r="G279" s="46"/>
    </row>
    <row r="280" spans="1:7" s="52" customFormat="1" x14ac:dyDescent="0.3">
      <c r="A280" s="48" t="s">
        <v>4</v>
      </c>
      <c r="B280" s="49">
        <v>12</v>
      </c>
      <c r="C280" s="152" t="str">
        <f xml:space="preserve"> IF(B280="","",setValueToTime(B280))</f>
        <v>1h</v>
      </c>
      <c r="D280" s="50" t="s">
        <v>50</v>
      </c>
      <c r="E280" s="205"/>
      <c r="F280" s="206"/>
      <c r="G280" s="51"/>
    </row>
    <row r="281" spans="1:7" s="52" customFormat="1" x14ac:dyDescent="0.3">
      <c r="A281" s="53" t="s">
        <v>84</v>
      </c>
      <c r="B281" s="54">
        <v>4</v>
      </c>
      <c r="C281" s="153" t="str">
        <f t="shared" ref="C281:C287" si="23" xml:space="preserve"> IF(B281="","",setValueToTime(B281))</f>
        <v>0h20min</v>
      </c>
      <c r="D281" s="55" t="s">
        <v>72</v>
      </c>
      <c r="E281" s="199"/>
      <c r="F281" s="200"/>
      <c r="G281" s="51"/>
    </row>
    <row r="282" spans="1:7" s="52" customFormat="1" ht="27" x14ac:dyDescent="0.3">
      <c r="A282" s="53" t="s">
        <v>85</v>
      </c>
      <c r="B282" s="54">
        <v>4</v>
      </c>
      <c r="C282" s="153" t="str">
        <f t="shared" si="23"/>
        <v>0h20min</v>
      </c>
      <c r="D282" s="55" t="s">
        <v>73</v>
      </c>
      <c r="E282" s="199"/>
      <c r="F282" s="200"/>
      <c r="G282" s="51"/>
    </row>
    <row r="283" spans="1:7" s="52" customFormat="1" ht="27" x14ac:dyDescent="0.3">
      <c r="A283" s="53" t="s">
        <v>85</v>
      </c>
      <c r="B283" s="54">
        <v>4</v>
      </c>
      <c r="C283" s="153" t="str">
        <f t="shared" si="23"/>
        <v>0h20min</v>
      </c>
      <c r="D283" s="55" t="s">
        <v>74</v>
      </c>
      <c r="E283" s="199"/>
      <c r="F283" s="200"/>
      <c r="G283" s="51"/>
    </row>
    <row r="284" spans="1:7" s="52" customFormat="1" x14ac:dyDescent="0.3">
      <c r="A284" s="54" t="s">
        <v>86</v>
      </c>
      <c r="B284" s="54">
        <v>3</v>
      </c>
      <c r="C284" s="154" t="str">
        <f t="shared" si="23"/>
        <v>0h15min</v>
      </c>
      <c r="D284" s="55" t="s">
        <v>69</v>
      </c>
      <c r="E284" s="199"/>
      <c r="F284" s="200"/>
      <c r="G284" s="51"/>
    </row>
    <row r="285" spans="1:7" s="52" customFormat="1" x14ac:dyDescent="0.3">
      <c r="A285" s="54" t="s">
        <v>17</v>
      </c>
      <c r="B285" s="54">
        <v>2</v>
      </c>
      <c r="C285" s="154" t="str">
        <f t="shared" si="23"/>
        <v>0h10min</v>
      </c>
      <c r="D285" s="55" t="s">
        <v>55</v>
      </c>
      <c r="E285" s="199"/>
      <c r="F285" s="200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199"/>
      <c r="F286" s="200"/>
      <c r="G286" s="51"/>
    </row>
    <row r="287" spans="1:7" s="52" customFormat="1" ht="15" thickBot="1" x14ac:dyDescent="0.35">
      <c r="A287" s="56"/>
      <c r="B287" s="54"/>
      <c r="C287" s="155" t="str">
        <f t="shared" si="23"/>
        <v/>
      </c>
      <c r="D287" s="55"/>
      <c r="E287" s="201"/>
      <c r="F287" s="202"/>
      <c r="G287" s="51"/>
    </row>
    <row r="288" spans="1:7" s="52" customFormat="1" ht="15" thickBot="1" x14ac:dyDescent="0.35">
      <c r="A288" s="111" t="s">
        <v>29</v>
      </c>
      <c r="B288" s="84">
        <f>SUM(B280:B287)</f>
        <v>29</v>
      </c>
      <c r="C288" s="111" t="str">
        <f xml:space="preserve"> setValueToTime(B288)</f>
        <v>2h25min</v>
      </c>
      <c r="D288" s="120"/>
      <c r="E288" s="203"/>
      <c r="F288" s="20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3</v>
      </c>
      <c r="C290" s="163"/>
      <c r="D290" s="82" t="s">
        <v>15</v>
      </c>
      <c r="E290" s="94">
        <v>45426</v>
      </c>
      <c r="F290" s="126" t="s">
        <v>49</v>
      </c>
      <c r="G290" s="46"/>
    </row>
    <row r="291" spans="1:7" s="47" customFormat="1" ht="30" customHeight="1" thickBot="1" x14ac:dyDescent="0.3">
      <c r="A291" s="80" t="s">
        <v>5</v>
      </c>
      <c r="B291" s="150" t="s">
        <v>42</v>
      </c>
      <c r="C291" s="151"/>
      <c r="D291" s="80" t="s">
        <v>13</v>
      </c>
      <c r="E291" s="207" t="s">
        <v>14</v>
      </c>
      <c r="F291" s="208"/>
      <c r="G291" s="46"/>
    </row>
    <row r="292" spans="1:7" s="52" customFormat="1" x14ac:dyDescent="0.3">
      <c r="A292" s="48" t="s">
        <v>91</v>
      </c>
      <c r="B292" s="49">
        <v>6</v>
      </c>
      <c r="C292" s="152" t="str">
        <f xml:space="preserve"> IF(B292="","",setValueToTime(B292))</f>
        <v>0h30min</v>
      </c>
      <c r="D292" s="55" t="s">
        <v>64</v>
      </c>
      <c r="E292" s="205"/>
      <c r="F292" s="206"/>
      <c r="G292" s="51"/>
    </row>
    <row r="293" spans="1:7" s="52" customFormat="1" x14ac:dyDescent="0.3">
      <c r="A293" s="53" t="s">
        <v>91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58</v>
      </c>
      <c r="E293" s="199"/>
      <c r="F293" s="200"/>
      <c r="G293" s="51"/>
    </row>
    <row r="294" spans="1:7" s="52" customFormat="1" ht="27" x14ac:dyDescent="0.3">
      <c r="A294" s="53" t="s">
        <v>16</v>
      </c>
      <c r="B294" s="54">
        <v>12</v>
      </c>
      <c r="C294" s="153" t="str">
        <f t="shared" si="24"/>
        <v>1h</v>
      </c>
      <c r="D294" s="55" t="s">
        <v>65</v>
      </c>
      <c r="E294" s="199"/>
      <c r="F294" s="200"/>
      <c r="G294" s="51"/>
    </row>
    <row r="295" spans="1:7" s="52" customFormat="1" x14ac:dyDescent="0.3">
      <c r="A295" s="53" t="s">
        <v>89</v>
      </c>
      <c r="B295" s="54">
        <v>10</v>
      </c>
      <c r="C295" s="153" t="str">
        <f t="shared" si="24"/>
        <v>0h50min</v>
      </c>
      <c r="D295" s="55" t="s">
        <v>59</v>
      </c>
      <c r="E295" s="199"/>
      <c r="F295" s="200"/>
      <c r="G295" s="51"/>
    </row>
    <row r="296" spans="1:7" s="52" customFormat="1" x14ac:dyDescent="0.3">
      <c r="A296" s="54" t="s">
        <v>88</v>
      </c>
      <c r="B296" s="54">
        <v>4</v>
      </c>
      <c r="C296" s="154" t="str">
        <f t="shared" si="24"/>
        <v>0h20min</v>
      </c>
      <c r="D296" s="55" t="s">
        <v>56</v>
      </c>
      <c r="E296" s="199"/>
      <c r="F296" s="200"/>
      <c r="G296" s="51"/>
    </row>
    <row r="297" spans="1:7" s="52" customFormat="1" x14ac:dyDescent="0.3">
      <c r="A297" s="54" t="s">
        <v>16</v>
      </c>
      <c r="B297" s="54">
        <v>6</v>
      </c>
      <c r="C297" s="154" t="str">
        <f t="shared" si="24"/>
        <v>0h30min</v>
      </c>
      <c r="D297" s="55" t="s">
        <v>66</v>
      </c>
      <c r="E297" s="199"/>
      <c r="F297" s="200"/>
      <c r="G297" s="51"/>
    </row>
    <row r="298" spans="1:7" s="52" customFormat="1" x14ac:dyDescent="0.3">
      <c r="A298" s="54" t="s">
        <v>17</v>
      </c>
      <c r="B298" s="54">
        <v>2</v>
      </c>
      <c r="C298" s="154" t="str">
        <f t="shared" si="24"/>
        <v>0h10min</v>
      </c>
      <c r="D298" s="55" t="s">
        <v>55</v>
      </c>
      <c r="E298" s="199"/>
      <c r="F298" s="200"/>
      <c r="G298" s="51"/>
    </row>
    <row r="299" spans="1:7" s="52" customFormat="1" ht="15" thickBot="1" x14ac:dyDescent="0.35">
      <c r="A299" s="56"/>
      <c r="B299" s="54"/>
      <c r="C299" s="155" t="str">
        <f t="shared" si="24"/>
        <v/>
      </c>
      <c r="D299" s="55"/>
      <c r="E299" s="201"/>
      <c r="F299" s="202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03"/>
      <c r="F300" s="20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2</v>
      </c>
      <c r="C302" s="163"/>
      <c r="D302" s="82" t="s">
        <v>15</v>
      </c>
      <c r="E302" s="94">
        <v>45425</v>
      </c>
      <c r="F302" s="126" t="s">
        <v>48</v>
      </c>
      <c r="G302" s="46"/>
    </row>
    <row r="303" spans="1:7" s="47" customFormat="1" ht="30" customHeight="1" thickBot="1" x14ac:dyDescent="0.3">
      <c r="A303" s="80" t="s">
        <v>5</v>
      </c>
      <c r="B303" s="150" t="s">
        <v>42</v>
      </c>
      <c r="C303" s="151"/>
      <c r="D303" s="80" t="s">
        <v>13</v>
      </c>
      <c r="E303" s="207" t="s">
        <v>14</v>
      </c>
      <c r="F303" s="208"/>
      <c r="G303" s="46"/>
    </row>
    <row r="304" spans="1:7" s="52" customFormat="1" x14ac:dyDescent="0.3">
      <c r="A304" s="48" t="s">
        <v>32</v>
      </c>
      <c r="B304" s="49">
        <v>24</v>
      </c>
      <c r="C304" s="152" t="str">
        <f xml:space="preserve"> IF(B304="","",setValueToTime(B304))</f>
        <v>2h</v>
      </c>
      <c r="D304" s="50" t="s">
        <v>54</v>
      </c>
      <c r="E304" s="205"/>
      <c r="F304" s="206"/>
      <c r="G304" s="51"/>
    </row>
    <row r="305" spans="1:7" s="52" customFormat="1" x14ac:dyDescent="0.3">
      <c r="A305" s="53" t="s">
        <v>16</v>
      </c>
      <c r="B305" s="54">
        <v>2</v>
      </c>
      <c r="C305" s="153" t="str">
        <f t="shared" ref="C305:C311" si="25" xml:space="preserve"> IF(B305="","",setValueToTime(B305))</f>
        <v>0h10min</v>
      </c>
      <c r="D305" s="55" t="s">
        <v>67</v>
      </c>
      <c r="E305" s="199"/>
      <c r="F305" s="200"/>
      <c r="G305" s="51"/>
    </row>
    <row r="306" spans="1:7" s="52" customFormat="1" x14ac:dyDescent="0.3">
      <c r="A306" s="53" t="s">
        <v>17</v>
      </c>
      <c r="B306" s="54">
        <v>2</v>
      </c>
      <c r="C306" s="153" t="str">
        <f t="shared" si="25"/>
        <v>0h10min</v>
      </c>
      <c r="D306" s="55" t="s">
        <v>55</v>
      </c>
      <c r="E306" s="199"/>
      <c r="F306" s="200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199"/>
      <c r="F307" s="200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199"/>
      <c r="F308" s="200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199"/>
      <c r="F309" s="200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199"/>
      <c r="F310" s="200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01"/>
      <c r="F311" s="202"/>
      <c r="G311" s="51"/>
    </row>
    <row r="312" spans="1:7" s="52" customFormat="1" ht="15" thickBot="1" x14ac:dyDescent="0.35">
      <c r="A312" s="111" t="s">
        <v>29</v>
      </c>
      <c r="B312" s="84">
        <f>SUM(B304:B311)</f>
        <v>28</v>
      </c>
      <c r="C312" s="111" t="str">
        <f xml:space="preserve"> setValueToTime(B312)</f>
        <v>2h20min</v>
      </c>
      <c r="D312" s="120"/>
      <c r="E312" s="203"/>
      <c r="F312" s="204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12</v>
      </c>
      <c r="B314" s="163">
        <v>1</v>
      </c>
      <c r="C314" s="163"/>
      <c r="D314" s="82" t="s">
        <v>15</v>
      </c>
      <c r="E314" s="94">
        <v>45425</v>
      </c>
      <c r="F314" s="126" t="s">
        <v>49</v>
      </c>
      <c r="G314" s="46"/>
    </row>
    <row r="315" spans="1:7" s="47" customFormat="1" ht="30" customHeight="1" thickBot="1" x14ac:dyDescent="0.3">
      <c r="A315" s="80" t="s">
        <v>5</v>
      </c>
      <c r="B315" s="150" t="s">
        <v>42</v>
      </c>
      <c r="C315" s="151"/>
      <c r="D315" s="80" t="s">
        <v>13</v>
      </c>
      <c r="E315" s="207" t="s">
        <v>14</v>
      </c>
      <c r="F315" s="208"/>
      <c r="G315" s="46"/>
    </row>
    <row r="316" spans="1:7" s="52" customFormat="1" x14ac:dyDescent="0.3">
      <c r="A316" s="48" t="s">
        <v>87</v>
      </c>
      <c r="B316" s="49">
        <v>3</v>
      </c>
      <c r="C316" s="152" t="str">
        <f xml:space="preserve"> IF(B316="","",setValueToTime(B316))</f>
        <v>0h15min</v>
      </c>
      <c r="D316" s="50" t="s">
        <v>52</v>
      </c>
      <c r="E316" s="205"/>
      <c r="F316" s="206"/>
      <c r="G316" s="51"/>
    </row>
    <row r="317" spans="1:7" s="52" customFormat="1" x14ac:dyDescent="0.3">
      <c r="A317" s="53" t="s">
        <v>87</v>
      </c>
      <c r="B317" s="54">
        <v>5</v>
      </c>
      <c r="C317" s="153" t="str">
        <f t="shared" ref="C317:C323" si="26" xml:space="preserve"> IF(B317="","",setValueToTime(B317))</f>
        <v>0h25min</v>
      </c>
      <c r="D317" s="55" t="s">
        <v>53</v>
      </c>
      <c r="E317" s="199"/>
      <c r="F317" s="200"/>
      <c r="G317" s="51"/>
    </row>
    <row r="318" spans="1:7" s="52" customFormat="1" x14ac:dyDescent="0.3">
      <c r="A318" s="53"/>
      <c r="B318" s="54">
        <v>8</v>
      </c>
      <c r="C318" s="153" t="str">
        <f xml:space="preserve"> IF(B318="","",setValueToTime(B318))</f>
        <v>0h40min</v>
      </c>
      <c r="D318" s="55" t="s">
        <v>57</v>
      </c>
      <c r="E318" s="199"/>
      <c r="F318" s="200"/>
      <c r="G318" s="51"/>
    </row>
    <row r="319" spans="1:7" s="52" customFormat="1" x14ac:dyDescent="0.3">
      <c r="A319" s="53" t="s">
        <v>32</v>
      </c>
      <c r="B319" s="54">
        <v>30</v>
      </c>
      <c r="C319" s="153" t="str">
        <f t="shared" si="26"/>
        <v>2h30min</v>
      </c>
      <c r="D319" s="55" t="s">
        <v>54</v>
      </c>
      <c r="E319" s="199"/>
      <c r="F319" s="200"/>
      <c r="G319" s="51"/>
    </row>
    <row r="320" spans="1:7" s="52" customFormat="1" x14ac:dyDescent="0.3">
      <c r="A320" s="54" t="s">
        <v>17</v>
      </c>
      <c r="B320" s="54">
        <v>2</v>
      </c>
      <c r="C320" s="154" t="str">
        <f t="shared" si="26"/>
        <v>0h10min</v>
      </c>
      <c r="D320" s="55" t="s">
        <v>55</v>
      </c>
      <c r="E320" s="199"/>
      <c r="F320" s="200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199"/>
      <c r="F321" s="200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199"/>
      <c r="F322" s="200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01"/>
      <c r="F323" s="202"/>
      <c r="G323" s="51"/>
    </row>
    <row r="324" spans="1:7" s="52" customFormat="1" ht="15" thickBot="1" x14ac:dyDescent="0.35">
      <c r="A324" s="111" t="s">
        <v>29</v>
      </c>
      <c r="B324" s="84">
        <f>SUM(B316:B323)</f>
        <v>48</v>
      </c>
      <c r="C324" s="111" t="str">
        <f xml:space="preserve"> setValueToTime(B324)</f>
        <v>4h</v>
      </c>
      <c r="D324" s="120"/>
      <c r="E324" s="203"/>
      <c r="F324" s="204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292:B299 B244:B251 B280:B287 B220:B227 B208:B215 B196:B203 B184:B191 B172:B179 B160:B167 B148:B155 B136:B143 B124:B131 B112:B119 B100:B107 B88:B95 B76:B83 B64:B71 B52:B59 B40:B47 B28:B35 B16:B23 B232:B239" xr:uid="{C4FBE991-4BEB-4888-97A5-141CFF2C3488}">
      <formula1>0</formula1>
    </dataValidation>
    <dataValidation type="list" allowBlank="1" showInputMessage="1" showErrorMessage="1" sqref="A316:A323 A304:A311 A292:A299 A280:A287 A268:A275 A244:A251 A232:A239 A220:A227 A208:A215 A196:A203 A184:A191 A172:A179 A160:A167 A148:A155 A136:A143 A124:A131 A112:A119 A100:A107 A88:A95 A76:A83 A64:A71 A52:A59 A40:A47 A28:A35 A16:A23 A4:A11 A256:A263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27</v>
      </c>
      <c r="C2" s="164"/>
      <c r="D2" s="157" t="s">
        <v>15</v>
      </c>
      <c r="E2" s="158" t="s">
        <v>99</v>
      </c>
      <c r="F2" s="159" t="s">
        <v>48</v>
      </c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11" t="s">
        <v>14</v>
      </c>
      <c r="F3" s="212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05"/>
      <c r="F4" s="206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199"/>
      <c r="F10" s="20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1"/>
      <c r="F11" s="202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09"/>
      <c r="F12" s="21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26</v>
      </c>
      <c r="C14" s="164"/>
      <c r="D14" s="157" t="s">
        <v>15</v>
      </c>
      <c r="E14" s="158" t="s">
        <v>99</v>
      </c>
      <c r="F14" s="159" t="s">
        <v>49</v>
      </c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11" t="s">
        <v>14</v>
      </c>
      <c r="F15" s="212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05"/>
      <c r="F16" s="206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199"/>
      <c r="F17" s="200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199"/>
      <c r="F18" s="20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199"/>
      <c r="F19" s="20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199"/>
      <c r="F20" s="20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199"/>
      <c r="F21" s="20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199"/>
      <c r="F22" s="20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1"/>
      <c r="F23" s="202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09"/>
      <c r="F24" s="210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25</v>
      </c>
      <c r="C26" s="164"/>
      <c r="D26" s="157" t="s">
        <v>15</v>
      </c>
      <c r="E26" s="158" t="s">
        <v>102</v>
      </c>
      <c r="F26" s="159" t="s">
        <v>48</v>
      </c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11" t="s">
        <v>14</v>
      </c>
      <c r="F27" s="212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05"/>
      <c r="F28" s="206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199"/>
      <c r="F29" s="200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199"/>
      <c r="F30" s="20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199"/>
      <c r="F31" s="20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199"/>
      <c r="F32" s="20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199"/>
      <c r="F33" s="20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199"/>
      <c r="F34" s="20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1"/>
      <c r="F35" s="202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09"/>
      <c r="F36" s="210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24</v>
      </c>
      <c r="C38" s="164"/>
      <c r="D38" s="157" t="s">
        <v>15</v>
      </c>
      <c r="E38" s="158" t="s">
        <v>102</v>
      </c>
      <c r="F38" s="159" t="s">
        <v>49</v>
      </c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11" t="s">
        <v>14</v>
      </c>
      <c r="F39" s="212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05"/>
      <c r="F40" s="206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199"/>
      <c r="F41" s="20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199"/>
      <c r="F42" s="20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199"/>
      <c r="F43" s="20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199"/>
      <c r="F44" s="20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199"/>
      <c r="F45" s="20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199"/>
      <c r="F46" s="20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1"/>
      <c r="F47" s="202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09"/>
      <c r="F48" s="210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23</v>
      </c>
      <c r="C50" s="164"/>
      <c r="D50" s="157" t="s">
        <v>15</v>
      </c>
      <c r="E50" s="158" t="s">
        <v>105</v>
      </c>
      <c r="F50" s="159" t="s">
        <v>48</v>
      </c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11" t="s">
        <v>14</v>
      </c>
      <c r="F51" s="212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05"/>
      <c r="F52" s="206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199"/>
      <c r="F53" s="200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199"/>
      <c r="F54" s="20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199"/>
      <c r="F55" s="20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199"/>
      <c r="F56" s="20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199"/>
      <c r="F57" s="20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199"/>
      <c r="F58" s="20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1"/>
      <c r="F59" s="202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09"/>
      <c r="F60" s="210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22</v>
      </c>
      <c r="C62" s="164"/>
      <c r="D62" s="157" t="s">
        <v>15</v>
      </c>
      <c r="E62" s="158" t="s">
        <v>105</v>
      </c>
      <c r="F62" s="159" t="s">
        <v>49</v>
      </c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11" t="s">
        <v>14</v>
      </c>
      <c r="F63" s="212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05"/>
      <c r="F64" s="206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199"/>
      <c r="F65" s="200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199"/>
      <c r="F66" s="20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199"/>
      <c r="F67" s="20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199"/>
      <c r="F68" s="20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199"/>
      <c r="F69" s="20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199"/>
      <c r="F70" s="20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1"/>
      <c r="F71" s="202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09"/>
      <c r="F72" s="210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21</v>
      </c>
      <c r="C74" s="164"/>
      <c r="D74" s="157" t="s">
        <v>15</v>
      </c>
      <c r="E74" s="158" t="s">
        <v>108</v>
      </c>
      <c r="F74" s="159" t="s">
        <v>49</v>
      </c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11" t="s">
        <v>14</v>
      </c>
      <c r="F75" s="212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05"/>
      <c r="F76" s="206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199"/>
      <c r="F77" s="200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199"/>
      <c r="F78" s="200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199"/>
      <c r="F79" s="200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199"/>
      <c r="F80" s="20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199"/>
      <c r="F81" s="20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199"/>
      <c r="F82" s="20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1"/>
      <c r="F83" s="202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09"/>
      <c r="F84" s="210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20</v>
      </c>
      <c r="C86" s="164"/>
      <c r="D86" s="157" t="s">
        <v>15</v>
      </c>
      <c r="E86" s="158" t="s">
        <v>110</v>
      </c>
      <c r="F86" s="159" t="s">
        <v>48</v>
      </c>
      <c r="G86" s="46"/>
    </row>
    <row r="87" spans="1:7" s="47" customFormat="1" ht="30" customHeight="1" thickBot="1" x14ac:dyDescent="0.3">
      <c r="A87" s="78" t="s">
        <v>5</v>
      </c>
      <c r="B87" s="161" t="s">
        <v>42</v>
      </c>
      <c r="C87" s="160"/>
      <c r="D87" s="78" t="s">
        <v>13</v>
      </c>
      <c r="E87" s="211" t="s">
        <v>14</v>
      </c>
      <c r="F87" s="212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05"/>
      <c r="F88" s="206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199"/>
      <c r="F89" s="200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199"/>
      <c r="F90" s="200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199"/>
      <c r="F91" s="200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199"/>
      <c r="F92" s="200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199"/>
      <c r="F93" s="200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199"/>
      <c r="F94" s="200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01"/>
      <c r="F95" s="202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09"/>
      <c r="F96" s="210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12</v>
      </c>
      <c r="B98" s="164">
        <v>19</v>
      </c>
      <c r="C98" s="164"/>
      <c r="D98" s="157" t="s">
        <v>15</v>
      </c>
      <c r="E98" s="158" t="s">
        <v>110</v>
      </c>
      <c r="F98" s="159" t="s">
        <v>49</v>
      </c>
      <c r="G98" s="46"/>
    </row>
    <row r="99" spans="1:7" s="47" customFormat="1" ht="30" customHeight="1" thickBot="1" x14ac:dyDescent="0.3">
      <c r="A99" s="78" t="s">
        <v>5</v>
      </c>
      <c r="B99" s="161" t="s">
        <v>42</v>
      </c>
      <c r="C99" s="160"/>
      <c r="D99" s="78" t="s">
        <v>13</v>
      </c>
      <c r="E99" s="211" t="s">
        <v>14</v>
      </c>
      <c r="F99" s="212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05"/>
      <c r="F100" s="206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199"/>
      <c r="F101" s="200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199"/>
      <c r="F102" s="200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199"/>
      <c r="F103" s="200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199"/>
      <c r="F104" s="200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199"/>
      <c r="F105" s="200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199"/>
      <c r="F106" s="200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01"/>
      <c r="F107" s="202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09"/>
      <c r="F108" s="210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12</v>
      </c>
      <c r="B110" s="164">
        <v>18</v>
      </c>
      <c r="C110" s="164"/>
      <c r="D110" s="157" t="s">
        <v>15</v>
      </c>
      <c r="E110" s="158" t="s">
        <v>113</v>
      </c>
      <c r="F110" s="159" t="s">
        <v>48</v>
      </c>
      <c r="G110" s="46"/>
    </row>
    <row r="111" spans="1:7" s="47" customFormat="1" ht="30" customHeight="1" thickBot="1" x14ac:dyDescent="0.3">
      <c r="A111" s="78" t="s">
        <v>5</v>
      </c>
      <c r="B111" s="161" t="s">
        <v>42</v>
      </c>
      <c r="C111" s="160"/>
      <c r="D111" s="78" t="s">
        <v>13</v>
      </c>
      <c r="E111" s="211" t="s">
        <v>14</v>
      </c>
      <c r="F111" s="212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05"/>
      <c r="F112" s="206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199"/>
      <c r="F113" s="200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199"/>
      <c r="F114" s="200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199"/>
      <c r="F115" s="200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199"/>
      <c r="F116" s="200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199"/>
      <c r="F117" s="200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199"/>
      <c r="F118" s="200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01"/>
      <c r="F119" s="202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09"/>
      <c r="F120" s="210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12</v>
      </c>
      <c r="B122" s="164">
        <v>17</v>
      </c>
      <c r="C122" s="164"/>
      <c r="D122" s="157" t="s">
        <v>15</v>
      </c>
      <c r="E122" s="158" t="s">
        <v>113</v>
      </c>
      <c r="F122" s="159" t="s">
        <v>49</v>
      </c>
      <c r="G122" s="46"/>
    </row>
    <row r="123" spans="1:7" s="47" customFormat="1" ht="30" customHeight="1" thickBot="1" x14ac:dyDescent="0.3">
      <c r="A123" s="78" t="s">
        <v>5</v>
      </c>
      <c r="B123" s="161" t="s">
        <v>42</v>
      </c>
      <c r="C123" s="160"/>
      <c r="D123" s="78" t="s">
        <v>13</v>
      </c>
      <c r="E123" s="211" t="s">
        <v>14</v>
      </c>
      <c r="F123" s="212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05"/>
      <c r="F124" s="206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199"/>
      <c r="F125" s="200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199"/>
      <c r="F126" s="200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199"/>
      <c r="F127" s="200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199"/>
      <c r="F128" s="200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199"/>
      <c r="F129" s="200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199"/>
      <c r="F130" s="200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01"/>
      <c r="F131" s="202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09"/>
      <c r="F132" s="210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12</v>
      </c>
      <c r="B134" s="164">
        <v>16</v>
      </c>
      <c r="C134" s="164"/>
      <c r="D134" s="157" t="s">
        <v>15</v>
      </c>
      <c r="E134" s="158" t="s">
        <v>116</v>
      </c>
      <c r="F134" s="159" t="s">
        <v>48</v>
      </c>
      <c r="G134" s="46"/>
    </row>
    <row r="135" spans="1:7" s="47" customFormat="1" ht="30" customHeight="1" thickBot="1" x14ac:dyDescent="0.3">
      <c r="A135" s="78" t="s">
        <v>5</v>
      </c>
      <c r="B135" s="161" t="s">
        <v>42</v>
      </c>
      <c r="C135" s="160"/>
      <c r="D135" s="78" t="s">
        <v>13</v>
      </c>
      <c r="E135" s="211" t="s">
        <v>14</v>
      </c>
      <c r="F135" s="212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05"/>
      <c r="F136" s="206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199"/>
      <c r="F137" s="200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199"/>
      <c r="F138" s="200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199"/>
      <c r="F139" s="200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199"/>
      <c r="F140" s="200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199"/>
      <c r="F141" s="200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199"/>
      <c r="F142" s="200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01"/>
      <c r="F143" s="202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09"/>
      <c r="F144" s="210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12</v>
      </c>
      <c r="B146" s="164">
        <v>15</v>
      </c>
      <c r="C146" s="164"/>
      <c r="D146" s="157" t="s">
        <v>15</v>
      </c>
      <c r="E146" s="158" t="s">
        <v>116</v>
      </c>
      <c r="F146" s="159" t="s">
        <v>49</v>
      </c>
      <c r="G146" s="46"/>
    </row>
    <row r="147" spans="1:7" s="47" customFormat="1" ht="30" customHeight="1" thickBot="1" x14ac:dyDescent="0.3">
      <c r="A147" s="78" t="s">
        <v>5</v>
      </c>
      <c r="B147" s="161" t="s">
        <v>42</v>
      </c>
      <c r="C147" s="160"/>
      <c r="D147" s="78" t="s">
        <v>13</v>
      </c>
      <c r="E147" s="211" t="s">
        <v>14</v>
      </c>
      <c r="F147" s="212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05"/>
      <c r="F148" s="206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199"/>
      <c r="F149" s="200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199"/>
      <c r="F150" s="200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199"/>
      <c r="F151" s="200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199"/>
      <c r="F152" s="200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199"/>
      <c r="F153" s="200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199"/>
      <c r="F154" s="200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01"/>
      <c r="F155" s="202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09"/>
      <c r="F156" s="210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12</v>
      </c>
      <c r="B158" s="164">
        <v>14</v>
      </c>
      <c r="C158" s="164"/>
      <c r="D158" s="157" t="s">
        <v>15</v>
      </c>
      <c r="E158" s="158" t="s">
        <v>119</v>
      </c>
      <c r="F158" s="159" t="s">
        <v>48</v>
      </c>
      <c r="G158" s="46"/>
    </row>
    <row r="159" spans="1:7" s="47" customFormat="1" ht="30" customHeight="1" thickBot="1" x14ac:dyDescent="0.3">
      <c r="A159" s="78" t="s">
        <v>5</v>
      </c>
      <c r="B159" s="161" t="s">
        <v>42</v>
      </c>
      <c r="C159" s="160"/>
      <c r="D159" s="78" t="s">
        <v>13</v>
      </c>
      <c r="E159" s="211" t="s">
        <v>14</v>
      </c>
      <c r="F159" s="212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05"/>
      <c r="F160" s="206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199"/>
      <c r="F161" s="200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199"/>
      <c r="F162" s="200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199"/>
      <c r="F163" s="200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199"/>
      <c r="F164" s="200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199"/>
      <c r="F165" s="200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199"/>
      <c r="F166" s="200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01"/>
      <c r="F167" s="202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09"/>
      <c r="F168" s="210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12</v>
      </c>
      <c r="B170" s="164">
        <v>13</v>
      </c>
      <c r="C170" s="164"/>
      <c r="D170" s="157" t="s">
        <v>15</v>
      </c>
      <c r="E170" s="158" t="s">
        <v>119</v>
      </c>
      <c r="F170" s="159" t="s">
        <v>49</v>
      </c>
      <c r="G170" s="46"/>
    </row>
    <row r="171" spans="1:7" s="47" customFormat="1" ht="30" customHeight="1" thickBot="1" x14ac:dyDescent="0.3">
      <c r="A171" s="78" t="s">
        <v>5</v>
      </c>
      <c r="B171" s="161" t="s">
        <v>42</v>
      </c>
      <c r="C171" s="160"/>
      <c r="D171" s="78" t="s">
        <v>13</v>
      </c>
      <c r="E171" s="211" t="s">
        <v>14</v>
      </c>
      <c r="F171" s="212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05"/>
      <c r="F172" s="206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199"/>
      <c r="F173" s="200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199"/>
      <c r="F174" s="200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199"/>
      <c r="F175" s="200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199"/>
      <c r="F176" s="200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199"/>
      <c r="F177" s="200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199"/>
      <c r="F178" s="200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01"/>
      <c r="F179" s="202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09"/>
      <c r="F180" s="210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12</v>
      </c>
      <c r="B182" s="164">
        <v>12</v>
      </c>
      <c r="C182" s="164"/>
      <c r="D182" s="157" t="s">
        <v>15</v>
      </c>
      <c r="E182" s="158" t="s">
        <v>122</v>
      </c>
      <c r="F182" s="159" t="s">
        <v>49</v>
      </c>
      <c r="G182" s="46"/>
    </row>
    <row r="183" spans="1:7" s="47" customFormat="1" ht="30" customHeight="1" thickBot="1" x14ac:dyDescent="0.3">
      <c r="A183" s="78" t="s">
        <v>5</v>
      </c>
      <c r="B183" s="161" t="s">
        <v>42</v>
      </c>
      <c r="C183" s="160"/>
      <c r="D183" s="78" t="s">
        <v>13</v>
      </c>
      <c r="E183" s="211" t="s">
        <v>14</v>
      </c>
      <c r="F183" s="212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05"/>
      <c r="F184" s="206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199"/>
      <c r="F185" s="200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199"/>
      <c r="F186" s="200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199"/>
      <c r="F187" s="200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199"/>
      <c r="F188" s="200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199"/>
      <c r="F189" s="200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199"/>
      <c r="F190" s="200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01"/>
      <c r="F191" s="202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09"/>
      <c r="F192" s="210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12</v>
      </c>
      <c r="B194" s="164">
        <v>11</v>
      </c>
      <c r="C194" s="164"/>
      <c r="D194" s="157" t="s">
        <v>15</v>
      </c>
      <c r="E194" s="158" t="s">
        <v>124</v>
      </c>
      <c r="F194" s="159" t="s">
        <v>48</v>
      </c>
      <c r="G194" s="46"/>
    </row>
    <row r="195" spans="1:7" s="47" customFormat="1" ht="30" customHeight="1" thickBot="1" x14ac:dyDescent="0.3">
      <c r="A195" s="78" t="s">
        <v>5</v>
      </c>
      <c r="B195" s="161" t="s">
        <v>42</v>
      </c>
      <c r="C195" s="160"/>
      <c r="D195" s="78" t="s">
        <v>13</v>
      </c>
      <c r="E195" s="211" t="s">
        <v>14</v>
      </c>
      <c r="F195" s="212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05"/>
      <c r="F196" s="206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199"/>
      <c r="F197" s="200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199"/>
      <c r="F198" s="200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199"/>
      <c r="F199" s="200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199"/>
      <c r="F200" s="200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199"/>
      <c r="F201" s="200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199"/>
      <c r="F202" s="200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01"/>
      <c r="F203" s="202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09"/>
      <c r="F204" s="210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12</v>
      </c>
      <c r="B206" s="164">
        <v>10</v>
      </c>
      <c r="C206" s="164"/>
      <c r="D206" s="157" t="s">
        <v>15</v>
      </c>
      <c r="E206" s="158" t="s">
        <v>124</v>
      </c>
      <c r="F206" s="159" t="s">
        <v>49</v>
      </c>
      <c r="G206" s="46"/>
    </row>
    <row r="207" spans="1:7" s="47" customFormat="1" ht="30" customHeight="1" thickBot="1" x14ac:dyDescent="0.3">
      <c r="A207" s="78" t="s">
        <v>5</v>
      </c>
      <c r="B207" s="161" t="s">
        <v>42</v>
      </c>
      <c r="C207" s="160"/>
      <c r="D207" s="78" t="s">
        <v>13</v>
      </c>
      <c r="E207" s="211" t="s">
        <v>14</v>
      </c>
      <c r="F207" s="212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05"/>
      <c r="F208" s="206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199"/>
      <c r="F209" s="200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199"/>
      <c r="F210" s="200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199"/>
      <c r="F211" s="200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199"/>
      <c r="F212" s="200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199"/>
      <c r="F213" s="200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199"/>
      <c r="F214" s="200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01"/>
      <c r="F215" s="202"/>
      <c r="G215" s="51"/>
    </row>
    <row r="216" spans="1:7" s="52" customFormat="1" ht="15" thickBot="1" x14ac:dyDescent="0.35">
      <c r="A216" s="162" t="s">
        <v>29</v>
      </c>
      <c r="B216" s="83">
        <f>SUM(B208:B215)</f>
        <v>0</v>
      </c>
      <c r="C216" s="162" t="str">
        <f xml:space="preserve"> setValueToTime(B216)</f>
        <v>0h</v>
      </c>
      <c r="D216" s="121"/>
      <c r="E216" s="209"/>
      <c r="F216" s="210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12</v>
      </c>
      <c r="B218" s="164">
        <v>9</v>
      </c>
      <c r="C218" s="164"/>
      <c r="D218" s="157" t="s">
        <v>15</v>
      </c>
      <c r="E218" s="158" t="s">
        <v>127</v>
      </c>
      <c r="F218" s="159" t="s">
        <v>48</v>
      </c>
      <c r="G218" s="46"/>
    </row>
    <row r="219" spans="1:7" s="47" customFormat="1" ht="30" customHeight="1" thickBot="1" x14ac:dyDescent="0.3">
      <c r="A219" s="78" t="s">
        <v>5</v>
      </c>
      <c r="B219" s="161" t="s">
        <v>42</v>
      </c>
      <c r="C219" s="160"/>
      <c r="D219" s="78" t="s">
        <v>13</v>
      </c>
      <c r="E219" s="211" t="s">
        <v>14</v>
      </c>
      <c r="F219" s="212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05"/>
      <c r="F220" s="206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199"/>
      <c r="F221" s="200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199"/>
      <c r="F222" s="200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199"/>
      <c r="F223" s="200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199"/>
      <c r="F224" s="200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199"/>
      <c r="F225" s="200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199"/>
      <c r="F226" s="200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01"/>
      <c r="F227" s="202"/>
      <c r="G227" s="51"/>
    </row>
    <row r="228" spans="1:7" s="52" customFormat="1" ht="15" thickBot="1" x14ac:dyDescent="0.35">
      <c r="A228" s="162" t="s">
        <v>29</v>
      </c>
      <c r="B228" s="83">
        <f>SUM(B220:B227)</f>
        <v>0</v>
      </c>
      <c r="C228" s="162" t="str">
        <f xml:space="preserve"> setValueToTime(B228)</f>
        <v>0h</v>
      </c>
      <c r="D228" s="121"/>
      <c r="E228" s="209"/>
      <c r="F228" s="210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12</v>
      </c>
      <c r="B230" s="164">
        <v>8</v>
      </c>
      <c r="C230" s="164"/>
      <c r="D230" s="157" t="s">
        <v>15</v>
      </c>
      <c r="E230" s="158" t="s">
        <v>127</v>
      </c>
      <c r="F230" s="159" t="s">
        <v>49</v>
      </c>
      <c r="G230" s="46"/>
    </row>
    <row r="231" spans="1:7" s="47" customFormat="1" ht="30" customHeight="1" thickBot="1" x14ac:dyDescent="0.3">
      <c r="A231" s="78" t="s">
        <v>5</v>
      </c>
      <c r="B231" s="161" t="s">
        <v>42</v>
      </c>
      <c r="C231" s="160"/>
      <c r="D231" s="78" t="s">
        <v>13</v>
      </c>
      <c r="E231" s="211" t="s">
        <v>14</v>
      </c>
      <c r="F231" s="212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05"/>
      <c r="F232" s="206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199"/>
      <c r="F233" s="200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199"/>
      <c r="F234" s="200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199"/>
      <c r="F235" s="200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199"/>
      <c r="F236" s="200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199"/>
      <c r="F237" s="200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199"/>
      <c r="F238" s="200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01"/>
      <c r="F239" s="202"/>
      <c r="G239" s="51"/>
    </row>
    <row r="240" spans="1:7" s="52" customFormat="1" ht="15" thickBot="1" x14ac:dyDescent="0.35">
      <c r="A240" s="162" t="s">
        <v>29</v>
      </c>
      <c r="B240" s="83">
        <f>SUM(B232:B239)</f>
        <v>0</v>
      </c>
      <c r="C240" s="162" t="str">
        <f xml:space="preserve"> setValueToTime(B240)</f>
        <v>0h</v>
      </c>
      <c r="D240" s="121"/>
      <c r="E240" s="209"/>
      <c r="F240" s="210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12</v>
      </c>
      <c r="B242" s="164">
        <v>7</v>
      </c>
      <c r="C242" s="164"/>
      <c r="D242" s="157" t="s">
        <v>15</v>
      </c>
      <c r="E242" s="158" t="s">
        <v>130</v>
      </c>
      <c r="F242" s="159" t="s">
        <v>48</v>
      </c>
      <c r="G242" s="46"/>
    </row>
    <row r="243" spans="1:7" s="47" customFormat="1" ht="30" customHeight="1" thickBot="1" x14ac:dyDescent="0.3">
      <c r="A243" s="78" t="s">
        <v>5</v>
      </c>
      <c r="B243" s="161" t="s">
        <v>42</v>
      </c>
      <c r="C243" s="160"/>
      <c r="D243" s="78" t="s">
        <v>13</v>
      </c>
      <c r="E243" s="211" t="s">
        <v>14</v>
      </c>
      <c r="F243" s="212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05"/>
      <c r="F244" s="206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199"/>
      <c r="F245" s="200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199"/>
      <c r="F246" s="200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199"/>
      <c r="F247" s="200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199"/>
      <c r="F248" s="200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199"/>
      <c r="F249" s="200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199"/>
      <c r="F250" s="200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01"/>
      <c r="F251" s="202"/>
      <c r="G251" s="51"/>
    </row>
    <row r="252" spans="1:7" s="52" customFormat="1" ht="15" thickBot="1" x14ac:dyDescent="0.35">
      <c r="A252" s="162" t="s">
        <v>29</v>
      </c>
      <c r="B252" s="83">
        <f>SUM(B244:B251)</f>
        <v>0</v>
      </c>
      <c r="C252" s="162" t="str">
        <f xml:space="preserve"> setValueToTime(B252)</f>
        <v>0h</v>
      </c>
      <c r="D252" s="121"/>
      <c r="E252" s="209"/>
      <c r="F252" s="210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12</v>
      </c>
      <c r="B254" s="164">
        <v>6</v>
      </c>
      <c r="C254" s="164"/>
      <c r="D254" s="157" t="s">
        <v>15</v>
      </c>
      <c r="E254" s="158" t="s">
        <v>130</v>
      </c>
      <c r="F254" s="159" t="s">
        <v>49</v>
      </c>
      <c r="G254" s="46"/>
    </row>
    <row r="255" spans="1:7" s="47" customFormat="1" ht="30" customHeight="1" thickBot="1" x14ac:dyDescent="0.3">
      <c r="A255" s="78" t="s">
        <v>5</v>
      </c>
      <c r="B255" s="161" t="s">
        <v>42</v>
      </c>
      <c r="C255" s="160"/>
      <c r="D255" s="78" t="s">
        <v>13</v>
      </c>
      <c r="E255" s="211" t="s">
        <v>14</v>
      </c>
      <c r="F255" s="212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05"/>
      <c r="F256" s="206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199"/>
      <c r="F257" s="200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199"/>
      <c r="F258" s="200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199"/>
      <c r="F259" s="200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199"/>
      <c r="F260" s="200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199"/>
      <c r="F261" s="200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199"/>
      <c r="F262" s="200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01"/>
      <c r="F263" s="202"/>
      <c r="G263" s="51"/>
    </row>
    <row r="264" spans="1:7" s="52" customFormat="1" ht="15" thickBot="1" x14ac:dyDescent="0.35">
      <c r="A264" s="162" t="s">
        <v>29</v>
      </c>
      <c r="B264" s="83">
        <f>SUM(B256:B263)</f>
        <v>0</v>
      </c>
      <c r="C264" s="162" t="str">
        <f xml:space="preserve"> setValueToTime(B264)</f>
        <v>0h</v>
      </c>
      <c r="D264" s="121"/>
      <c r="E264" s="209"/>
      <c r="F264" s="210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12</v>
      </c>
      <c r="B266" s="164">
        <v>5</v>
      </c>
      <c r="C266" s="164"/>
      <c r="D266" s="157" t="s">
        <v>15</v>
      </c>
      <c r="E266" s="158" t="s">
        <v>133</v>
      </c>
      <c r="F266" s="159" t="s">
        <v>49</v>
      </c>
      <c r="G266" s="46"/>
    </row>
    <row r="267" spans="1:7" s="47" customFormat="1" ht="30" customHeight="1" thickBot="1" x14ac:dyDescent="0.3">
      <c r="A267" s="78" t="s">
        <v>5</v>
      </c>
      <c r="B267" s="161" t="s">
        <v>42</v>
      </c>
      <c r="C267" s="160"/>
      <c r="D267" s="78" t="s">
        <v>13</v>
      </c>
      <c r="E267" s="211" t="s">
        <v>14</v>
      </c>
      <c r="F267" s="212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05"/>
      <c r="F268" s="206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199"/>
      <c r="F269" s="200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199"/>
      <c r="F270" s="200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199"/>
      <c r="F271" s="200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199"/>
      <c r="F272" s="200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199"/>
      <c r="F273" s="200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199"/>
      <c r="F274" s="200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01"/>
      <c r="F275" s="202"/>
      <c r="G275" s="51"/>
    </row>
    <row r="276" spans="1:7" s="52" customFormat="1" ht="15" thickBot="1" x14ac:dyDescent="0.35">
      <c r="A276" s="162" t="s">
        <v>29</v>
      </c>
      <c r="B276" s="83">
        <f>SUM(B268:B275)</f>
        <v>0</v>
      </c>
      <c r="C276" s="162" t="str">
        <f xml:space="preserve"> setValueToTime(B276)</f>
        <v>0h</v>
      </c>
      <c r="D276" s="121"/>
      <c r="E276" s="209"/>
      <c r="F276" s="210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12</v>
      </c>
      <c r="B278" s="164">
        <v>4</v>
      </c>
      <c r="C278" s="164"/>
      <c r="D278" s="157" t="s">
        <v>15</v>
      </c>
      <c r="E278" s="158" t="s">
        <v>135</v>
      </c>
      <c r="F278" s="159" t="s">
        <v>48</v>
      </c>
      <c r="G278" s="46"/>
    </row>
    <row r="279" spans="1:7" s="47" customFormat="1" ht="30" customHeight="1" thickBot="1" x14ac:dyDescent="0.3">
      <c r="A279" s="78" t="s">
        <v>5</v>
      </c>
      <c r="B279" s="161" t="s">
        <v>42</v>
      </c>
      <c r="C279" s="160"/>
      <c r="D279" s="78" t="s">
        <v>13</v>
      </c>
      <c r="E279" s="211" t="s">
        <v>14</v>
      </c>
      <c r="F279" s="212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05"/>
      <c r="F280" s="206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199"/>
      <c r="F281" s="200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199"/>
      <c r="F282" s="200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199"/>
      <c r="F283" s="200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199"/>
      <c r="F284" s="200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199"/>
      <c r="F285" s="200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199"/>
      <c r="F286" s="200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01"/>
      <c r="F287" s="202"/>
      <c r="G287" s="51"/>
    </row>
    <row r="288" spans="1:7" s="52" customFormat="1" ht="15" thickBot="1" x14ac:dyDescent="0.35">
      <c r="A288" s="162" t="s">
        <v>29</v>
      </c>
      <c r="B288" s="83">
        <f>SUM(B280:B287)</f>
        <v>0</v>
      </c>
      <c r="C288" s="162" t="str">
        <f xml:space="preserve"> setValueToTime(B288)</f>
        <v>0h</v>
      </c>
      <c r="D288" s="121"/>
      <c r="E288" s="209"/>
      <c r="F288" s="210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12</v>
      </c>
      <c r="B290" s="164">
        <v>3</v>
      </c>
      <c r="C290" s="164"/>
      <c r="D290" s="157" t="s">
        <v>15</v>
      </c>
      <c r="E290" s="158" t="s">
        <v>135</v>
      </c>
      <c r="F290" s="159" t="s">
        <v>49</v>
      </c>
      <c r="G290" s="46"/>
    </row>
    <row r="291" spans="1:7" s="47" customFormat="1" ht="30" customHeight="1" thickBot="1" x14ac:dyDescent="0.3">
      <c r="A291" s="78" t="s">
        <v>5</v>
      </c>
      <c r="B291" s="161" t="s">
        <v>42</v>
      </c>
      <c r="C291" s="160"/>
      <c r="D291" s="78" t="s">
        <v>13</v>
      </c>
      <c r="E291" s="211" t="s">
        <v>14</v>
      </c>
      <c r="F291" s="212"/>
      <c r="G291" s="46"/>
    </row>
    <row r="292" spans="1:7" s="52" customFormat="1" x14ac:dyDescent="0.3">
      <c r="A292" s="48"/>
      <c r="B292" s="49"/>
      <c r="C292" s="152" t="str">
        <f xml:space="preserve"> IF(B292="","",setValueToTime(B292))</f>
        <v/>
      </c>
      <c r="D292" s="50"/>
      <c r="E292" s="205"/>
      <c r="F292" s="206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199"/>
      <c r="F293" s="200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199"/>
      <c r="F294" s="200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199"/>
      <c r="F295" s="200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199"/>
      <c r="F296" s="200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199"/>
      <c r="F297" s="200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199"/>
      <c r="F298" s="200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01"/>
      <c r="F299" s="202"/>
      <c r="G299" s="51"/>
    </row>
    <row r="300" spans="1:7" s="52" customFormat="1" ht="15" thickBot="1" x14ac:dyDescent="0.35">
      <c r="A300" s="162" t="s">
        <v>29</v>
      </c>
      <c r="B300" s="83">
        <f>SUM(B292:B299)</f>
        <v>0</v>
      </c>
      <c r="C300" s="162" t="str">
        <f xml:space="preserve"> setValueToTime(B300)</f>
        <v>0h</v>
      </c>
      <c r="D300" s="121"/>
      <c r="E300" s="209"/>
      <c r="F300" s="210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12</v>
      </c>
      <c r="B302" s="164">
        <v>2</v>
      </c>
      <c r="C302" s="164"/>
      <c r="D302" s="157" t="s">
        <v>15</v>
      </c>
      <c r="E302" s="158" t="s">
        <v>96</v>
      </c>
      <c r="F302" s="159" t="s">
        <v>48</v>
      </c>
      <c r="G302" s="46"/>
    </row>
    <row r="303" spans="1:7" s="47" customFormat="1" ht="30" customHeight="1" thickBot="1" x14ac:dyDescent="0.3">
      <c r="A303" s="78" t="s">
        <v>5</v>
      </c>
      <c r="B303" s="161" t="s">
        <v>42</v>
      </c>
      <c r="C303" s="160"/>
      <c r="D303" s="78" t="s">
        <v>13</v>
      </c>
      <c r="E303" s="211" t="s">
        <v>14</v>
      </c>
      <c r="F303" s="212"/>
      <c r="G303" s="46"/>
    </row>
    <row r="304" spans="1:7" s="52" customFormat="1" x14ac:dyDescent="0.3">
      <c r="A304" s="48"/>
      <c r="B304" s="49"/>
      <c r="C304" s="152" t="str">
        <f xml:space="preserve"> IF(B304="","",setValueToTime(B304))</f>
        <v/>
      </c>
      <c r="D304" s="50"/>
      <c r="E304" s="205"/>
      <c r="F304" s="206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199"/>
      <c r="F305" s="200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199"/>
      <c r="F306" s="200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199"/>
      <c r="F307" s="200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199"/>
      <c r="F308" s="200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199"/>
      <c r="F309" s="200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199"/>
      <c r="F310" s="200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01"/>
      <c r="F311" s="202"/>
      <c r="G311" s="51"/>
    </row>
    <row r="312" spans="1:7" s="52" customFormat="1" ht="15" thickBot="1" x14ac:dyDescent="0.35">
      <c r="A312" s="162" t="s">
        <v>29</v>
      </c>
      <c r="B312" s="83">
        <f>SUM(B304:B311)</f>
        <v>0</v>
      </c>
      <c r="C312" s="162" t="str">
        <f xml:space="preserve"> setValueToTime(B312)</f>
        <v>0h</v>
      </c>
      <c r="D312" s="121"/>
      <c r="E312" s="209"/>
      <c r="F312" s="210"/>
      <c r="G312" s="51"/>
    </row>
    <row r="313" spans="1:7" s="59" customFormat="1" ht="15" thickBot="1" x14ac:dyDescent="0.35">
      <c r="A313" s="77"/>
      <c r="B313" s="77"/>
      <c r="C313" s="77"/>
      <c r="D313" s="77"/>
      <c r="E313" s="77"/>
      <c r="F313" s="77"/>
      <c r="G313" s="58"/>
    </row>
    <row r="314" spans="1:7" s="47" customFormat="1" ht="30" customHeight="1" thickBot="1" x14ac:dyDescent="0.3">
      <c r="A314" s="156" t="s">
        <v>12</v>
      </c>
      <c r="B314" s="164">
        <v>1</v>
      </c>
      <c r="C314" s="164"/>
      <c r="D314" s="157" t="s">
        <v>15</v>
      </c>
      <c r="E314" s="158" t="s">
        <v>96</v>
      </c>
      <c r="F314" s="159" t="s">
        <v>49</v>
      </c>
      <c r="G314" s="46"/>
    </row>
    <row r="315" spans="1:7" s="47" customFormat="1" ht="30" customHeight="1" thickBot="1" x14ac:dyDescent="0.3">
      <c r="A315" s="78" t="s">
        <v>5</v>
      </c>
      <c r="B315" s="161" t="s">
        <v>42</v>
      </c>
      <c r="C315" s="160"/>
      <c r="D315" s="78" t="s">
        <v>13</v>
      </c>
      <c r="E315" s="211" t="s">
        <v>14</v>
      </c>
      <c r="F315" s="212"/>
      <c r="G315" s="46"/>
    </row>
    <row r="316" spans="1:7" s="52" customFormat="1" x14ac:dyDescent="0.3">
      <c r="A316" s="48"/>
      <c r="B316" s="49"/>
      <c r="C316" s="152" t="str">
        <f xml:space="preserve"> IF(B316="","",setValueToTime(B316))</f>
        <v/>
      </c>
      <c r="D316" s="50"/>
      <c r="E316" s="205"/>
      <c r="F316" s="206"/>
      <c r="G316" s="51"/>
    </row>
    <row r="317" spans="1:7" s="52" customFormat="1" x14ac:dyDescent="0.3">
      <c r="A317" s="53"/>
      <c r="B317" s="54"/>
      <c r="C317" s="153" t="str">
        <f t="shared" ref="C317:C323" si="26" xml:space="preserve"> IF(B317="","",setValueToTime(B317))</f>
        <v/>
      </c>
      <c r="D317" s="55"/>
      <c r="E317" s="199"/>
      <c r="F317" s="200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199"/>
      <c r="F318" s="200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199"/>
      <c r="F319" s="200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199"/>
      <c r="F320" s="200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199"/>
      <c r="F321" s="200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199"/>
      <c r="F322" s="200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01"/>
      <c r="F323" s="202"/>
      <c r="G323" s="51"/>
    </row>
    <row r="324" spans="1:7" s="52" customFormat="1" ht="15" thickBot="1" x14ac:dyDescent="0.35">
      <c r="A324" s="162" t="s">
        <v>29</v>
      </c>
      <c r="B324" s="83">
        <f>SUM(B316:B323)</f>
        <v>0</v>
      </c>
      <c r="C324" s="162" t="str">
        <f xml:space="preserve"> setValueToTime(B324)</f>
        <v>0h</v>
      </c>
      <c r="D324" s="121"/>
      <c r="E324" s="209"/>
      <c r="F324" s="210"/>
      <c r="G324" s="51"/>
    </row>
    <row r="325" spans="1:7" s="59" customFormat="1" x14ac:dyDescent="0.3">
      <c r="A325" s="77"/>
      <c r="B325" s="77"/>
      <c r="C325" s="77"/>
      <c r="D325" s="77"/>
      <c r="E325" s="77"/>
      <c r="F325" s="77"/>
      <c r="G325" s="58"/>
    </row>
  </sheetData>
  <sheetProtection formatRows="0" insertRows="0" insertHyperlinks="0" deleteRows="0" selectLockedCells="1"/>
  <mergeCells count="27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 xr:uid="{19B3BF17-435E-4ADD-9C2E-93C97337769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90"/>
    </row>
    <row r="12" spans="1:61" ht="18.75" thickBot="1" x14ac:dyDescent="0.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90"/>
    </row>
    <row r="13" spans="1:61" ht="18.75" thickBot="1" x14ac:dyDescent="0.3">
      <c r="A13" s="168" t="s">
        <v>12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90"/>
    </row>
    <row r="14" spans="1:61" ht="15.75" thickBot="1" x14ac:dyDescent="0.35">
      <c r="A14" s="103"/>
      <c r="B14" s="104"/>
      <c r="C14" s="104"/>
      <c r="D14" s="104"/>
      <c r="E14" s="171" t="s">
        <v>36</v>
      </c>
      <c r="F14" s="171"/>
      <c r="G14" s="171"/>
      <c r="H14" s="171"/>
      <c r="I14" s="104"/>
      <c r="J14" s="104"/>
      <c r="K14" s="167" t="s">
        <v>24</v>
      </c>
      <c r="L14" s="167"/>
      <c r="M14" s="167"/>
      <c r="N14" s="167"/>
      <c r="O14" s="129"/>
      <c r="P14" s="129"/>
      <c r="Q14" s="171" t="s">
        <v>37</v>
      </c>
      <c r="R14" s="171"/>
      <c r="S14" s="171"/>
      <c r="T14" s="171"/>
      <c r="U14" s="104"/>
      <c r="V14" s="104"/>
      <c r="W14" s="167" t="s">
        <v>25</v>
      </c>
      <c r="X14" s="167"/>
      <c r="Y14" s="167"/>
      <c r="Z14" s="167"/>
      <c r="AA14" s="129"/>
      <c r="AB14" s="129"/>
      <c r="AC14" s="171" t="s">
        <v>38</v>
      </c>
      <c r="AD14" s="171"/>
      <c r="AE14" s="171"/>
      <c r="AF14" s="171"/>
      <c r="AG14" s="104"/>
      <c r="AH14" s="104"/>
      <c r="AI14" s="167" t="s">
        <v>26</v>
      </c>
      <c r="AJ14" s="167"/>
      <c r="AK14" s="167"/>
      <c r="AL14" s="167"/>
      <c r="AM14" s="129"/>
      <c r="AN14" s="129"/>
      <c r="AO14" s="171" t="s">
        <v>39</v>
      </c>
      <c r="AP14" s="171"/>
      <c r="AQ14" s="171"/>
      <c r="AR14" s="171"/>
      <c r="AS14" s="104"/>
      <c r="AT14" s="104"/>
      <c r="AU14" s="167" t="s">
        <v>27</v>
      </c>
      <c r="AV14" s="167"/>
      <c r="AW14" s="167"/>
      <c r="AX14" s="167"/>
      <c r="AY14" s="129"/>
      <c r="AZ14" s="129"/>
      <c r="BA14" s="171" t="s">
        <v>40</v>
      </c>
      <c r="BB14" s="171"/>
      <c r="BC14" s="171"/>
      <c r="BD14" s="17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07" t="s">
        <v>14</v>
      </c>
      <c r="F2" s="20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5"/>
      <c r="F3" s="20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199"/>
      <c r="F4" s="20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1"/>
      <c r="F10" s="202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03"/>
      <c r="F11" s="20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11" t="s">
        <v>14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5"/>
      <c r="F3" s="20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199"/>
      <c r="F4" s="20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1"/>
      <c r="F10" s="202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2019-05-08T10:31:53Z</cp:lastPrinted>
  <dcterms:created xsi:type="dcterms:W3CDTF">1996-10-21T11:03:58Z</dcterms:created>
  <dcterms:modified xsi:type="dcterms:W3CDTF">2024-05-13T13:46:41Z</dcterms:modified>
</cp:coreProperties>
</file>