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78766A85-FAE5-47BD-8F46-ECF982E8D381}" xr6:coauthVersionLast="47" xr6:coauthVersionMax="47" xr10:uidLastSave="{00000000-0000-0000-0000-000000000000}"/>
  <bookViews>
    <workbookView xWindow="-24135" yWindow="180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209" i="12"/>
  <c r="C208" i="12"/>
  <c r="C186" i="10"/>
  <c r="D44" i="1"/>
  <c r="C41" i="10"/>
  <c r="C318" i="12"/>
  <c r="C36" i="12"/>
  <c r="D45" i="1"/>
  <c r="D40" i="1"/>
  <c r="C222" i="10"/>
  <c r="C297" i="12"/>
  <c r="C102" i="10"/>
  <c r="D33" i="1"/>
  <c r="C112" i="10"/>
  <c r="C307" i="12"/>
  <c r="C259" i="10"/>
  <c r="C24" i="10"/>
  <c r="C264" i="12"/>
  <c r="C124" i="10"/>
  <c r="D79" i="1"/>
  <c r="C306" i="12"/>
  <c r="C228" i="12"/>
  <c r="C320" i="12"/>
  <c r="D51" i="1"/>
  <c r="D92" i="1"/>
  <c r="C72" i="12"/>
  <c r="C180" i="10"/>
  <c r="C244" i="12"/>
  <c r="C281" i="10"/>
  <c r="C185" i="10"/>
  <c r="C24" i="12"/>
  <c r="D16" i="1"/>
  <c r="D27" i="1"/>
  <c r="D81" i="1"/>
  <c r="C36" i="10"/>
  <c r="D39" i="1"/>
  <c r="C234" i="10"/>
  <c r="C268" i="12"/>
  <c r="C257" i="12"/>
  <c r="D62" i="1"/>
  <c r="C235" i="12"/>
  <c r="C11" i="16"/>
  <c r="C101" i="10"/>
  <c r="C160" i="10"/>
  <c r="C196" i="10"/>
  <c r="C84" i="10"/>
  <c r="D67" i="1"/>
  <c r="D94" i="1"/>
  <c r="C148" i="10"/>
  <c r="C288" i="12"/>
  <c r="C284" i="12"/>
  <c r="D21" i="1"/>
  <c r="D58" i="1"/>
  <c r="D36" i="1"/>
  <c r="C12" i="12"/>
  <c r="C65" i="10"/>
  <c r="C114" i="10"/>
  <c r="D60" i="1"/>
  <c r="C96" i="10"/>
  <c r="C316" i="10"/>
  <c r="D82" i="1"/>
  <c r="C312" i="12"/>
  <c r="C156" i="12"/>
  <c r="C244" i="10"/>
  <c r="C232" i="12"/>
  <c r="C276" i="10"/>
  <c r="C240" i="12"/>
  <c r="C295" i="12"/>
  <c r="C305" i="10"/>
  <c r="C77" i="10"/>
  <c r="C151" i="10"/>
  <c r="C48" i="10"/>
  <c r="C11" i="15"/>
  <c r="C232" i="10"/>
  <c r="C270" i="12"/>
  <c r="C280" i="12"/>
  <c r="C216" i="10"/>
  <c r="C4" i="10"/>
  <c r="D73" i="1"/>
  <c r="C257" i="10"/>
  <c r="C270" i="10"/>
  <c r="C264" i="10"/>
  <c r="D54" i="1"/>
  <c r="D30" i="1"/>
  <c r="D50" i="1"/>
  <c r="C156" i="10"/>
  <c r="D38" i="1"/>
  <c r="C256" i="10"/>
  <c r="C120" i="10"/>
  <c r="C113" i="10"/>
  <c r="C172" i="10"/>
  <c r="C261" i="10"/>
  <c r="C319" i="10"/>
  <c r="C60" i="12"/>
  <c r="D17" i="1"/>
  <c r="C12" i="10"/>
  <c r="C208" i="10"/>
  <c r="C294" i="10"/>
  <c r="C248" i="10"/>
  <c r="D72" i="1"/>
  <c r="C324" i="12"/>
  <c r="C300" i="12"/>
  <c r="C76" i="10"/>
  <c r="D77" i="1"/>
  <c r="D61" i="1"/>
  <c r="D22" i="1"/>
  <c r="C296" i="12"/>
  <c r="C260" i="10"/>
  <c r="C293" i="12"/>
  <c r="C293" i="10"/>
  <c r="C282" i="10"/>
  <c r="C321" i="12"/>
  <c r="D86" i="1"/>
  <c r="C282" i="12"/>
  <c r="C17" i="10"/>
  <c r="C304" i="10"/>
  <c r="D42" i="1"/>
  <c r="C48" i="12"/>
  <c r="C192" i="10"/>
  <c r="D64" i="1"/>
  <c r="C252" i="10"/>
  <c r="D68" i="1"/>
  <c r="C132" i="12"/>
  <c r="C161" i="10"/>
  <c r="D43" i="1"/>
  <c r="C175" i="10"/>
  <c r="C52" i="10"/>
  <c r="C138" i="10"/>
  <c r="C280" i="10"/>
  <c r="C60" i="10"/>
  <c r="D93" i="1"/>
  <c r="D85" i="1"/>
  <c r="D87" i="1"/>
  <c r="D41" i="1"/>
  <c r="D84" i="1"/>
  <c r="C300" i="10"/>
  <c r="C281" i="12"/>
  <c r="C89" i="10"/>
  <c r="D91" i="1"/>
  <c r="C136" i="10"/>
  <c r="D78" i="1"/>
  <c r="C150" i="10"/>
  <c r="C246" i="10"/>
  <c r="C88" i="10"/>
  <c r="C84" i="12"/>
  <c r="C228" i="10"/>
  <c r="C96" i="12"/>
  <c r="C209" i="10"/>
  <c r="C252" i="12"/>
  <c r="C276" i="12"/>
  <c r="C261" i="12"/>
  <c r="D57" i="1"/>
  <c r="C149" i="10"/>
  <c r="C292" i="10"/>
  <c r="D24" i="1"/>
  <c r="C168" i="10"/>
  <c r="D65" i="1"/>
  <c r="C6" i="10"/>
  <c r="D47" i="1"/>
  <c r="C108" i="12"/>
  <c r="C53" i="10"/>
  <c r="D35" i="1"/>
  <c r="C174" i="10"/>
  <c r="C192" i="12"/>
  <c r="D74" i="1"/>
  <c r="C168" i="12"/>
  <c r="D59" i="1"/>
  <c r="C222" i="12"/>
  <c r="C204" i="10"/>
  <c r="C268" i="10"/>
  <c r="C288" i="10"/>
  <c r="C256" i="12"/>
  <c r="C29" i="10"/>
  <c r="C318" i="10"/>
  <c r="D80" i="1"/>
  <c r="D26" i="1"/>
  <c r="C64" i="10"/>
  <c r="C245" i="12"/>
  <c r="C180" i="12"/>
  <c r="D32" i="1"/>
  <c r="D48" i="1"/>
  <c r="C72" i="10"/>
  <c r="C221" i="12"/>
  <c r="C237" i="12"/>
  <c r="D34" i="1"/>
  <c r="C258" i="10"/>
  <c r="C236" i="12"/>
  <c r="C163" i="10"/>
  <c r="D88" i="1"/>
  <c r="C108" i="10"/>
  <c r="D63" i="1"/>
  <c r="C233" i="10"/>
  <c r="C233" i="12"/>
  <c r="C40" i="10"/>
  <c r="D66" i="1"/>
  <c r="D37" i="1"/>
  <c r="D69" i="1"/>
  <c r="D52" i="1"/>
  <c r="D31" i="1"/>
  <c r="D89" i="1"/>
  <c r="D71" i="1"/>
  <c r="C16" i="10"/>
  <c r="C259" i="12"/>
  <c r="D19" i="1"/>
  <c r="D15" i="1"/>
  <c r="D23" i="1"/>
  <c r="D25" i="1"/>
  <c r="C317" i="10"/>
  <c r="C220" i="12"/>
  <c r="C247" i="10"/>
  <c r="C5" i="10"/>
  <c r="C210" i="10"/>
  <c r="C271" i="12"/>
  <c r="C28" i="10"/>
  <c r="C223" i="10"/>
  <c r="C294" i="12"/>
  <c r="C312" i="10"/>
  <c r="D18" i="1"/>
  <c r="C320" i="10"/>
  <c r="C324" i="10"/>
  <c r="C283" i="12"/>
  <c r="C245" i="10"/>
  <c r="D53" i="1"/>
  <c r="C132" i="10"/>
  <c r="C184" i="10"/>
  <c r="C247" i="12"/>
  <c r="C269" i="12"/>
  <c r="C125" i="10"/>
  <c r="C260" i="12"/>
  <c r="C305" i="12"/>
  <c r="D75" i="1"/>
  <c r="C220" i="10"/>
  <c r="D46" i="1"/>
  <c r="D56" i="1"/>
  <c r="C258" i="12"/>
  <c r="D76" i="1"/>
  <c r="C319" i="12"/>
  <c r="C304" i="12"/>
  <c r="C162" i="10"/>
  <c r="C269" i="10"/>
  <c r="C234" i="12"/>
  <c r="C197" i="10"/>
  <c r="C144" i="10"/>
  <c r="C120" i="12"/>
  <c r="D55" i="1"/>
  <c r="D90" i="1"/>
  <c r="D70" i="1"/>
  <c r="C316" i="12"/>
  <c r="C262" i="12"/>
  <c r="C137" i="10"/>
  <c r="D83" i="1"/>
  <c r="C221" i="10"/>
  <c r="C292" i="12"/>
  <c r="D29" i="1"/>
  <c r="C317" i="12"/>
  <c r="D28" i="1"/>
  <c r="C173" i="10"/>
  <c r="C272" i="12"/>
  <c r="C100" i="10"/>
  <c r="C144" i="12"/>
  <c r="D20" i="1"/>
  <c r="D49" i="1"/>
  <c r="C240" i="10"/>
  <c r="C212" i="12"/>
  <c r="C211" i="12"/>
  <c r="C210" i="12"/>
  <c r="C216" i="12"/>
  <c r="C204" i="12"/>
  <c r="C19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<sst xmlns="http://schemas.openxmlformats.org/spreadsheetml/2006/main" count="1229" uniqueCount="181">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</sst>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4" t="s">
        <v>31</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6" t="str">
        <f>E96</f>
        <v>88h</v>
      </c>
      <c r="H9" s="196"/>
      <c r="I9" s="196"/>
      <c r="J9" s="196"/>
      <c r="K9" s="196"/>
      <c r="L9" s="196"/>
      <c r="M9" s="196"/>
      <c r="N9" s="196"/>
      <c r="O9" s="196"/>
      <c r="P9" s="196"/>
      <c r="Q9" s="196"/>
      <c r="R9" s="196"/>
      <c r="S9" s="196"/>
      <c r="T9" s="196"/>
      <c r="U9" s="196"/>
      <c r="V9" s="103"/>
      <c r="W9" s="203" t="s">
        <v>23</v>
      </c>
      <c r="X9" s="203"/>
      <c r="Y9" s="203"/>
      <c r="Z9" s="203"/>
      <c r="AA9" s="203"/>
      <c r="AB9" s="203"/>
      <c r="AC9" s="203"/>
      <c r="AD9" s="203"/>
      <c r="AE9" s="203"/>
      <c r="AF9" s="203"/>
      <c r="AG9" s="203"/>
      <c r="AH9" s="196" t="str">
        <f>E98</f>
        <v>7h30min</v>
      </c>
      <c r="AI9" s="196"/>
      <c r="AJ9" s="196"/>
      <c r="AK9" s="196"/>
      <c r="AL9" s="196"/>
      <c r="AM9" s="196"/>
      <c r="AN9" s="196"/>
      <c r="AO9" s="196"/>
      <c r="AP9" s="196"/>
      <c r="AQ9" s="196"/>
      <c r="AR9" s="196"/>
      <c r="AS9" s="196"/>
      <c r="AT9" s="196"/>
      <c r="AU9" s="196"/>
      <c r="AV9" s="196"/>
      <c r="AW9" s="19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7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c r="VG10" s="187"/>
      <c r="VH10" s="187"/>
      <c r="VI10" s="187"/>
      <c r="VJ10" s="187"/>
      <c r="VK10" s="187"/>
      <c r="VL10" s="187"/>
      <c r="VM10" s="187"/>
      <c r="VN10" s="187"/>
      <c r="VO10" s="187"/>
      <c r="VP10" s="187"/>
      <c r="VQ10" s="187"/>
      <c r="VR10" s="187"/>
      <c r="VS10" s="187"/>
      <c r="VT10" s="187"/>
      <c r="VU10" s="187"/>
      <c r="VV10" s="187"/>
      <c r="VW10" s="187"/>
      <c r="VX10" s="187"/>
      <c r="VY10" s="187"/>
      <c r="VZ10" s="187"/>
      <c r="WA10" s="187"/>
      <c r="WB10" s="187"/>
      <c r="WC10" s="187"/>
      <c r="WD10" s="187"/>
      <c r="WE10" s="187"/>
      <c r="WF10" s="187"/>
      <c r="WG10" s="187"/>
      <c r="WH10" s="187"/>
      <c r="WI10" s="187"/>
      <c r="WJ10" s="187"/>
      <c r="WK10" s="187"/>
      <c r="WL10" s="187"/>
      <c r="WM10" s="187"/>
      <c r="WN10" s="187"/>
      <c r="WO10" s="187"/>
      <c r="WP10" s="187"/>
      <c r="WQ10" s="187"/>
      <c r="WR10" s="187"/>
      <c r="WS10" s="187"/>
      <c r="WT10" s="187"/>
      <c r="WU10" s="187"/>
      <c r="WV10" s="187"/>
      <c r="WW10" s="187"/>
      <c r="WX10" s="187"/>
      <c r="WY10" s="187"/>
      <c r="WZ10" s="187"/>
      <c r="XA10" s="187"/>
      <c r="XB10" s="187"/>
      <c r="XC10" s="187"/>
      <c r="XD10" s="187"/>
      <c r="XE10" s="187"/>
      <c r="XF10" s="187"/>
      <c r="XG10" s="187"/>
      <c r="XH10" s="187"/>
      <c r="XI10" s="187"/>
      <c r="XJ10" s="187"/>
      <c r="XK10" s="187"/>
      <c r="XL10" s="187"/>
      <c r="XM10" s="187"/>
      <c r="XN10" s="187"/>
      <c r="XO10" s="187"/>
      <c r="XP10" s="187"/>
      <c r="XQ10" s="187"/>
      <c r="XR10" s="187"/>
      <c r="XS10" s="187"/>
      <c r="XT10" s="187"/>
      <c r="XU10" s="187"/>
      <c r="XV10" s="187"/>
      <c r="XW10" s="187"/>
      <c r="XX10" s="187"/>
      <c r="XY10" s="187"/>
      <c r="XZ10" s="187"/>
      <c r="YA10" s="187"/>
      <c r="YB10" s="187"/>
      <c r="YC10" s="187"/>
      <c r="YD10" s="187"/>
      <c r="YE10" s="187"/>
      <c r="YF10" s="187"/>
      <c r="YG10" s="187"/>
      <c r="YH10" s="187"/>
      <c r="YI10" s="187"/>
      <c r="YJ10" s="187"/>
      <c r="YK10" s="187"/>
      <c r="YL10" s="187"/>
      <c r="YM10" s="187"/>
      <c r="YN10" s="187"/>
      <c r="YO10" s="187"/>
      <c r="YP10" s="187"/>
      <c r="YQ10" s="187"/>
      <c r="YR10" s="187"/>
      <c r="YS10" s="187"/>
      <c r="YT10" s="187"/>
      <c r="YU10" s="187"/>
      <c r="YV10" s="187"/>
      <c r="YW10" s="187"/>
      <c r="YX10" s="187"/>
      <c r="YY10" s="187"/>
      <c r="YZ10" s="187"/>
      <c r="ZA10" s="187"/>
      <c r="ZB10" s="187"/>
      <c r="ZC10" s="187"/>
      <c r="ZD10" s="187"/>
      <c r="ZE10" s="187"/>
      <c r="ZF10" s="187"/>
      <c r="ZG10" s="187"/>
      <c r="ZH10" s="187"/>
      <c r="ZI10" s="187"/>
      <c r="ZJ10" s="187"/>
      <c r="ZK10" s="187"/>
      <c r="ZL10" s="187"/>
      <c r="ZM10" s="187"/>
      <c r="ZN10" s="187"/>
      <c r="ZO10" s="187"/>
      <c r="ZP10" s="187"/>
      <c r="ZQ10" s="187"/>
      <c r="ZR10" s="187"/>
      <c r="ZS10" s="187"/>
      <c r="ZT10" s="187"/>
      <c r="ZU10" s="187"/>
      <c r="ZV10" s="187"/>
      <c r="ZW10" s="187"/>
      <c r="ZX10" s="187"/>
      <c r="ZY10" s="187"/>
      <c r="ZZ10" s="187"/>
      <c r="AAA10" s="187"/>
      <c r="AAB10" s="187"/>
      <c r="AAC10" s="187"/>
      <c r="AAD10" s="187"/>
      <c r="AAE10" s="187"/>
      <c r="AAF10" s="187"/>
      <c r="AAG10" s="187"/>
      <c r="AAH10" s="187"/>
      <c r="AAI10" s="187"/>
      <c r="AAJ10" s="187"/>
      <c r="AAK10" s="187"/>
      <c r="AAL10" s="187"/>
      <c r="AAM10" s="187"/>
      <c r="AAN10" s="187"/>
      <c r="AAO10" s="187"/>
      <c r="AAP10" s="187"/>
      <c r="AAQ10" s="187"/>
      <c r="AAR10" s="187"/>
      <c r="AAS10" s="187"/>
      <c r="AAT10" s="187"/>
      <c r="AAU10" s="187"/>
      <c r="AAV10" s="187"/>
      <c r="AAW10" s="187"/>
      <c r="AAX10" s="187"/>
      <c r="AAY10" s="187"/>
      <c r="AAZ10" s="187"/>
      <c r="ABA10" s="187"/>
      <c r="ABB10" s="187"/>
      <c r="ABC10" s="187"/>
      <c r="ABD10" s="187"/>
      <c r="ABE10" s="187"/>
      <c r="ABF10" s="187"/>
      <c r="ABG10" s="187"/>
      <c r="ABH10" s="187"/>
      <c r="ABI10" s="187"/>
      <c r="ABJ10" s="187"/>
      <c r="ABK10" s="187"/>
      <c r="ABL10" s="187"/>
      <c r="ABM10" s="187"/>
      <c r="ABN10" s="187"/>
      <c r="ABO10" s="187"/>
      <c r="ABP10" s="187"/>
      <c r="ABQ10" s="187"/>
      <c r="ABR10" s="187"/>
      <c r="ABS10" s="187"/>
      <c r="ABT10" s="187"/>
      <c r="ABU10" s="187"/>
      <c r="ABV10" s="187"/>
      <c r="ABW10" s="187"/>
      <c r="ABX10" s="187"/>
      <c r="ABY10" s="187"/>
      <c r="ABZ10" s="187"/>
      <c r="ACA10" s="187"/>
      <c r="ACB10" s="187"/>
      <c r="ACC10" s="187"/>
      <c r="ACD10" s="187"/>
      <c r="ACE10" s="187"/>
      <c r="ACF10" s="187"/>
      <c r="ACG10" s="187"/>
      <c r="ACH10" s="187"/>
      <c r="ACI10" s="187"/>
      <c r="ACJ10" s="187"/>
      <c r="ACK10" s="187"/>
      <c r="ACL10" s="187"/>
      <c r="ACM10" s="187"/>
      <c r="ACN10" s="187"/>
      <c r="ACO10" s="187"/>
      <c r="ACP10" s="187"/>
      <c r="ACQ10" s="187"/>
      <c r="ACR10" s="187"/>
      <c r="ACS10" s="187"/>
      <c r="ACT10" s="187"/>
      <c r="ACU10" s="187"/>
      <c r="ACV10" s="187"/>
      <c r="ACW10" s="187"/>
      <c r="ACX10" s="187"/>
      <c r="ACY10" s="187"/>
      <c r="ACZ10" s="187"/>
      <c r="ADA10" s="187"/>
      <c r="ADB10" s="187"/>
      <c r="ADC10" s="187"/>
      <c r="ADD10" s="187"/>
      <c r="ADE10" s="187"/>
      <c r="ADF10" s="187"/>
      <c r="ADG10" s="187"/>
      <c r="ADH10" s="187"/>
      <c r="ADI10" s="187"/>
      <c r="ADJ10" s="187"/>
      <c r="ADK10" s="187"/>
      <c r="ADL10" s="187"/>
      <c r="ADM10" s="187"/>
      <c r="ADN10" s="187"/>
      <c r="ADO10" s="187"/>
      <c r="ADP10" s="187"/>
      <c r="ADQ10" s="187"/>
      <c r="ADR10" s="187"/>
      <c r="ADS10" s="187"/>
      <c r="ADT10" s="187"/>
      <c r="ADU10" s="187"/>
      <c r="ADV10" s="187"/>
      <c r="ADW10" s="187"/>
      <c r="ADX10" s="187"/>
      <c r="ADY10" s="187"/>
      <c r="ADZ10" s="187"/>
      <c r="AEA10" s="187"/>
      <c r="AEB10" s="187"/>
      <c r="AEC10" s="187"/>
      <c r="AED10" s="187"/>
      <c r="AEE10" s="187"/>
      <c r="AEF10" s="187"/>
      <c r="AEG10" s="187"/>
      <c r="AEH10" s="187"/>
      <c r="AEI10" s="187"/>
      <c r="AEJ10" s="187"/>
      <c r="AEK10" s="187"/>
      <c r="AEL10" s="187"/>
      <c r="AEM10" s="187"/>
      <c r="AEN10" s="187"/>
      <c r="AEO10" s="187"/>
      <c r="AEP10" s="187"/>
      <c r="AEQ10" s="187"/>
      <c r="AER10" s="187"/>
      <c r="AES10" s="187"/>
      <c r="AET10" s="187"/>
      <c r="AEU10" s="187"/>
      <c r="AEV10" s="187"/>
      <c r="AEW10" s="187"/>
      <c r="AEX10" s="187"/>
      <c r="AEY10" s="187"/>
      <c r="AEZ10" s="187"/>
      <c r="AFA10" s="187"/>
      <c r="AFB10" s="187"/>
      <c r="AFC10" s="187"/>
      <c r="AFD10" s="187"/>
      <c r="AFE10" s="187"/>
      <c r="AFF10" s="187"/>
      <c r="AFG10" s="187"/>
      <c r="AFH10" s="187"/>
      <c r="AFI10" s="187"/>
      <c r="AFJ10" s="187"/>
      <c r="AFK10" s="187"/>
      <c r="AFL10" s="187"/>
      <c r="AFM10" s="187"/>
      <c r="AFN10" s="187"/>
      <c r="AFO10" s="187"/>
      <c r="AFP10" s="187"/>
      <c r="AFQ10" s="187"/>
      <c r="AFR10" s="187"/>
      <c r="AFS10" s="187"/>
      <c r="AFT10" s="187"/>
      <c r="AFU10" s="187"/>
      <c r="AFV10" s="187"/>
      <c r="AFW10" s="187"/>
      <c r="AFX10" s="187"/>
      <c r="AFY10" s="187"/>
      <c r="AFZ10" s="187"/>
      <c r="AGA10" s="187"/>
      <c r="AGB10" s="187"/>
      <c r="AGC10" s="187"/>
      <c r="AGD10" s="187"/>
      <c r="AGE10" s="187"/>
      <c r="AGF10" s="187"/>
      <c r="AGG10" s="187"/>
      <c r="AGH10" s="187"/>
      <c r="AGI10" s="187"/>
      <c r="AGJ10" s="187"/>
      <c r="AGK10" s="187"/>
      <c r="AGL10" s="187"/>
      <c r="AGM10" s="187"/>
      <c r="AGN10" s="187"/>
      <c r="AGO10" s="187"/>
      <c r="AGP10" s="187"/>
      <c r="AGQ10" s="187"/>
      <c r="AGR10" s="187"/>
      <c r="AGS10" s="187"/>
      <c r="AGT10" s="187"/>
      <c r="AGU10" s="187"/>
      <c r="AGV10" s="187"/>
      <c r="AGW10" s="187"/>
      <c r="AGX10" s="187"/>
      <c r="AGY10" s="187"/>
      <c r="AGZ10" s="187"/>
      <c r="AHA10" s="187"/>
      <c r="AHB10" s="187"/>
      <c r="AHC10" s="187"/>
      <c r="AHD10" s="187"/>
      <c r="AHE10" s="187"/>
      <c r="AHF10" s="187"/>
      <c r="AHG10" s="187"/>
      <c r="AHH10" s="187"/>
      <c r="AHI10" s="187"/>
      <c r="AHJ10" s="187"/>
      <c r="AHK10" s="187"/>
      <c r="AHL10" s="187"/>
      <c r="AHM10" s="187"/>
      <c r="AHN10" s="187"/>
      <c r="AHO10" s="187"/>
      <c r="AHP10" s="187"/>
      <c r="AHQ10" s="187"/>
      <c r="AHR10" s="187"/>
      <c r="AHS10" s="187"/>
      <c r="AHT10" s="187"/>
      <c r="AHU10" s="187"/>
      <c r="AHV10" s="187"/>
      <c r="AHW10" s="187"/>
      <c r="AHX10" s="187"/>
      <c r="AHY10" s="187"/>
      <c r="AHZ10" s="187"/>
      <c r="AIA10" s="187"/>
      <c r="AIB10" s="187"/>
      <c r="AIC10" s="187"/>
      <c r="AID10" s="187"/>
      <c r="AIE10" s="187"/>
      <c r="AIF10" s="187"/>
      <c r="AIG10" s="187"/>
      <c r="AIH10" s="187"/>
      <c r="AII10" s="187"/>
      <c r="AIJ10" s="187"/>
      <c r="AIK10" s="187"/>
      <c r="AIL10" s="187"/>
      <c r="AIM10" s="187"/>
      <c r="AIN10" s="187"/>
      <c r="AIO10" s="187"/>
      <c r="AIP10" s="187"/>
      <c r="AIQ10" s="187"/>
      <c r="AIR10" s="187"/>
      <c r="AIS10" s="187"/>
      <c r="AIT10" s="187"/>
      <c r="AIU10" s="187"/>
      <c r="AIV10" s="187"/>
      <c r="AIW10" s="187"/>
      <c r="AIX10" s="187"/>
      <c r="AIY10" s="187"/>
      <c r="AIZ10" s="187"/>
      <c r="AJA10" s="187"/>
      <c r="AJB10" s="187"/>
      <c r="AJC10" s="187"/>
      <c r="AJD10" s="187"/>
      <c r="AJE10" s="187"/>
      <c r="AJF10" s="187"/>
      <c r="AJG10" s="187"/>
      <c r="AJH10" s="187"/>
      <c r="AJI10" s="187"/>
      <c r="AJJ10" s="187"/>
      <c r="AJK10" s="187"/>
      <c r="AJL10" s="187"/>
      <c r="AJM10" s="187"/>
      <c r="AJN10" s="187"/>
      <c r="AJO10" s="187"/>
      <c r="AJP10" s="187"/>
      <c r="AJQ10" s="187"/>
      <c r="AJR10" s="187"/>
      <c r="AJS10" s="187"/>
      <c r="AJT10" s="187"/>
      <c r="AJU10" s="187"/>
      <c r="AJV10" s="187"/>
      <c r="AJW10" s="187"/>
      <c r="AJX10" s="187"/>
      <c r="AJY10" s="187"/>
      <c r="AJZ10" s="187"/>
      <c r="AKA10" s="187"/>
      <c r="AKB10" s="187"/>
      <c r="AKC10" s="187"/>
      <c r="AKD10" s="187"/>
      <c r="AKE10" s="187"/>
      <c r="AKF10" s="187"/>
      <c r="AKG10" s="187"/>
      <c r="AKH10" s="187"/>
      <c r="AKI10" s="187"/>
      <c r="AKJ10" s="187"/>
      <c r="AKK10" s="187"/>
      <c r="AKL10" s="187"/>
      <c r="AKM10" s="187"/>
      <c r="AKN10" s="187"/>
      <c r="AKO10" s="187"/>
      <c r="AKP10" s="187"/>
      <c r="AKQ10" s="187"/>
      <c r="AKR10" s="187"/>
      <c r="AKS10" s="187"/>
      <c r="AKT10" s="187"/>
      <c r="AKU10" s="187"/>
      <c r="AKV10" s="187"/>
      <c r="AKW10" s="187"/>
      <c r="AKX10" s="187"/>
      <c r="AKY10" s="187"/>
      <c r="AKZ10" s="187"/>
      <c r="ALA10" s="187"/>
      <c r="ALB10" s="187"/>
      <c r="ALC10" s="187"/>
      <c r="ALD10" s="187"/>
      <c r="ALE10" s="187"/>
      <c r="ALF10" s="187"/>
      <c r="ALG10" s="187"/>
      <c r="ALH10" s="187"/>
      <c r="ALI10" s="187"/>
      <c r="ALJ10" s="187"/>
      <c r="ALK10" s="187"/>
      <c r="ALL10" s="187"/>
      <c r="ALM10" s="187"/>
      <c r="ALN10" s="187"/>
      <c r="ALO10" s="187"/>
      <c r="ALP10" s="187"/>
      <c r="ALQ10" s="187"/>
      <c r="ALR10" s="187"/>
      <c r="ALS10" s="187"/>
      <c r="ALT10" s="187"/>
      <c r="ALU10" s="187"/>
      <c r="ALV10" s="187"/>
      <c r="ALW10" s="187"/>
      <c r="ALX10" s="187"/>
      <c r="ALY10" s="187"/>
      <c r="ALZ10" s="187"/>
      <c r="AMA10" s="187"/>
      <c r="AMB10" s="187"/>
      <c r="AMC10" s="187"/>
      <c r="AMD10" s="187"/>
      <c r="AME10" s="187"/>
      <c r="AMF10" s="187"/>
      <c r="AMG10" s="187"/>
      <c r="AMH10" s="187"/>
      <c r="AMI10" s="187"/>
      <c r="AMJ10" s="187"/>
      <c r="AMK10" s="187"/>
      <c r="AML10" s="187"/>
      <c r="AMM10" s="187"/>
      <c r="AMN10" s="187"/>
      <c r="AMO10" s="187"/>
      <c r="AMP10" s="187"/>
      <c r="AMQ10" s="187"/>
      <c r="AMR10" s="187"/>
      <c r="AMS10" s="187"/>
      <c r="AMT10" s="187"/>
      <c r="AMU10" s="187"/>
      <c r="AMV10" s="187"/>
      <c r="AMW10" s="187"/>
      <c r="AMX10" s="187"/>
      <c r="AMY10" s="187"/>
      <c r="AMZ10" s="187"/>
      <c r="ANA10" s="187"/>
      <c r="ANB10" s="187"/>
      <c r="ANC10" s="187"/>
      <c r="AND10" s="187"/>
      <c r="ANE10" s="187"/>
      <c r="ANF10" s="187"/>
      <c r="ANG10" s="187"/>
      <c r="ANH10" s="187"/>
      <c r="ANI10" s="187"/>
      <c r="ANJ10" s="187"/>
      <c r="ANK10" s="187"/>
      <c r="ANL10" s="187"/>
      <c r="ANM10" s="187"/>
      <c r="ANN10" s="187"/>
      <c r="ANO10" s="187"/>
      <c r="ANP10" s="187"/>
      <c r="ANQ10" s="187"/>
      <c r="ANR10" s="187"/>
      <c r="ANS10" s="187"/>
      <c r="ANT10" s="187"/>
      <c r="ANU10" s="187"/>
      <c r="ANV10" s="187"/>
      <c r="ANW10" s="187"/>
      <c r="ANX10" s="187"/>
      <c r="ANY10" s="187"/>
      <c r="ANZ10" s="187"/>
      <c r="AOA10" s="187"/>
      <c r="AOB10" s="187"/>
      <c r="AOC10" s="187"/>
      <c r="AOD10" s="187"/>
      <c r="AOE10" s="187"/>
      <c r="AOF10" s="187"/>
      <c r="AOG10" s="187"/>
      <c r="AOH10" s="187"/>
      <c r="AOI10" s="187"/>
      <c r="AOJ10" s="187"/>
      <c r="AOK10" s="187"/>
      <c r="AOL10" s="187"/>
      <c r="AOM10" s="187"/>
      <c r="AON10" s="187"/>
      <c r="AOO10" s="187"/>
      <c r="AOP10" s="187"/>
      <c r="AOQ10" s="187"/>
      <c r="AOR10" s="187"/>
      <c r="AOS10" s="187"/>
      <c r="AOT10" s="187"/>
      <c r="AOU10" s="187"/>
      <c r="AOV10" s="187"/>
      <c r="AOW10" s="187"/>
      <c r="AOX10" s="187"/>
      <c r="AOY10" s="187"/>
      <c r="AOZ10" s="187"/>
      <c r="APA10" s="187"/>
      <c r="APB10" s="187"/>
      <c r="APC10" s="187"/>
      <c r="APD10" s="187"/>
      <c r="APE10" s="187"/>
      <c r="APF10" s="187"/>
      <c r="APG10" s="187"/>
      <c r="APH10" s="187"/>
      <c r="API10" s="187"/>
      <c r="APJ10" s="187"/>
      <c r="APK10" s="187"/>
      <c r="APL10" s="187"/>
      <c r="APM10" s="187"/>
      <c r="APN10" s="187"/>
      <c r="APO10" s="187"/>
      <c r="APP10" s="187"/>
      <c r="APQ10" s="187"/>
      <c r="APR10" s="187"/>
      <c r="APS10" s="187"/>
      <c r="APT10" s="187"/>
      <c r="APU10" s="187"/>
      <c r="APV10" s="187"/>
      <c r="APW10" s="187"/>
      <c r="APX10" s="187"/>
      <c r="APY10" s="187"/>
      <c r="APZ10" s="187"/>
      <c r="AQA10" s="187"/>
      <c r="AQB10" s="187"/>
      <c r="AQC10" s="187"/>
      <c r="AQD10" s="187"/>
      <c r="AQE10" s="187"/>
      <c r="AQF10" s="187"/>
      <c r="AQG10" s="187"/>
      <c r="AQH10" s="187"/>
      <c r="AQI10" s="187"/>
      <c r="AQJ10" s="187"/>
      <c r="AQK10" s="187"/>
      <c r="AQL10" s="187"/>
      <c r="AQM10" s="187"/>
      <c r="AQN10" s="187"/>
      <c r="AQO10" s="187"/>
      <c r="AQP10" s="187"/>
      <c r="AQQ10" s="187"/>
      <c r="AQR10" s="187"/>
      <c r="AQS10" s="187"/>
      <c r="AQT10" s="187"/>
      <c r="AQU10" s="187"/>
      <c r="AQV10" s="187"/>
      <c r="AQW10" s="187"/>
      <c r="AQX10" s="187"/>
      <c r="AQY10" s="187"/>
      <c r="AQZ10" s="187"/>
      <c r="ARA10" s="187"/>
      <c r="ARB10" s="187"/>
      <c r="ARC10" s="187"/>
      <c r="ARD10" s="187"/>
      <c r="ARE10" s="187"/>
      <c r="ARF10" s="187"/>
      <c r="ARG10" s="187"/>
      <c r="ARH10" s="187"/>
      <c r="ARI10" s="187"/>
      <c r="ARJ10" s="187"/>
      <c r="ARK10" s="187"/>
      <c r="ARL10" s="187"/>
      <c r="ARM10" s="187"/>
      <c r="ARN10" s="187"/>
      <c r="ARO10" s="187"/>
      <c r="ARP10" s="187"/>
      <c r="ARQ10" s="187"/>
      <c r="ARR10" s="187"/>
      <c r="ARS10" s="187"/>
      <c r="ART10" s="187"/>
      <c r="ARU10" s="187"/>
      <c r="ARV10" s="187"/>
      <c r="ARW10" s="187"/>
      <c r="ARX10" s="187"/>
      <c r="ARY10" s="187"/>
      <c r="ARZ10" s="187"/>
      <c r="ASA10" s="187"/>
      <c r="ASB10" s="187"/>
      <c r="ASC10" s="187"/>
      <c r="ASD10" s="187"/>
      <c r="ASE10" s="187"/>
      <c r="ASF10" s="187"/>
      <c r="ASG10" s="187"/>
      <c r="ASH10" s="187"/>
      <c r="ASI10" s="187"/>
      <c r="ASJ10" s="187"/>
      <c r="ASK10" s="187"/>
      <c r="ASL10" s="187"/>
      <c r="ASM10" s="187"/>
      <c r="ASN10" s="187"/>
      <c r="ASO10" s="187"/>
      <c r="ASP10" s="187"/>
      <c r="ASQ10" s="187"/>
      <c r="ASR10" s="187"/>
      <c r="ASS10" s="187"/>
      <c r="AST10" s="187"/>
      <c r="ASU10" s="187"/>
      <c r="ASV10" s="187"/>
      <c r="ASW10" s="187"/>
      <c r="ASX10" s="187"/>
      <c r="ASY10" s="187"/>
      <c r="ASZ10" s="187"/>
      <c r="ATA10" s="187"/>
      <c r="ATB10" s="187"/>
      <c r="ATC10" s="187"/>
      <c r="ATD10" s="187"/>
      <c r="ATE10" s="187"/>
      <c r="ATF10" s="187"/>
      <c r="ATG10" s="187"/>
      <c r="ATH10" s="187"/>
      <c r="ATI10" s="187"/>
      <c r="ATJ10" s="187"/>
      <c r="ATK10" s="187"/>
      <c r="ATL10" s="187"/>
      <c r="ATM10" s="187"/>
      <c r="ATN10" s="187"/>
      <c r="ATO10" s="187"/>
      <c r="ATP10" s="187"/>
      <c r="ATQ10" s="187"/>
      <c r="ATR10" s="187"/>
      <c r="ATS10" s="187"/>
      <c r="ATT10" s="187"/>
      <c r="ATU10" s="187"/>
      <c r="ATV10" s="187"/>
      <c r="ATW10" s="187"/>
      <c r="ATX10" s="187"/>
      <c r="ATY10" s="187"/>
      <c r="ATZ10" s="187"/>
      <c r="AUA10" s="187"/>
      <c r="AUB10" s="187"/>
      <c r="AUC10" s="187"/>
      <c r="AUD10" s="187"/>
      <c r="AUE10" s="187"/>
      <c r="AUF10" s="187"/>
      <c r="AUG10" s="187"/>
      <c r="AUH10" s="187"/>
      <c r="AUI10" s="187"/>
      <c r="AUJ10" s="187"/>
      <c r="AUK10" s="187"/>
      <c r="AUL10" s="187"/>
      <c r="AUM10" s="187"/>
      <c r="AUN10" s="187"/>
      <c r="AUO10" s="187"/>
      <c r="AUP10" s="187"/>
      <c r="AUQ10" s="187"/>
      <c r="AUR10" s="187"/>
      <c r="AUS10" s="187"/>
      <c r="AUT10" s="187"/>
      <c r="AUU10" s="187"/>
      <c r="AUV10" s="187"/>
      <c r="AUW10" s="187"/>
      <c r="AUX10" s="187"/>
      <c r="AUY10" s="187"/>
      <c r="AUZ10" s="187"/>
      <c r="AVA10" s="187"/>
      <c r="AVB10" s="187"/>
      <c r="AVC10" s="187"/>
      <c r="AVD10" s="187"/>
      <c r="AVE10" s="187"/>
      <c r="AVF10" s="187"/>
      <c r="AVG10" s="187"/>
      <c r="AVH10" s="187"/>
      <c r="AVI10" s="187"/>
      <c r="AVJ10" s="187"/>
      <c r="AVK10" s="187"/>
      <c r="AVL10" s="187"/>
      <c r="AVM10" s="187"/>
      <c r="AVN10" s="187"/>
      <c r="AVO10" s="187"/>
      <c r="AVP10" s="187"/>
      <c r="AVQ10" s="187"/>
      <c r="AVR10" s="187"/>
      <c r="AVS10" s="187"/>
      <c r="AVT10" s="187"/>
      <c r="AVU10" s="187"/>
      <c r="AVV10" s="187"/>
      <c r="AVW10" s="187"/>
      <c r="AVX10" s="187"/>
      <c r="AVY10" s="187"/>
      <c r="AVZ10" s="187"/>
      <c r="AWA10" s="187"/>
      <c r="AWB10" s="187"/>
      <c r="AWC10" s="187"/>
      <c r="AWD10" s="187"/>
      <c r="AWE10" s="187"/>
      <c r="AWF10" s="187"/>
      <c r="AWG10" s="187"/>
      <c r="AWH10" s="187"/>
      <c r="AWI10" s="187"/>
      <c r="AWJ10" s="187"/>
      <c r="AWK10" s="187"/>
      <c r="AWL10" s="187"/>
      <c r="AWM10" s="187"/>
      <c r="AWN10" s="187"/>
      <c r="AWO10" s="187"/>
      <c r="AWP10" s="187"/>
      <c r="AWQ10" s="187"/>
      <c r="AWR10" s="187"/>
      <c r="AWS10" s="187"/>
      <c r="AWT10" s="187"/>
      <c r="AWU10" s="187"/>
      <c r="AWV10" s="187"/>
      <c r="AWW10" s="187"/>
      <c r="AWX10" s="187"/>
      <c r="AWY10" s="187"/>
      <c r="AWZ10" s="187"/>
      <c r="AXA10" s="187"/>
      <c r="AXB10" s="187"/>
      <c r="AXC10" s="187"/>
      <c r="AXD10" s="187"/>
      <c r="AXE10" s="187"/>
      <c r="AXF10" s="187"/>
      <c r="AXG10" s="187"/>
      <c r="AXH10" s="187"/>
      <c r="AXI10" s="187"/>
      <c r="AXJ10" s="187"/>
      <c r="AXK10" s="187"/>
      <c r="AXL10" s="187"/>
      <c r="AXM10" s="187"/>
      <c r="AXN10" s="187"/>
      <c r="AXO10" s="187"/>
      <c r="AXP10" s="187"/>
      <c r="AXQ10" s="187"/>
      <c r="AXR10" s="187"/>
      <c r="AXS10" s="187"/>
      <c r="AXT10" s="187"/>
      <c r="AXU10" s="187"/>
      <c r="AXV10" s="187"/>
      <c r="AXW10" s="187"/>
      <c r="AXX10" s="187"/>
      <c r="AXY10" s="187"/>
      <c r="AXZ10" s="187"/>
      <c r="AYA10" s="187"/>
      <c r="AYB10" s="187"/>
      <c r="AYC10" s="187"/>
      <c r="AYD10" s="187"/>
      <c r="AYE10" s="187"/>
      <c r="AYF10" s="187"/>
      <c r="AYG10" s="187"/>
      <c r="AYH10" s="187"/>
      <c r="AYI10" s="187"/>
      <c r="AYJ10" s="187"/>
      <c r="AYK10" s="187"/>
      <c r="AYL10" s="187"/>
      <c r="AYM10" s="187"/>
      <c r="AYN10" s="187"/>
      <c r="AYO10" s="187"/>
      <c r="AYP10" s="187"/>
      <c r="AYQ10" s="187"/>
      <c r="AYR10" s="187"/>
      <c r="AYS10" s="187"/>
      <c r="AYT10" s="187"/>
      <c r="AYU10" s="187"/>
      <c r="AYV10" s="187"/>
      <c r="AYW10" s="187"/>
      <c r="AYX10" s="187"/>
      <c r="AYY10" s="187"/>
      <c r="AYZ10" s="187"/>
      <c r="AZA10" s="187"/>
      <c r="AZB10" s="187"/>
      <c r="AZC10" s="187"/>
      <c r="AZD10" s="187"/>
      <c r="AZE10" s="187"/>
      <c r="AZF10" s="187"/>
      <c r="AZG10" s="187"/>
      <c r="AZH10" s="187"/>
      <c r="AZI10" s="187"/>
      <c r="AZJ10" s="187"/>
      <c r="AZK10" s="187"/>
      <c r="AZL10" s="187"/>
      <c r="AZM10" s="187"/>
      <c r="AZN10" s="187"/>
      <c r="AZO10" s="187"/>
      <c r="AZP10" s="187"/>
      <c r="AZQ10" s="187"/>
      <c r="AZR10" s="187"/>
      <c r="AZS10" s="187"/>
      <c r="AZT10" s="187"/>
      <c r="AZU10" s="187"/>
      <c r="AZV10" s="187"/>
      <c r="AZW10" s="187"/>
      <c r="AZX10" s="187"/>
      <c r="AZY10" s="187"/>
      <c r="AZZ10" s="187"/>
      <c r="BAA10" s="187"/>
      <c r="BAB10" s="187"/>
      <c r="BAC10" s="187"/>
      <c r="BAD10" s="187"/>
      <c r="BAE10" s="187"/>
      <c r="BAF10" s="187"/>
      <c r="BAG10" s="187"/>
      <c r="BAH10" s="187"/>
      <c r="BAI10" s="187"/>
      <c r="BAJ10" s="187"/>
      <c r="BAK10" s="187"/>
      <c r="BAL10" s="187"/>
      <c r="BAM10" s="187"/>
      <c r="BAN10" s="187"/>
      <c r="BAO10" s="187"/>
      <c r="BAP10" s="187"/>
      <c r="BAQ10" s="187"/>
      <c r="BAR10" s="187"/>
      <c r="BAS10" s="187"/>
      <c r="BAT10" s="187"/>
      <c r="BAU10" s="187"/>
      <c r="BAV10" s="187"/>
      <c r="BAW10" s="187"/>
      <c r="BAX10" s="187"/>
      <c r="BAY10" s="187"/>
      <c r="BAZ10" s="187"/>
      <c r="BBA10" s="187"/>
      <c r="BBB10" s="187"/>
      <c r="BBC10" s="187"/>
      <c r="BBD10" s="187"/>
      <c r="BBE10" s="187"/>
      <c r="BBF10" s="187"/>
      <c r="BBG10" s="187"/>
      <c r="BBH10" s="187"/>
      <c r="BBI10" s="187"/>
      <c r="BBJ10" s="187"/>
      <c r="BBK10" s="187"/>
      <c r="BBL10" s="187"/>
      <c r="BBM10" s="187"/>
      <c r="BBN10" s="187"/>
      <c r="BBO10" s="187"/>
      <c r="BBP10" s="187"/>
      <c r="BBQ10" s="187"/>
      <c r="BBR10" s="187"/>
      <c r="BBS10" s="187"/>
      <c r="BBT10" s="187"/>
      <c r="BBU10" s="187"/>
      <c r="BBV10" s="187"/>
      <c r="BBW10" s="187"/>
      <c r="BBX10" s="187"/>
      <c r="BBY10" s="187"/>
      <c r="BBZ10" s="187"/>
      <c r="BCA10" s="187"/>
      <c r="BCB10" s="187"/>
      <c r="BCC10" s="187"/>
      <c r="BCD10" s="187"/>
      <c r="BCE10" s="187"/>
      <c r="BCF10" s="187"/>
      <c r="BCG10" s="187"/>
      <c r="BCH10" s="187"/>
      <c r="BCI10" s="187"/>
      <c r="BCJ10" s="187"/>
      <c r="BCK10" s="187"/>
      <c r="BCL10" s="187"/>
      <c r="BCM10" s="187"/>
      <c r="BCN10" s="187"/>
      <c r="BCO10" s="187"/>
      <c r="BCP10" s="187"/>
      <c r="BCQ10" s="187"/>
      <c r="BCR10" s="187"/>
      <c r="BCS10" s="187"/>
      <c r="BCT10" s="187"/>
      <c r="BCU10" s="187"/>
      <c r="BCV10" s="187"/>
      <c r="BCW10" s="187"/>
      <c r="BCX10" s="187"/>
      <c r="BCY10" s="187"/>
      <c r="BCZ10" s="187"/>
      <c r="BDA10" s="187"/>
      <c r="BDB10" s="187"/>
      <c r="BDC10" s="187"/>
      <c r="BDD10" s="187"/>
      <c r="BDE10" s="187"/>
      <c r="BDF10" s="187"/>
      <c r="BDG10" s="187"/>
      <c r="BDH10" s="187"/>
      <c r="BDI10" s="187"/>
      <c r="BDJ10" s="187"/>
      <c r="BDK10" s="187"/>
      <c r="BDL10" s="187"/>
      <c r="BDM10" s="187"/>
      <c r="BDN10" s="187"/>
      <c r="BDO10" s="187"/>
      <c r="BDP10" s="187"/>
      <c r="BDQ10" s="187"/>
      <c r="BDR10" s="187"/>
      <c r="BDS10" s="187"/>
      <c r="BDT10" s="187"/>
      <c r="BDU10" s="187"/>
      <c r="BDV10" s="187"/>
      <c r="BDW10" s="187"/>
      <c r="BDX10" s="187"/>
      <c r="BDY10" s="187"/>
      <c r="BDZ10" s="187"/>
      <c r="BEA10" s="187"/>
      <c r="BEB10" s="187"/>
      <c r="BEC10" s="187"/>
      <c r="BED10" s="187"/>
      <c r="BEE10" s="187"/>
      <c r="BEF10" s="187"/>
      <c r="BEG10" s="187"/>
      <c r="BEH10" s="187"/>
      <c r="BEI10" s="187"/>
      <c r="BEJ10" s="187"/>
      <c r="BEK10" s="187"/>
      <c r="BEL10" s="187"/>
      <c r="BEM10" s="187"/>
      <c r="BEN10" s="187"/>
      <c r="BEO10" s="187"/>
      <c r="BEP10" s="187"/>
      <c r="BEQ10" s="187"/>
      <c r="BER10" s="187"/>
      <c r="BES10" s="187"/>
      <c r="BET10" s="187"/>
      <c r="BEU10" s="187"/>
      <c r="BEV10" s="187"/>
      <c r="BEW10" s="187"/>
      <c r="BEX10" s="187"/>
      <c r="BEY10" s="187"/>
      <c r="BEZ10" s="187"/>
      <c r="BFA10" s="187"/>
      <c r="BFB10" s="187"/>
      <c r="BFC10" s="187"/>
      <c r="BFD10" s="187"/>
      <c r="BFE10" s="187"/>
      <c r="BFF10" s="187"/>
      <c r="BFG10" s="187"/>
      <c r="BFH10" s="187"/>
      <c r="BFI10" s="187"/>
      <c r="BFJ10" s="187"/>
      <c r="BFK10" s="187"/>
      <c r="BFL10" s="187"/>
      <c r="BFM10" s="187"/>
      <c r="BFN10" s="187"/>
      <c r="BFO10" s="187"/>
      <c r="BFP10" s="187"/>
      <c r="BFQ10" s="187"/>
      <c r="BFR10" s="187"/>
      <c r="BFS10" s="187"/>
      <c r="BFT10" s="187"/>
      <c r="BFU10" s="187"/>
      <c r="BFV10" s="187"/>
      <c r="BFW10" s="187"/>
      <c r="BFX10" s="187"/>
      <c r="BFY10" s="187"/>
      <c r="BFZ10" s="187"/>
      <c r="BGA10" s="187"/>
      <c r="BGB10" s="187"/>
      <c r="BGC10" s="187"/>
      <c r="BGD10" s="187"/>
      <c r="BGE10" s="187"/>
      <c r="BGF10" s="187"/>
      <c r="BGG10" s="187"/>
      <c r="BGH10" s="187"/>
      <c r="BGI10" s="187"/>
      <c r="BGJ10" s="187"/>
      <c r="BGK10" s="187"/>
      <c r="BGL10" s="187"/>
      <c r="BGM10" s="187"/>
      <c r="BGN10" s="187"/>
      <c r="BGO10" s="187"/>
      <c r="BGP10" s="187"/>
      <c r="BGQ10" s="187"/>
      <c r="BGR10" s="187"/>
      <c r="BGS10" s="187"/>
      <c r="BGT10" s="187"/>
      <c r="BGU10" s="187"/>
      <c r="BGV10" s="187"/>
      <c r="BGW10" s="187"/>
      <c r="BGX10" s="187"/>
      <c r="BGY10" s="187"/>
      <c r="BGZ10" s="187"/>
      <c r="BHA10" s="187"/>
      <c r="BHB10" s="187"/>
      <c r="BHC10" s="187"/>
      <c r="BHD10" s="187"/>
      <c r="BHE10" s="187"/>
      <c r="BHF10" s="187"/>
      <c r="BHG10" s="187"/>
      <c r="BHH10" s="187"/>
      <c r="BHI10" s="187"/>
      <c r="BHJ10" s="187"/>
      <c r="BHK10" s="187"/>
      <c r="BHL10" s="187"/>
      <c r="BHM10" s="187"/>
      <c r="BHN10" s="187"/>
      <c r="BHO10" s="187"/>
      <c r="BHP10" s="187"/>
      <c r="BHQ10" s="187"/>
      <c r="BHR10" s="187"/>
      <c r="BHS10" s="187"/>
      <c r="BHT10" s="187"/>
      <c r="BHU10" s="187"/>
      <c r="BHV10" s="187"/>
      <c r="BHW10" s="187"/>
      <c r="BHX10" s="187"/>
      <c r="BHY10" s="187"/>
      <c r="BHZ10" s="187"/>
      <c r="BIA10" s="187"/>
      <c r="BIB10" s="187"/>
      <c r="BIC10" s="187"/>
      <c r="BID10" s="187"/>
      <c r="BIE10" s="187"/>
      <c r="BIF10" s="187"/>
      <c r="BIG10" s="187"/>
      <c r="BIH10" s="187"/>
      <c r="BII10" s="187"/>
      <c r="BIJ10" s="187"/>
      <c r="BIK10" s="187"/>
      <c r="BIL10" s="187"/>
      <c r="BIM10" s="187"/>
      <c r="BIN10" s="187"/>
      <c r="BIO10" s="187"/>
      <c r="BIP10" s="187"/>
      <c r="BIQ10" s="187"/>
      <c r="BIR10" s="187"/>
      <c r="BIS10" s="187"/>
      <c r="BIT10" s="187"/>
      <c r="BIU10" s="187"/>
      <c r="BIV10" s="187"/>
      <c r="BIW10" s="187"/>
      <c r="BIX10" s="187"/>
      <c r="BIY10" s="187"/>
      <c r="BIZ10" s="187"/>
      <c r="BJA10" s="187"/>
      <c r="BJB10" s="187"/>
      <c r="BJC10" s="187"/>
      <c r="BJD10" s="187"/>
      <c r="BJE10" s="187"/>
      <c r="BJF10" s="187"/>
      <c r="BJG10" s="187"/>
      <c r="BJH10" s="187"/>
      <c r="BJI10" s="187"/>
      <c r="BJJ10" s="187"/>
      <c r="BJK10" s="187"/>
      <c r="BJL10" s="187"/>
      <c r="BJM10" s="187"/>
      <c r="BJN10" s="187"/>
      <c r="BJO10" s="187"/>
      <c r="BJP10" s="187"/>
      <c r="BJQ10" s="187"/>
      <c r="BJR10" s="187"/>
      <c r="BJS10" s="187"/>
      <c r="BJT10" s="187"/>
      <c r="BJU10" s="187"/>
      <c r="BJV10" s="187"/>
      <c r="BJW10" s="187"/>
      <c r="BJX10" s="187"/>
      <c r="BJY10" s="187"/>
      <c r="BJZ10" s="187"/>
      <c r="BKA10" s="187"/>
      <c r="BKB10" s="187"/>
      <c r="BKC10" s="187"/>
      <c r="BKD10" s="187"/>
      <c r="BKE10" s="187"/>
      <c r="BKF10" s="187"/>
      <c r="BKG10" s="187"/>
      <c r="BKH10" s="187"/>
      <c r="BKI10" s="187"/>
      <c r="BKJ10" s="187"/>
      <c r="BKK10" s="187"/>
      <c r="BKL10" s="187"/>
      <c r="BKM10" s="187"/>
      <c r="BKN10" s="187"/>
      <c r="BKO10" s="187"/>
      <c r="BKP10" s="187"/>
      <c r="BKQ10" s="187"/>
      <c r="BKR10" s="187"/>
      <c r="BKS10" s="187"/>
      <c r="BKT10" s="187"/>
      <c r="BKU10" s="187"/>
      <c r="BKV10" s="187"/>
      <c r="BKW10" s="187"/>
      <c r="BKX10" s="187"/>
      <c r="BKY10" s="187"/>
      <c r="BKZ10" s="187"/>
      <c r="BLA10" s="187"/>
      <c r="BLB10" s="187"/>
      <c r="BLC10" s="187"/>
      <c r="BLD10" s="187"/>
      <c r="BLE10" s="187"/>
      <c r="BLF10" s="187"/>
      <c r="BLG10" s="187"/>
      <c r="BLH10" s="187"/>
      <c r="BLI10" s="187"/>
      <c r="BLJ10" s="187"/>
      <c r="BLK10" s="187"/>
      <c r="BLL10" s="187"/>
      <c r="BLM10" s="187"/>
      <c r="BLN10" s="187"/>
      <c r="BLO10" s="187"/>
      <c r="BLP10" s="187"/>
      <c r="BLQ10" s="187"/>
      <c r="BLR10" s="187"/>
      <c r="BLS10" s="187"/>
      <c r="BLT10" s="187"/>
      <c r="BLU10" s="187"/>
      <c r="BLV10" s="187"/>
      <c r="BLW10" s="187"/>
      <c r="BLX10" s="187"/>
      <c r="BLY10" s="187"/>
      <c r="BLZ10" s="187"/>
      <c r="BMA10" s="187"/>
      <c r="BMB10" s="187"/>
      <c r="BMC10" s="187"/>
      <c r="BMD10" s="187"/>
      <c r="BME10" s="187"/>
      <c r="BMF10" s="187"/>
      <c r="BMG10" s="187"/>
      <c r="BMH10" s="187"/>
      <c r="BMI10" s="187"/>
      <c r="BMJ10" s="187"/>
      <c r="BMK10" s="187"/>
      <c r="BML10" s="187"/>
      <c r="BMM10" s="187"/>
      <c r="BMN10" s="187"/>
      <c r="BMO10" s="187"/>
      <c r="BMP10" s="187"/>
      <c r="BMQ10" s="187"/>
      <c r="BMR10" s="187"/>
      <c r="BMS10" s="187"/>
      <c r="BMT10" s="187"/>
      <c r="BMU10" s="187"/>
      <c r="BMV10" s="187"/>
      <c r="BMW10" s="187"/>
      <c r="BMX10" s="187"/>
      <c r="BMY10" s="187"/>
      <c r="BMZ10" s="187"/>
      <c r="BNA10" s="187"/>
      <c r="BNB10" s="187"/>
      <c r="BNC10" s="187"/>
      <c r="BND10" s="187"/>
      <c r="BNE10" s="187"/>
      <c r="BNF10" s="187"/>
      <c r="BNG10" s="187"/>
      <c r="BNH10" s="187"/>
      <c r="BNI10" s="187"/>
      <c r="BNJ10" s="187"/>
      <c r="BNK10" s="187"/>
      <c r="BNL10" s="187"/>
      <c r="BNM10" s="187"/>
      <c r="BNN10" s="187"/>
      <c r="BNO10" s="187"/>
      <c r="BNP10" s="187"/>
      <c r="BNQ10" s="187"/>
      <c r="BNR10" s="187"/>
      <c r="BNS10" s="187"/>
      <c r="BNT10" s="187"/>
      <c r="BNU10" s="187"/>
      <c r="BNV10" s="187"/>
      <c r="BNW10" s="187"/>
      <c r="BNX10" s="187"/>
      <c r="BNY10" s="187"/>
      <c r="BNZ10" s="187"/>
      <c r="BOA10" s="187"/>
      <c r="BOB10" s="187"/>
      <c r="BOC10" s="187"/>
      <c r="BOD10" s="187"/>
      <c r="BOE10" s="187"/>
      <c r="BOF10" s="187"/>
      <c r="BOG10" s="187"/>
      <c r="BOH10" s="187"/>
      <c r="BOI10" s="187"/>
      <c r="BOJ10" s="187"/>
      <c r="BOK10" s="187"/>
      <c r="BOL10" s="187"/>
      <c r="BOM10" s="187"/>
      <c r="BON10" s="187"/>
      <c r="BOO10" s="187"/>
      <c r="BOP10" s="187"/>
      <c r="BOQ10" s="187"/>
      <c r="BOR10" s="187"/>
      <c r="BOS10" s="187"/>
      <c r="BOT10" s="187"/>
      <c r="BOU10" s="187"/>
      <c r="BOV10" s="187"/>
      <c r="BOW10" s="187"/>
      <c r="BOX10" s="187"/>
      <c r="BOY10" s="187"/>
      <c r="BOZ10" s="187"/>
      <c r="BPA10" s="187"/>
      <c r="BPB10" s="187"/>
      <c r="BPC10" s="187"/>
      <c r="BPD10" s="187"/>
      <c r="BPE10" s="187"/>
      <c r="BPF10" s="187"/>
      <c r="BPG10" s="187"/>
      <c r="BPH10" s="187"/>
      <c r="BPI10" s="187"/>
      <c r="BPJ10" s="187"/>
      <c r="BPK10" s="187"/>
      <c r="BPL10" s="187"/>
      <c r="BPM10" s="187"/>
      <c r="BPN10" s="187"/>
      <c r="BPO10" s="187"/>
      <c r="BPP10" s="187"/>
      <c r="BPQ10" s="187"/>
      <c r="BPR10" s="187"/>
      <c r="BPS10" s="187"/>
      <c r="BPT10" s="187"/>
      <c r="BPU10" s="187"/>
      <c r="BPV10" s="187"/>
      <c r="BPW10" s="187"/>
      <c r="BPX10" s="187"/>
      <c r="BPY10" s="187"/>
      <c r="BPZ10" s="187"/>
      <c r="BQA10" s="187"/>
      <c r="BQB10" s="187"/>
      <c r="BQC10" s="187"/>
      <c r="BQD10" s="187"/>
      <c r="BQE10" s="187"/>
      <c r="BQF10" s="187"/>
      <c r="BQG10" s="187"/>
      <c r="BQH10" s="187"/>
      <c r="BQI10" s="187"/>
      <c r="BQJ10" s="187"/>
      <c r="BQK10" s="187"/>
      <c r="BQL10" s="187"/>
      <c r="BQM10" s="187"/>
      <c r="BQN10" s="187"/>
      <c r="BQO10" s="187"/>
      <c r="BQP10" s="187"/>
      <c r="BQQ10" s="187"/>
      <c r="BQR10" s="187"/>
      <c r="BQS10" s="187"/>
      <c r="BQT10" s="187"/>
      <c r="BQU10" s="187"/>
      <c r="BQV10" s="187"/>
      <c r="BQW10" s="187"/>
      <c r="BQX10" s="187"/>
      <c r="BQY10" s="187"/>
      <c r="BQZ10" s="187"/>
      <c r="BRA10" s="187"/>
      <c r="BRB10" s="187"/>
      <c r="BRC10" s="187"/>
      <c r="BRD10" s="187"/>
      <c r="BRE10" s="187"/>
      <c r="BRF10" s="187"/>
      <c r="BRG10" s="187"/>
      <c r="BRH10" s="187"/>
      <c r="BRI10" s="187"/>
      <c r="BRJ10" s="187"/>
      <c r="BRK10" s="187"/>
      <c r="BRL10" s="187"/>
      <c r="BRM10" s="187"/>
      <c r="BRN10" s="187"/>
      <c r="BRO10" s="187"/>
      <c r="BRP10" s="187"/>
      <c r="BRQ10" s="187"/>
      <c r="BRR10" s="187"/>
      <c r="BRS10" s="187"/>
      <c r="BRT10" s="187"/>
      <c r="BRU10" s="187"/>
      <c r="BRV10" s="187"/>
      <c r="BRW10" s="187"/>
      <c r="BRX10" s="187"/>
      <c r="BRY10" s="187"/>
      <c r="BRZ10" s="187"/>
      <c r="BSA10" s="187"/>
      <c r="BSB10" s="187"/>
      <c r="BSC10" s="187"/>
      <c r="BSD10" s="187"/>
      <c r="BSE10" s="187"/>
      <c r="BSF10" s="187"/>
      <c r="BSG10" s="187"/>
      <c r="BSH10" s="187"/>
      <c r="BSI10" s="187"/>
      <c r="BSJ10" s="187"/>
      <c r="BSK10" s="187"/>
      <c r="BSL10" s="187"/>
      <c r="BSM10" s="187"/>
      <c r="BSN10" s="187"/>
      <c r="BSO10" s="187"/>
      <c r="BSP10" s="187"/>
      <c r="BSQ10" s="187"/>
      <c r="BSR10" s="187"/>
      <c r="BSS10" s="187"/>
      <c r="BST10" s="187"/>
      <c r="BSU10" s="187"/>
      <c r="BSV10" s="187"/>
      <c r="BSW10" s="187"/>
      <c r="BSX10" s="187"/>
      <c r="BSY10" s="187"/>
      <c r="BSZ10" s="187"/>
      <c r="BTA10" s="187"/>
      <c r="BTB10" s="187"/>
      <c r="BTC10" s="187"/>
      <c r="BTD10" s="187"/>
      <c r="BTE10" s="187"/>
      <c r="BTF10" s="187"/>
      <c r="BTG10" s="187"/>
      <c r="BTH10" s="187"/>
      <c r="BTI10" s="187"/>
      <c r="BTJ10" s="187"/>
      <c r="BTK10" s="187"/>
      <c r="BTL10" s="187"/>
      <c r="BTM10" s="187"/>
      <c r="BTN10" s="187"/>
      <c r="BTO10" s="187"/>
      <c r="BTP10" s="187"/>
      <c r="BTQ10" s="187"/>
      <c r="BTR10" s="187"/>
      <c r="BTS10" s="187"/>
      <c r="BTT10" s="187"/>
      <c r="BTU10" s="187"/>
      <c r="BTV10" s="187"/>
      <c r="BTW10" s="187"/>
      <c r="BTX10" s="187"/>
      <c r="BTY10" s="187"/>
      <c r="BTZ10" s="187"/>
      <c r="BUA10" s="187"/>
      <c r="BUB10" s="187"/>
      <c r="BUC10" s="187"/>
      <c r="BUD10" s="187"/>
      <c r="BUE10" s="187"/>
      <c r="BUF10" s="187"/>
      <c r="BUG10" s="187"/>
      <c r="BUH10" s="187"/>
      <c r="BUI10" s="187"/>
      <c r="BUJ10" s="187"/>
      <c r="BUK10" s="187"/>
      <c r="BUL10" s="187"/>
      <c r="BUM10" s="187"/>
      <c r="BUN10" s="187"/>
      <c r="BUO10" s="187"/>
      <c r="BUP10" s="187"/>
      <c r="BUQ10" s="187"/>
      <c r="BUR10" s="187"/>
      <c r="BUS10" s="187"/>
      <c r="BUT10" s="187"/>
      <c r="BUU10" s="187"/>
      <c r="BUV10" s="187"/>
      <c r="BUW10" s="187"/>
      <c r="BUX10" s="187"/>
      <c r="BUY10" s="187"/>
      <c r="BUZ10" s="187"/>
      <c r="BVA10" s="187"/>
      <c r="BVB10" s="75"/>
    </row>
    <row r="11" spans="1:1926" ht="20.100000000000001" customHeight="1" x14ac:dyDescent="0.25">
      <c r="B11" s="53"/>
      <c r="C11" s="201"/>
      <c r="D11" s="201"/>
      <c r="E11" s="201"/>
      <c r="F11" s="189" t="s">
        <v>69</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69</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91" t="s">
        <v>107</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107</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105</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102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102</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99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99</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96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96</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94</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91</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91</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88</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88</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85</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85</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82</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82</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80</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77</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77</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74</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74</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71</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71</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75"/>
    </row>
    <row r="12" spans="1:1926" ht="15.75" customHeight="1" thickBot="1" x14ac:dyDescent="0.3">
      <c r="B12" s="81"/>
      <c r="C12" s="202"/>
      <c r="D12" s="202"/>
      <c r="E12" s="202"/>
      <c r="F12" s="190" t="s">
        <v>47</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46</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2" t="s">
        <v>47</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46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47</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46</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47</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46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47</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46</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47</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47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46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46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46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47</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46</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47</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46</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47</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46</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75"/>
    </row>
    <row r="13" spans="1:1926" ht="42.75" customHeight="1" thickBot="1" x14ac:dyDescent="0.3">
      <c r="B13" s="53"/>
      <c r="C13" s="197" t="s">
        <v>7</v>
      </c>
      <c r="D13" s="127"/>
      <c r="E13" s="199"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28</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19</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106</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104</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103</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101</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100</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98</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97</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95</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93</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92</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90</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89</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87</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86</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84</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83</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81</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79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78</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76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75</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73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72</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70</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193" t="s">
        <v>12</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5"/>
      <c r="BLV13" s="193" t="s">
        <v>12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5"/>
      <c r="BOD13" s="193" t="s">
        <v>12</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5"/>
      <c r="BQL13" s="193" t="s">
        <v>12</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5"/>
      <c r="BST13" s="193" t="s">
        <v>12</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5"/>
      <c r="BVB13" s="75"/>
    </row>
    <row r="14" spans="1:1926" ht="12.75" customHeight="1" thickBot="1" x14ac:dyDescent="0.35">
      <c r="B14" s="53"/>
      <c r="C14" s="198"/>
      <c r="D14" s="128"/>
      <c r="E14" s="200"/>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7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2"/>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2"/>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7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75"/>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7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75"/>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7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75"/>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7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7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7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7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7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75"/>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7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2"/>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2"/>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2"/>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5"/>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2"/>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2"/>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5"/>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2"/>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5"/>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2"/>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2"/>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5"/>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2"/>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2"/>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2"/>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2"/>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2"/>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5"/>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2"/>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2"/>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5"/>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2"/>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2"/>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2"/>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3" t="s">
        <v>9</v>
      </c>
      <c r="D95" s="18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5"/>
      <c r="D96" s="18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6" t="s">
        <v>10</v>
      </c>
      <c r="D97" s="177"/>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78"/>
      <c r="D98" s="179"/>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08" activePane="bottomLeft" state="frozen"/>
      <selection activeCell="BC13" sqref="BC13"/>
      <selection pane="bottomLeft" activeCell="D214" sqref="D21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2" t="s">
        <v>14</v>
      </c>
      <c r="F3" s="213"/>
      <c r="G3" s="39"/>
    </row>
    <row r="4" spans="1:7" s="44" customFormat="1" x14ac:dyDescent="0.3">
      <c r="A4" s="41" t="s">
        <v>16</v>
      </c>
      <c r="B4" s="42">
        <v>16</v>
      </c>
      <c r="C4" s="135" t="str">
        <f xml:space="preserve"> IF(B4="","",setValueToTime(B4))</f>
        <v>1h20min</v>
      </c>
      <c r="D4" s="43" t="s">
        <v>55</v>
      </c>
      <c r="E4" s="214"/>
      <c r="F4" s="215"/>
      <c r="G4" s="3"/>
    </row>
    <row r="5" spans="1:7" s="44" customFormat="1" x14ac:dyDescent="0.3">
      <c r="A5" s="45" t="s">
        <v>17</v>
      </c>
      <c r="B5" s="46">
        <v>6</v>
      </c>
      <c r="C5" s="136" t="str">
        <f t="shared" ref="C5:C11" si="0" xml:space="preserve"> IF(B5="","",setValueToTime(B5))</f>
        <v>0h30min</v>
      </c>
      <c r="D5" s="47" t="s">
        <v>53</v>
      </c>
      <c r="E5" s="206"/>
      <c r="F5" s="207"/>
      <c r="G5" s="3"/>
    </row>
    <row r="6" spans="1:7" s="44" customFormat="1" x14ac:dyDescent="0.3">
      <c r="A6" s="45" t="s">
        <v>111</v>
      </c>
      <c r="B6" s="46">
        <v>6</v>
      </c>
      <c r="C6" s="136" t="str">
        <f t="shared" si="0"/>
        <v>0h30min</v>
      </c>
      <c r="D6" s="47" t="s">
        <v>142</v>
      </c>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95" t="s">
        <v>29</v>
      </c>
      <c r="B12" s="69">
        <f>SUM(B4:B11)</f>
        <v>28</v>
      </c>
      <c r="C12" s="95" t="str">
        <f xml:space="preserve"> setValueToTime(B12)</f>
        <v>2h20min</v>
      </c>
      <c r="D12" s="104"/>
      <c r="E12" s="210"/>
      <c r="F12" s="211"/>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2" t="s">
        <v>14</v>
      </c>
      <c r="F15" s="213"/>
      <c r="G15" s="39"/>
    </row>
    <row r="16" spans="1:7" s="44" customFormat="1" x14ac:dyDescent="0.3">
      <c r="A16" s="41" t="s">
        <v>16</v>
      </c>
      <c r="B16" s="42">
        <v>47</v>
      </c>
      <c r="C16" s="135" t="str">
        <f xml:space="preserve"> IF(B16="","",setValueToTime(B16))</f>
        <v>3h55min</v>
      </c>
      <c r="D16" s="43" t="s">
        <v>55</v>
      </c>
      <c r="E16" s="214"/>
      <c r="F16" s="215"/>
      <c r="G16" s="3"/>
    </row>
    <row r="17" spans="1:7" s="44" customFormat="1" x14ac:dyDescent="0.3">
      <c r="A17" s="45" t="s">
        <v>17</v>
      </c>
      <c r="B17" s="46">
        <v>1</v>
      </c>
      <c r="C17" s="136" t="str">
        <f t="shared" ref="C17:C23" si="1" xml:space="preserve"> IF(B17="","",setValueToTime(B17))</f>
        <v>0h5min</v>
      </c>
      <c r="D17" s="47" t="s">
        <v>53</v>
      </c>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95" t="s">
        <v>29</v>
      </c>
      <c r="B24" s="69">
        <f>SUM(B16:B23)</f>
        <v>48</v>
      </c>
      <c r="C24" s="95" t="str">
        <f xml:space="preserve"> setValueToTime(B24)</f>
        <v>4h</v>
      </c>
      <c r="D24" s="104"/>
      <c r="E24" s="210"/>
      <c r="F24" s="211"/>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2" t="s">
        <v>14</v>
      </c>
      <c r="F27" s="213"/>
      <c r="G27" s="39"/>
    </row>
    <row r="28" spans="1:7" s="44" customFormat="1" x14ac:dyDescent="0.3">
      <c r="A28" s="41" t="s">
        <v>16</v>
      </c>
      <c r="B28" s="42">
        <v>37</v>
      </c>
      <c r="C28" s="135" t="str">
        <f xml:space="preserve"> IF(B28="","",setValueToTime(B28))</f>
        <v>3h5min</v>
      </c>
      <c r="D28" s="43" t="s">
        <v>55</v>
      </c>
      <c r="E28" s="214"/>
      <c r="F28" s="215"/>
      <c r="G28" s="3"/>
    </row>
    <row r="29" spans="1:7" s="44" customFormat="1" x14ac:dyDescent="0.3">
      <c r="A29" s="45" t="s">
        <v>17</v>
      </c>
      <c r="B29" s="46">
        <v>1</v>
      </c>
      <c r="C29" s="136" t="str">
        <f t="shared" ref="C29:C35" si="2" xml:space="preserve"> IF(B29="","",setValueToTime(B29))</f>
        <v>0h5min</v>
      </c>
      <c r="D29" s="47" t="s">
        <v>53</v>
      </c>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95" t="s">
        <v>29</v>
      </c>
      <c r="B36" s="69">
        <f>SUM(B28:B35)</f>
        <v>38</v>
      </c>
      <c r="C36" s="95" t="str">
        <f xml:space="preserve"> setValueToTime(B36)</f>
        <v>3h10min</v>
      </c>
      <c r="D36" s="104"/>
      <c r="E36" s="210"/>
      <c r="F36" s="211"/>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2" t="s">
        <v>14</v>
      </c>
      <c r="F39" s="213"/>
      <c r="G39" s="39"/>
    </row>
    <row r="40" spans="1:7" s="44" customFormat="1" x14ac:dyDescent="0.3">
      <c r="A40" s="41" t="s">
        <v>16</v>
      </c>
      <c r="B40" s="42">
        <v>47</v>
      </c>
      <c r="C40" s="135" t="str">
        <f xml:space="preserve"> IF(B40="","",setValueToTime(B40))</f>
        <v>3h55min</v>
      </c>
      <c r="D40" s="43" t="s">
        <v>55</v>
      </c>
      <c r="E40" s="214"/>
      <c r="F40" s="215"/>
      <c r="G40" s="3"/>
    </row>
    <row r="41" spans="1:7" s="44" customFormat="1" x14ac:dyDescent="0.3">
      <c r="A41" s="45" t="s">
        <v>17</v>
      </c>
      <c r="B41" s="46">
        <v>1</v>
      </c>
      <c r="C41" s="136" t="str">
        <f t="shared" ref="C41:C47" si="3" xml:space="preserve"> IF(B41="","",setValueToTime(B41))</f>
        <v>0h5min</v>
      </c>
      <c r="D41" s="47" t="s">
        <v>53</v>
      </c>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95" t="s">
        <v>29</v>
      </c>
      <c r="B48" s="69">
        <f>SUM(B40:B47)</f>
        <v>48</v>
      </c>
      <c r="C48" s="95" t="str">
        <f xml:space="preserve"> setValueToTime(B48)</f>
        <v>4h</v>
      </c>
      <c r="D48" s="104"/>
      <c r="E48" s="210"/>
      <c r="F48" s="211"/>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2" t="s">
        <v>14</v>
      </c>
      <c r="F51" s="213"/>
      <c r="G51" s="39"/>
    </row>
    <row r="52" spans="1:7" s="44" customFormat="1" x14ac:dyDescent="0.3">
      <c r="A52" s="41" t="s">
        <v>16</v>
      </c>
      <c r="B52" s="42">
        <v>37</v>
      </c>
      <c r="C52" s="135" t="str">
        <f xml:space="preserve"> IF(B52="","",setValueToTime(B52))</f>
        <v>3h5min</v>
      </c>
      <c r="D52" s="43" t="s">
        <v>55</v>
      </c>
      <c r="E52" s="214"/>
      <c r="F52" s="215"/>
      <c r="G52" s="3"/>
    </row>
    <row r="53" spans="1:7" s="44" customFormat="1" x14ac:dyDescent="0.3">
      <c r="A53" s="45" t="s">
        <v>17</v>
      </c>
      <c r="B53" s="46">
        <v>1</v>
      </c>
      <c r="C53" s="136" t="str">
        <f t="shared" ref="C53:C59" si="4" xml:space="preserve"> IF(B53="","",setValueToTime(B53))</f>
        <v>0h5min</v>
      </c>
      <c r="D53" s="47" t="s">
        <v>53</v>
      </c>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95" t="s">
        <v>29</v>
      </c>
      <c r="B60" s="69">
        <f>SUM(B52:B59)</f>
        <v>38</v>
      </c>
      <c r="C60" s="95" t="str">
        <f xml:space="preserve"> setValueToTime(B60)</f>
        <v>3h10min</v>
      </c>
      <c r="D60" s="104"/>
      <c r="E60" s="210"/>
      <c r="F60" s="211"/>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2" t="s">
        <v>14</v>
      </c>
      <c r="F63" s="213"/>
      <c r="G63" s="39"/>
    </row>
    <row r="64" spans="1:7" s="44" customFormat="1" x14ac:dyDescent="0.3">
      <c r="A64" s="41" t="s">
        <v>16</v>
      </c>
      <c r="B64" s="42">
        <v>47</v>
      </c>
      <c r="C64" s="135" t="str">
        <f xml:space="preserve"> IF(B64="","",setValueToTime(B64))</f>
        <v>3h55min</v>
      </c>
      <c r="D64" s="43" t="s">
        <v>55</v>
      </c>
      <c r="E64" s="214"/>
      <c r="F64" s="215"/>
      <c r="G64" s="3"/>
    </row>
    <row r="65" spans="1:7" s="44" customFormat="1" x14ac:dyDescent="0.3">
      <c r="A65" s="45" t="s">
        <v>17</v>
      </c>
      <c r="B65" s="46">
        <v>1</v>
      </c>
      <c r="C65" s="136" t="str">
        <f t="shared" ref="C65:C71" si="5" xml:space="preserve"> IF(B65="","",setValueToTime(B65))</f>
        <v>0h5min</v>
      </c>
      <c r="D65" s="47" t="s">
        <v>53</v>
      </c>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95" t="s">
        <v>29</v>
      </c>
      <c r="B72" s="69">
        <f>SUM(B64:B71)</f>
        <v>48</v>
      </c>
      <c r="C72" s="95" t="str">
        <f xml:space="preserve"> setValueToTime(B72)</f>
        <v>4h</v>
      </c>
      <c r="D72" s="104"/>
      <c r="E72" s="210"/>
      <c r="F72" s="211"/>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2" t="s">
        <v>14</v>
      </c>
      <c r="F75" s="213"/>
      <c r="G75" s="39"/>
    </row>
    <row r="76" spans="1:7" s="44" customFormat="1" x14ac:dyDescent="0.3">
      <c r="A76" s="41" t="s">
        <v>16</v>
      </c>
      <c r="B76" s="42">
        <v>27</v>
      </c>
      <c r="C76" s="135" t="str">
        <f xml:space="preserve"> IF(B76="","",setValueToTime(B76))</f>
        <v>2h15min</v>
      </c>
      <c r="D76" s="43" t="s">
        <v>55</v>
      </c>
      <c r="E76" s="214"/>
      <c r="F76" s="215"/>
      <c r="G76" s="3"/>
    </row>
    <row r="77" spans="1:7" s="44" customFormat="1" x14ac:dyDescent="0.3">
      <c r="A77" s="45" t="s">
        <v>17</v>
      </c>
      <c r="B77" s="46">
        <v>1</v>
      </c>
      <c r="C77" s="136" t="str">
        <f t="shared" ref="C77:C83" si="6" xml:space="preserve"> IF(B77="","",setValueToTime(B77))</f>
        <v>0h5min</v>
      </c>
      <c r="D77" s="47"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95" t="s">
        <v>29</v>
      </c>
      <c r="B84" s="69">
        <f>SUM(B76:B83)</f>
        <v>28</v>
      </c>
      <c r="C84" s="95" t="str">
        <f xml:space="preserve"> setValueToTime(B84)</f>
        <v>2h20min</v>
      </c>
      <c r="D84" s="104"/>
      <c r="E84" s="210"/>
      <c r="F84" s="211"/>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2" t="s">
        <v>14</v>
      </c>
      <c r="F87" s="213"/>
      <c r="G87" s="39"/>
    </row>
    <row r="88" spans="1:7" s="44" customFormat="1" x14ac:dyDescent="0.3">
      <c r="A88" s="41" t="s">
        <v>65</v>
      </c>
      <c r="B88" s="42">
        <v>27</v>
      </c>
      <c r="C88" s="135" t="str">
        <f xml:space="preserve"> IF(B88="","",setValueToTime(B88))</f>
        <v>2h15min</v>
      </c>
      <c r="D88" s="43" t="s">
        <v>139</v>
      </c>
      <c r="E88" s="214"/>
      <c r="F88" s="215"/>
      <c r="G88" s="3"/>
    </row>
    <row r="89" spans="1:7" s="44" customFormat="1" x14ac:dyDescent="0.3">
      <c r="A89" s="45" t="s">
        <v>17</v>
      </c>
      <c r="B89" s="46">
        <v>1</v>
      </c>
      <c r="C89" s="136" t="str">
        <f t="shared" ref="C89:C95" si="7" xml:space="preserve"> IF(B89="","",setValueToTime(B89))</f>
        <v>0h5min</v>
      </c>
      <c r="D89" s="47" t="s">
        <v>53</v>
      </c>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95" t="s">
        <v>29</v>
      </c>
      <c r="B96" s="69">
        <f>SUM(B88:B95)</f>
        <v>28</v>
      </c>
      <c r="C96" s="95" t="str">
        <f xml:space="preserve"> setValueToTime(B96)</f>
        <v>2h20min</v>
      </c>
      <c r="D96" s="104"/>
      <c r="E96" s="210"/>
      <c r="F96" s="211"/>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2" t="s">
        <v>14</v>
      </c>
      <c r="F99" s="213"/>
      <c r="G99" s="39"/>
    </row>
    <row r="100" spans="1:7" s="44" customFormat="1" ht="15" thickBot="1" x14ac:dyDescent="0.35">
      <c r="A100" s="41" t="s">
        <v>67</v>
      </c>
      <c r="B100" s="42">
        <v>21</v>
      </c>
      <c r="C100" s="135" t="str">
        <f xml:space="preserve"> IF(B100="","",setValueToTime(B100))</f>
        <v>1h45min</v>
      </c>
      <c r="D100" s="43" t="s">
        <v>141</v>
      </c>
      <c r="E100" s="214"/>
      <c r="F100" s="215"/>
      <c r="G100" s="3"/>
    </row>
    <row r="101" spans="1:7" s="44" customFormat="1" x14ac:dyDescent="0.3">
      <c r="A101" s="45" t="s">
        <v>65</v>
      </c>
      <c r="B101" s="42">
        <v>26</v>
      </c>
      <c r="C101" s="136" t="str">
        <f t="shared" ref="C101:C107" si="8" xml:space="preserve"> IF(B101="","",setValueToTime(B101))</f>
        <v>2h10min</v>
      </c>
      <c r="D101" s="43" t="s">
        <v>138</v>
      </c>
      <c r="E101" s="206"/>
      <c r="F101" s="207"/>
      <c r="G101" s="3"/>
    </row>
    <row r="102" spans="1:7" s="44" customFormat="1" x14ac:dyDescent="0.3">
      <c r="A102" s="45" t="s">
        <v>17</v>
      </c>
      <c r="B102" s="46">
        <v>1</v>
      </c>
      <c r="C102" s="136" t="str">
        <f t="shared" si="8"/>
        <v>0h5min</v>
      </c>
      <c r="D102" s="47" t="s">
        <v>53</v>
      </c>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95" t="s">
        <v>29</v>
      </c>
      <c r="B108" s="69">
        <f>SUM(B100:B107)</f>
        <v>48</v>
      </c>
      <c r="C108" s="95" t="str">
        <f xml:space="preserve"> setValueToTime(B108)</f>
        <v>4h</v>
      </c>
      <c r="D108" s="104"/>
      <c r="E108" s="210"/>
      <c r="F108" s="21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2" t="s">
        <v>14</v>
      </c>
      <c r="F111" s="213"/>
      <c r="G111" s="39"/>
    </row>
    <row r="112" spans="1:7" s="44" customFormat="1" x14ac:dyDescent="0.3">
      <c r="A112" s="41" t="s">
        <v>65</v>
      </c>
      <c r="B112" s="42">
        <v>12</v>
      </c>
      <c r="C112" s="135" t="str">
        <f xml:space="preserve"> IF(B112="","",setValueToTime(B112))</f>
        <v>1h</v>
      </c>
      <c r="D112" s="43" t="s">
        <v>137</v>
      </c>
      <c r="E112" s="214"/>
      <c r="F112" s="215"/>
      <c r="G112" s="3"/>
    </row>
    <row r="113" spans="1:7" s="44" customFormat="1" x14ac:dyDescent="0.3">
      <c r="A113" s="45" t="s">
        <v>67</v>
      </c>
      <c r="B113" s="46">
        <v>15</v>
      </c>
      <c r="C113" s="136" t="str">
        <f t="shared" ref="C113:C119" si="9" xml:space="preserve"> IF(B113="","",setValueToTime(B113))</f>
        <v>1h15min</v>
      </c>
      <c r="D113" s="47" t="s">
        <v>140</v>
      </c>
      <c r="E113" s="206"/>
      <c r="F113" s="207"/>
      <c r="G113" s="3"/>
    </row>
    <row r="114" spans="1:7" s="44" customFormat="1" x14ac:dyDescent="0.3">
      <c r="A114" s="45" t="s">
        <v>17</v>
      </c>
      <c r="B114" s="46">
        <v>1</v>
      </c>
      <c r="C114" s="136" t="str">
        <f t="shared" si="9"/>
        <v>0h5min</v>
      </c>
      <c r="D114" s="47" t="s">
        <v>53</v>
      </c>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95" t="s">
        <v>29</v>
      </c>
      <c r="B120" s="69">
        <f>SUM(B112:B119)</f>
        <v>28</v>
      </c>
      <c r="C120" s="95" t="str">
        <f xml:space="preserve"> setValueToTime(B120)</f>
        <v>2h20min</v>
      </c>
      <c r="D120" s="104"/>
      <c r="E120" s="210"/>
      <c r="F120" s="21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2" t="s">
        <v>14</v>
      </c>
      <c r="F123" s="213"/>
      <c r="G123" s="39"/>
    </row>
    <row r="124" spans="1:7" s="44" customFormat="1" ht="27" x14ac:dyDescent="0.3">
      <c r="A124" s="41" t="s">
        <v>64</v>
      </c>
      <c r="B124" s="42">
        <v>47</v>
      </c>
      <c r="C124" s="135" t="str">
        <f xml:space="preserve"> IF(B124="","",setValueToTime(B124))</f>
        <v>3h55min</v>
      </c>
      <c r="D124" s="43" t="s">
        <v>136</v>
      </c>
      <c r="E124" s="214"/>
      <c r="F124" s="215"/>
      <c r="G124" s="3"/>
    </row>
    <row r="125" spans="1:7" s="44" customFormat="1" x14ac:dyDescent="0.3">
      <c r="A125" s="45" t="s">
        <v>17</v>
      </c>
      <c r="B125" s="46">
        <v>1</v>
      </c>
      <c r="C125" s="136" t="str">
        <f t="shared" ref="C125:C131" si="10" xml:space="preserve"> IF(B125="","",setValueToTime(B125))</f>
        <v>0h5min</v>
      </c>
      <c r="D125" s="47" t="s">
        <v>53</v>
      </c>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95" t="s">
        <v>29</v>
      </c>
      <c r="B132" s="69">
        <f>SUM(B124:B131)</f>
        <v>48</v>
      </c>
      <c r="C132" s="95" t="str">
        <f xml:space="preserve"> setValueToTime(B132)</f>
        <v>4h</v>
      </c>
      <c r="D132" s="104"/>
      <c r="E132" s="210"/>
      <c r="F132" s="21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2" t="s">
        <v>14</v>
      </c>
      <c r="F135" s="213"/>
      <c r="G135" s="39"/>
    </row>
    <row r="136" spans="1:7" s="44" customFormat="1" x14ac:dyDescent="0.3">
      <c r="A136" s="41" t="s">
        <v>67</v>
      </c>
      <c r="B136" s="42">
        <v>18</v>
      </c>
      <c r="C136" s="135" t="str">
        <f xml:space="preserve"> IF(B136="","",setValueToTime(B136))</f>
        <v>1h30min</v>
      </c>
      <c r="D136" s="47" t="s">
        <v>60</v>
      </c>
      <c r="E136" s="214"/>
      <c r="F136" s="215"/>
      <c r="G136" s="3"/>
    </row>
    <row r="137" spans="1:7" s="44" customFormat="1" x14ac:dyDescent="0.3">
      <c r="A137" s="45" t="s">
        <v>16</v>
      </c>
      <c r="B137" s="46">
        <v>19</v>
      </c>
      <c r="C137" s="136" t="str">
        <f t="shared" ref="C137:C143" si="11" xml:space="preserve"> IF(B137="","",setValueToTime(B137))</f>
        <v>1h35min</v>
      </c>
      <c r="D137" s="47" t="s">
        <v>56</v>
      </c>
      <c r="E137" s="206"/>
      <c r="F137" s="207"/>
      <c r="G137" s="3"/>
    </row>
    <row r="138" spans="1:7" s="44" customFormat="1" x14ac:dyDescent="0.3">
      <c r="A138" s="45" t="s">
        <v>17</v>
      </c>
      <c r="B138" s="46">
        <v>1</v>
      </c>
      <c r="C138" s="136" t="str">
        <f t="shared" si="11"/>
        <v>0h5min</v>
      </c>
      <c r="D138" s="47" t="s">
        <v>53</v>
      </c>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95" t="s">
        <v>29</v>
      </c>
      <c r="B144" s="69">
        <f>SUM(B136:B143)</f>
        <v>38</v>
      </c>
      <c r="C144" s="95" t="str">
        <f xml:space="preserve"> setValueToTime(B144)</f>
        <v>3h10min</v>
      </c>
      <c r="D144" s="104"/>
      <c r="E144" s="210"/>
      <c r="F144" s="21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2" t="s">
        <v>14</v>
      </c>
      <c r="F147" s="213"/>
      <c r="G147" s="39"/>
    </row>
    <row r="148" spans="1:7" s="44" customFormat="1" ht="27" x14ac:dyDescent="0.3">
      <c r="A148" s="41" t="s">
        <v>64</v>
      </c>
      <c r="B148" s="42">
        <v>4</v>
      </c>
      <c r="C148" s="135" t="str">
        <f xml:space="preserve"> IF(B148="","",setValueToTime(B148))</f>
        <v>0h20min</v>
      </c>
      <c r="D148" s="47" t="s">
        <v>135</v>
      </c>
      <c r="E148" s="214"/>
      <c r="F148" s="215"/>
      <c r="G148" s="3"/>
    </row>
    <row r="149" spans="1:7" s="44" customFormat="1" x14ac:dyDescent="0.3">
      <c r="A149" s="45" t="s">
        <v>65</v>
      </c>
      <c r="B149" s="46">
        <v>8</v>
      </c>
      <c r="C149" s="136" t="str">
        <f t="shared" ref="C149:C155" si="12" xml:space="preserve"> IF(B149="","",setValueToTime(B149))</f>
        <v>0h40min</v>
      </c>
      <c r="D149" s="47" t="s">
        <v>127</v>
      </c>
      <c r="E149" s="206"/>
      <c r="F149" s="207"/>
      <c r="G149" s="3"/>
    </row>
    <row r="150" spans="1:7" s="44" customFormat="1" x14ac:dyDescent="0.3">
      <c r="A150" s="45" t="s">
        <v>16</v>
      </c>
      <c r="B150" s="46">
        <v>35</v>
      </c>
      <c r="C150" s="136" t="str">
        <f t="shared" si="12"/>
        <v>2h55min</v>
      </c>
      <c r="D150" s="47" t="s">
        <v>56</v>
      </c>
      <c r="E150" s="206"/>
      <c r="F150" s="207"/>
      <c r="G150" s="3"/>
    </row>
    <row r="151" spans="1:7" s="44" customFormat="1" x14ac:dyDescent="0.3">
      <c r="A151" s="45" t="s">
        <v>17</v>
      </c>
      <c r="B151" s="46">
        <v>1</v>
      </c>
      <c r="C151" s="136" t="str">
        <f t="shared" si="12"/>
        <v>0h5min</v>
      </c>
      <c r="D151" s="47" t="s">
        <v>53</v>
      </c>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95" t="s">
        <v>29</v>
      </c>
      <c r="B156" s="69">
        <f>SUM(B148:B155)</f>
        <v>48</v>
      </c>
      <c r="C156" s="95" t="str">
        <f xml:space="preserve"> setValueToTime(B156)</f>
        <v>4h</v>
      </c>
      <c r="D156" s="104"/>
      <c r="E156" s="210"/>
      <c r="F156" s="21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2" t="s">
        <v>14</v>
      </c>
      <c r="F159" s="213"/>
      <c r="G159" s="39"/>
    </row>
    <row r="160" spans="1:7" s="44" customFormat="1" ht="27" x14ac:dyDescent="0.3">
      <c r="A160" s="41" t="s">
        <v>64</v>
      </c>
      <c r="B160" s="42">
        <v>3</v>
      </c>
      <c r="C160" s="135" t="str">
        <f xml:space="preserve"> IF(B160="","",setValueToTime(B160))</f>
        <v>0h15min</v>
      </c>
      <c r="D160" s="47" t="s">
        <v>133</v>
      </c>
      <c r="E160" s="214"/>
      <c r="F160" s="215"/>
      <c r="G160" s="3"/>
    </row>
    <row r="161" spans="1:7" s="44" customFormat="1" x14ac:dyDescent="0.3">
      <c r="A161" s="45" t="s">
        <v>65</v>
      </c>
      <c r="B161" s="46">
        <v>8</v>
      </c>
      <c r="C161" s="136" t="str">
        <f t="shared" ref="C161:C167" si="13" xml:space="preserve"> IF(B161="","",setValueToTime(B161))</f>
        <v>0h40min</v>
      </c>
      <c r="D161" s="47" t="s">
        <v>127</v>
      </c>
      <c r="E161" s="206"/>
      <c r="F161" s="207"/>
      <c r="G161" s="3"/>
    </row>
    <row r="162" spans="1:7" s="44" customFormat="1" ht="27" x14ac:dyDescent="0.3">
      <c r="A162" s="45" t="s">
        <v>64</v>
      </c>
      <c r="B162" s="46">
        <v>26</v>
      </c>
      <c r="C162" s="136" t="str">
        <f t="shared" si="13"/>
        <v>2h10min</v>
      </c>
      <c r="D162" s="47" t="s">
        <v>134</v>
      </c>
      <c r="E162" s="206"/>
      <c r="F162" s="207"/>
      <c r="G162" s="3"/>
    </row>
    <row r="163" spans="1:7" s="44" customFormat="1" x14ac:dyDescent="0.3">
      <c r="A163" s="45" t="s">
        <v>17</v>
      </c>
      <c r="B163" s="46">
        <v>1</v>
      </c>
      <c r="C163" s="136" t="str">
        <f t="shared" si="13"/>
        <v>0h5min</v>
      </c>
      <c r="D163" s="47" t="s">
        <v>53</v>
      </c>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95" t="s">
        <v>29</v>
      </c>
      <c r="B168" s="69">
        <f>SUM(B160:B167)</f>
        <v>38</v>
      </c>
      <c r="C168" s="95" t="str">
        <f xml:space="preserve"> setValueToTime(B168)</f>
        <v>3h10min</v>
      </c>
      <c r="D168" s="104"/>
      <c r="E168" s="210"/>
      <c r="F168" s="21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2" t="s">
        <v>14</v>
      </c>
      <c r="F171" s="213"/>
      <c r="G171" s="39"/>
    </row>
    <row r="172" spans="1:7" s="44" customFormat="1" ht="27" x14ac:dyDescent="0.3">
      <c r="A172" s="41" t="s">
        <v>64</v>
      </c>
      <c r="B172" s="42">
        <v>18</v>
      </c>
      <c r="C172" s="135" t="str">
        <f xml:space="preserve"> IF(B172="","",setValueToTime(B172))</f>
        <v>1h30min</v>
      </c>
      <c r="D172" s="43" t="s">
        <v>130</v>
      </c>
      <c r="E172" s="214"/>
      <c r="F172" s="215"/>
      <c r="G172" s="3"/>
    </row>
    <row r="173" spans="1:7" s="44" customFormat="1" x14ac:dyDescent="0.3">
      <c r="A173" s="45" t="s">
        <v>63</v>
      </c>
      <c r="B173" s="46">
        <v>18</v>
      </c>
      <c r="C173" s="136" t="str">
        <f t="shared" ref="C173:C179" si="14" xml:space="preserve"> IF(B173="","",setValueToTime(B173))</f>
        <v>1h30min</v>
      </c>
      <c r="D173" s="47" t="s">
        <v>131</v>
      </c>
      <c r="E173" s="206"/>
      <c r="F173" s="207"/>
      <c r="G173" s="3"/>
    </row>
    <row r="174" spans="1:7" s="44" customFormat="1" ht="27" x14ac:dyDescent="0.3">
      <c r="A174" s="45" t="s">
        <v>64</v>
      </c>
      <c r="B174" s="46">
        <v>11</v>
      </c>
      <c r="C174" s="136" t="str">
        <f t="shared" si="14"/>
        <v>0h55min</v>
      </c>
      <c r="D174" s="47" t="s">
        <v>132</v>
      </c>
      <c r="E174" s="206"/>
      <c r="F174" s="207"/>
      <c r="G174" s="3"/>
    </row>
    <row r="175" spans="1:7" s="44" customFormat="1" x14ac:dyDescent="0.3">
      <c r="A175" s="45" t="s">
        <v>17</v>
      </c>
      <c r="B175" s="46">
        <v>1</v>
      </c>
      <c r="C175" s="136" t="str">
        <f t="shared" si="14"/>
        <v>0h5min</v>
      </c>
      <c r="D175" s="47" t="s">
        <v>53</v>
      </c>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95" t="s">
        <v>29</v>
      </c>
      <c r="B180" s="69">
        <f>SUM(B172:B179)</f>
        <v>48</v>
      </c>
      <c r="C180" s="95" t="str">
        <f xml:space="preserve"> setValueToTime(B180)</f>
        <v>4h</v>
      </c>
      <c r="D180" s="104"/>
      <c r="E180" s="210"/>
      <c r="F180" s="21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2" t="s">
        <v>14</v>
      </c>
      <c r="F183" s="213"/>
      <c r="G183" s="39"/>
    </row>
    <row r="184" spans="1:7" s="44" customFormat="1" ht="15" thickBot="1" x14ac:dyDescent="0.35">
      <c r="A184" s="41" t="s">
        <v>65</v>
      </c>
      <c r="B184" s="42">
        <v>8</v>
      </c>
      <c r="C184" s="135" t="str">
        <f xml:space="preserve"> IF(B184="","",setValueToTime(B184))</f>
        <v>0h40min</v>
      </c>
      <c r="D184" s="43" t="s">
        <v>129</v>
      </c>
      <c r="E184" s="214"/>
      <c r="F184" s="215"/>
      <c r="G184" s="3"/>
    </row>
    <row r="185" spans="1:7" s="44" customFormat="1" x14ac:dyDescent="0.3">
      <c r="A185" s="45" t="s">
        <v>16</v>
      </c>
      <c r="B185" s="42">
        <v>19</v>
      </c>
      <c r="C185" s="136" t="str">
        <f t="shared" ref="C185:C191" si="15" xml:space="preserve"> IF(B185="","",setValueToTime(B185))</f>
        <v>1h35min</v>
      </c>
      <c r="D185" s="43" t="s">
        <v>55</v>
      </c>
      <c r="E185" s="206"/>
      <c r="F185" s="207"/>
      <c r="G185" s="3"/>
    </row>
    <row r="186" spans="1:7" s="44" customFormat="1" x14ac:dyDescent="0.3">
      <c r="A186" s="45" t="s">
        <v>17</v>
      </c>
      <c r="B186" s="46">
        <v>1</v>
      </c>
      <c r="C186" s="136" t="str">
        <f t="shared" si="15"/>
        <v>0h5min</v>
      </c>
      <c r="D186" s="47" t="s">
        <v>53</v>
      </c>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95" t="s">
        <v>29</v>
      </c>
      <c r="B192" s="69">
        <f>SUM(B184:B191)</f>
        <v>28</v>
      </c>
      <c r="C192" s="95" t="str">
        <f xml:space="preserve"> setValueToTime(B192)</f>
        <v>2h20min</v>
      </c>
      <c r="D192" s="104"/>
      <c r="E192" s="210"/>
      <c r="F192" s="21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2" t="s">
        <v>14</v>
      </c>
      <c r="F195" s="213"/>
      <c r="G195" s="39"/>
    </row>
    <row r="196" spans="1:7" s="44" customFormat="1" ht="27" x14ac:dyDescent="0.3">
      <c r="A196" s="41" t="s">
        <v>64</v>
      </c>
      <c r="B196" s="42">
        <v>27</v>
      </c>
      <c r="C196" s="135" t="str">
        <f xml:space="preserve"> IF(B196="","",setValueToTime(B196))</f>
        <v>2h15min</v>
      </c>
      <c r="D196" s="47" t="s">
        <v>126</v>
      </c>
      <c r="E196" s="214"/>
      <c r="F196" s="215"/>
      <c r="G196" s="3"/>
    </row>
    <row r="197" spans="1:7" s="44" customFormat="1" x14ac:dyDescent="0.3">
      <c r="A197" s="45" t="s">
        <v>17</v>
      </c>
      <c r="B197" s="46">
        <v>1</v>
      </c>
      <c r="C197" s="136" t="str">
        <f t="shared" ref="C197:C203" si="16" xml:space="preserve"> IF(B197="","",setValueToTime(B197))</f>
        <v>0h5min</v>
      </c>
      <c r="D197" s="47" t="s">
        <v>53</v>
      </c>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95" t="s">
        <v>29</v>
      </c>
      <c r="B204" s="69">
        <f>SUM(B196:B203)</f>
        <v>28</v>
      </c>
      <c r="C204" s="95" t="str">
        <f xml:space="preserve"> setValueToTime(B204)</f>
        <v>2h20min</v>
      </c>
      <c r="D204" s="104"/>
      <c r="E204" s="210"/>
      <c r="F204" s="21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2" t="s">
        <v>14</v>
      </c>
      <c r="F207" s="213"/>
      <c r="G207" s="39"/>
    </row>
    <row r="208" spans="1:7" s="44" customFormat="1" ht="27" x14ac:dyDescent="0.3">
      <c r="A208" s="41" t="s">
        <v>64</v>
      </c>
      <c r="B208" s="42">
        <v>39</v>
      </c>
      <c r="C208" s="135" t="str">
        <f xml:space="preserve"> IF(B208="","",setValueToTime(B208))</f>
        <v>3h15min</v>
      </c>
      <c r="D208" s="47" t="s">
        <v>128</v>
      </c>
      <c r="E208" s="214"/>
      <c r="F208" s="215"/>
      <c r="G208" s="3"/>
    </row>
    <row r="209" spans="1:7" s="44" customFormat="1" x14ac:dyDescent="0.3">
      <c r="A209" s="45" t="s">
        <v>65</v>
      </c>
      <c r="B209" s="46">
        <v>8</v>
      </c>
      <c r="C209" s="136" t="str">
        <f t="shared" ref="C209:C215" si="17" xml:space="preserve"> IF(B209="","",setValueToTime(B209))</f>
        <v>0h40min</v>
      </c>
      <c r="D209" s="47" t="s">
        <v>61</v>
      </c>
      <c r="E209" s="206"/>
      <c r="F209" s="207"/>
      <c r="G209" s="3"/>
    </row>
    <row r="210" spans="1:7" s="44" customFormat="1" x14ac:dyDescent="0.3">
      <c r="A210" s="45" t="s">
        <v>17</v>
      </c>
      <c r="B210" s="46">
        <v>1</v>
      </c>
      <c r="C210" s="136" t="str">
        <f t="shared" si="17"/>
        <v>0h5min</v>
      </c>
      <c r="D210" s="47" t="s">
        <v>53</v>
      </c>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95" t="s">
        <v>29</v>
      </c>
      <c r="B216" s="69">
        <f>SUM(B208:B215)</f>
        <v>48</v>
      </c>
      <c r="C216" s="95" t="str">
        <f xml:space="preserve"> setValueToTime(B216)</f>
        <v>4h</v>
      </c>
      <c r="D216" s="104"/>
      <c r="E216" s="210"/>
      <c r="F216" s="21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2" t="s">
        <v>14</v>
      </c>
      <c r="F219" s="213"/>
      <c r="G219" s="39"/>
    </row>
    <row r="220" spans="1:7" s="44" customFormat="1" x14ac:dyDescent="0.3">
      <c r="A220" s="41" t="s">
        <v>67</v>
      </c>
      <c r="B220" s="42">
        <v>18</v>
      </c>
      <c r="C220" s="135" t="str">
        <f xml:space="preserve"> IF(B220="","",setValueToTime(B220))</f>
        <v>1h30min</v>
      </c>
      <c r="D220" s="47" t="s">
        <v>62</v>
      </c>
      <c r="E220" s="214"/>
      <c r="F220" s="215"/>
      <c r="G220" s="3"/>
    </row>
    <row r="221" spans="1:7" s="44" customFormat="1" ht="27" x14ac:dyDescent="0.3">
      <c r="A221" s="45" t="s">
        <v>64</v>
      </c>
      <c r="B221" s="46">
        <v>12</v>
      </c>
      <c r="C221" s="136" t="str">
        <f t="shared" ref="C221:C227" si="18" xml:space="preserve"> IF(B221="","",setValueToTime(B221))</f>
        <v>1h</v>
      </c>
      <c r="D221" s="47" t="s">
        <v>124</v>
      </c>
      <c r="E221" s="206"/>
      <c r="F221" s="207"/>
      <c r="G221" s="3"/>
    </row>
    <row r="222" spans="1:7" s="44" customFormat="1" x14ac:dyDescent="0.3">
      <c r="A222" s="45" t="s">
        <v>65</v>
      </c>
      <c r="B222" s="46">
        <v>7</v>
      </c>
      <c r="C222" s="136" t="str">
        <f t="shared" si="18"/>
        <v>0h35min</v>
      </c>
      <c r="D222" s="47" t="s">
        <v>125</v>
      </c>
      <c r="E222" s="206"/>
      <c r="F222" s="207"/>
      <c r="G222" s="3"/>
    </row>
    <row r="223" spans="1:7" s="44" customFormat="1" x14ac:dyDescent="0.3">
      <c r="A223" s="45" t="s">
        <v>17</v>
      </c>
      <c r="B223" s="46">
        <v>1</v>
      </c>
      <c r="C223" s="136" t="str">
        <f t="shared" si="18"/>
        <v>0h5min</v>
      </c>
      <c r="D223" s="47" t="s">
        <v>53</v>
      </c>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95" t="s">
        <v>29</v>
      </c>
      <c r="B228" s="69">
        <f>SUM(B220:B227)</f>
        <v>38</v>
      </c>
      <c r="C228" s="95" t="str">
        <f xml:space="preserve"> setValueToTime(B228)</f>
        <v>3h10min</v>
      </c>
      <c r="D228" s="104"/>
      <c r="E228" s="210"/>
      <c r="F228" s="21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2" t="s">
        <v>14</v>
      </c>
      <c r="F231" s="213"/>
      <c r="G231" s="39"/>
    </row>
    <row r="232" spans="1:7" s="44" customFormat="1" x14ac:dyDescent="0.3">
      <c r="A232" s="41" t="s">
        <v>63</v>
      </c>
      <c r="B232" s="46">
        <v>24</v>
      </c>
      <c r="C232" s="135" t="str">
        <f xml:space="preserve"> IF(B232="","",setValueToTime(B232))</f>
        <v>2h</v>
      </c>
      <c r="D232" s="47" t="s">
        <v>123</v>
      </c>
      <c r="E232" s="214"/>
      <c r="F232" s="215"/>
      <c r="G232" s="3"/>
    </row>
    <row r="233" spans="1:7" s="44" customFormat="1" x14ac:dyDescent="0.3">
      <c r="A233" s="45" t="s">
        <v>16</v>
      </c>
      <c r="B233" s="46">
        <v>23</v>
      </c>
      <c r="C233" s="136" t="str">
        <f t="shared" ref="C233:C239" si="19" xml:space="preserve"> IF(B233="","",setValueToTime(B233))</f>
        <v>1h55min</v>
      </c>
      <c r="D233" s="47" t="s">
        <v>56</v>
      </c>
      <c r="E233" s="206"/>
      <c r="F233" s="207"/>
      <c r="G233" s="3"/>
    </row>
    <row r="234" spans="1:7" s="44" customFormat="1" x14ac:dyDescent="0.3">
      <c r="A234" s="46" t="s">
        <v>17</v>
      </c>
      <c r="B234" s="46">
        <v>1</v>
      </c>
      <c r="C234" s="136" t="str">
        <f t="shared" si="19"/>
        <v>0h5min</v>
      </c>
      <c r="D234" s="47" t="s">
        <v>53</v>
      </c>
      <c r="E234" s="206"/>
      <c r="F234" s="207"/>
      <c r="G234" s="3"/>
    </row>
    <row r="235" spans="1:7" s="44" customFormat="1" x14ac:dyDescent="0.3">
      <c r="A235" s="45"/>
      <c r="B235" s="46"/>
      <c r="C235" s="136" t="str">
        <f t="shared" si="19"/>
        <v/>
      </c>
      <c r="D235" s="47"/>
      <c r="E235" s="206"/>
      <c r="F235" s="207"/>
      <c r="G235" s="3"/>
    </row>
    <row r="236" spans="1:7" s="44" customFormat="1" x14ac:dyDescent="0.3">
      <c r="A236" s="46"/>
      <c r="B236" s="46"/>
      <c r="C236" s="137" t="str">
        <f t="shared" si="19"/>
        <v/>
      </c>
      <c r="D236" s="47"/>
      <c r="E236" s="206"/>
      <c r="F236" s="207"/>
      <c r="G236" s="3"/>
    </row>
    <row r="237" spans="1:7" s="44" customFormat="1" x14ac:dyDescent="0.3">
      <c r="A237" s="46"/>
      <c r="B237" s="46"/>
      <c r="C237" s="137" t="str">
        <f t="shared" si="19"/>
        <v/>
      </c>
      <c r="D237" s="47"/>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6"/>
      <c r="C239" s="138" t="str">
        <f t="shared" si="19"/>
        <v/>
      </c>
      <c r="D239" s="47"/>
      <c r="E239" s="208"/>
      <c r="F239" s="209"/>
      <c r="G239" s="3"/>
    </row>
    <row r="240" spans="1:7" s="44" customFormat="1" ht="15" thickBot="1" x14ac:dyDescent="0.35">
      <c r="A240" s="95" t="s">
        <v>29</v>
      </c>
      <c r="B240" s="69">
        <f>SUM(B232:B239)</f>
        <v>48</v>
      </c>
      <c r="C240" s="95" t="str">
        <f xml:space="preserve"> setValueToTime(B240)</f>
        <v>4h</v>
      </c>
      <c r="D240" s="104"/>
      <c r="E240" s="210"/>
      <c r="F240" s="21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2" t="s">
        <v>14</v>
      </c>
      <c r="F243" s="213"/>
      <c r="G243" s="39"/>
    </row>
    <row r="244" spans="1:7" s="44" customFormat="1" x14ac:dyDescent="0.3">
      <c r="A244" s="41" t="s">
        <v>4</v>
      </c>
      <c r="B244" s="42">
        <v>12</v>
      </c>
      <c r="C244" s="135" t="str">
        <f xml:space="preserve"> IF(B244="","",setValueToTime(B244))</f>
        <v>1h</v>
      </c>
      <c r="D244" s="43" t="s">
        <v>49</v>
      </c>
      <c r="E244" s="214"/>
      <c r="F244" s="215"/>
      <c r="G244" s="3"/>
    </row>
    <row r="245" spans="1:7" s="44" customFormat="1" x14ac:dyDescent="0.3">
      <c r="A245" s="45" t="s">
        <v>63</v>
      </c>
      <c r="B245" s="46">
        <v>9</v>
      </c>
      <c r="C245" s="136" t="str">
        <f t="shared" ref="C245:C251" si="20" xml:space="preserve"> IF(B245="","",setValueToTime(B245))</f>
        <v>0h45min</v>
      </c>
      <c r="D245" s="47" t="s">
        <v>58</v>
      </c>
      <c r="E245" s="206"/>
      <c r="F245" s="207"/>
      <c r="G245" s="3"/>
    </row>
    <row r="246" spans="1:7" s="44" customFormat="1" x14ac:dyDescent="0.3">
      <c r="A246" s="45" t="s">
        <v>65</v>
      </c>
      <c r="B246" s="46">
        <v>8</v>
      </c>
      <c r="C246" s="136" t="str">
        <f t="shared" si="20"/>
        <v>0h40min</v>
      </c>
      <c r="D246" s="47" t="s">
        <v>118</v>
      </c>
      <c r="E246" s="206"/>
      <c r="F246" s="207"/>
      <c r="G246" s="3"/>
    </row>
    <row r="247" spans="1:7" s="44" customFormat="1" x14ac:dyDescent="0.3">
      <c r="A247" s="45" t="s">
        <v>63</v>
      </c>
      <c r="B247" s="46">
        <v>8</v>
      </c>
      <c r="C247" s="136" t="str">
        <f t="shared" si="20"/>
        <v>0h40min</v>
      </c>
      <c r="D247" s="47" t="s">
        <v>119</v>
      </c>
      <c r="E247" s="206"/>
      <c r="F247" s="207"/>
      <c r="G247" s="3"/>
    </row>
    <row r="248" spans="1:7" s="44" customFormat="1" x14ac:dyDescent="0.3">
      <c r="A248" s="46" t="s">
        <v>17</v>
      </c>
      <c r="B248" s="46">
        <v>1</v>
      </c>
      <c r="C248" s="137" t="str">
        <f t="shared" si="20"/>
        <v>0h5min</v>
      </c>
      <c r="D248" s="47" t="s">
        <v>53</v>
      </c>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95" t="s">
        <v>29</v>
      </c>
      <c r="B252" s="69">
        <f>SUM(B244:B251)</f>
        <v>38</v>
      </c>
      <c r="C252" s="95" t="str">
        <f xml:space="preserve"> setValueToTime(B252)</f>
        <v>3h10min</v>
      </c>
      <c r="D252" s="104"/>
      <c r="E252" s="210"/>
      <c r="F252" s="21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2" t="s">
        <v>14</v>
      </c>
      <c r="F255" s="213"/>
      <c r="G255" s="39"/>
    </row>
    <row r="256" spans="1:7" s="44" customFormat="1" ht="27" x14ac:dyDescent="0.3">
      <c r="A256" s="41" t="s">
        <v>64</v>
      </c>
      <c r="B256" s="42">
        <v>12</v>
      </c>
      <c r="C256" s="135" t="str">
        <f xml:space="preserve"> IF(B256="","",setValueToTime(B256))</f>
        <v>1h</v>
      </c>
      <c r="D256" s="47" t="s">
        <v>116</v>
      </c>
      <c r="E256" s="214"/>
      <c r="F256" s="215"/>
      <c r="G256" s="3"/>
    </row>
    <row r="257" spans="1:7" s="44" customFormat="1" ht="27" x14ac:dyDescent="0.3">
      <c r="A257" s="45" t="s">
        <v>64</v>
      </c>
      <c r="B257" s="46">
        <v>12</v>
      </c>
      <c r="C257" s="136" t="str">
        <f t="shared" ref="C257:C263" si="21" xml:space="preserve"> IF(B257="","",setValueToTime(B257))</f>
        <v>1h</v>
      </c>
      <c r="D257" s="47" t="s">
        <v>59</v>
      </c>
      <c r="E257" s="206"/>
      <c r="F257" s="207"/>
      <c r="G257" s="3"/>
    </row>
    <row r="258" spans="1:7" s="44" customFormat="1" x14ac:dyDescent="0.3">
      <c r="A258" s="45" t="s">
        <v>65</v>
      </c>
      <c r="B258" s="46">
        <v>8</v>
      </c>
      <c r="C258" s="136" t="str">
        <f t="shared" si="21"/>
        <v>0h40min</v>
      </c>
      <c r="D258" s="47" t="s">
        <v>117</v>
      </c>
      <c r="E258" s="206"/>
      <c r="F258" s="207"/>
      <c r="G258" s="3"/>
    </row>
    <row r="259" spans="1:7" s="44" customFormat="1" x14ac:dyDescent="0.3">
      <c r="A259" s="45" t="s">
        <v>63</v>
      </c>
      <c r="B259" s="46">
        <v>12</v>
      </c>
      <c r="C259" s="136" t="str">
        <f t="shared" si="21"/>
        <v>1h</v>
      </c>
      <c r="D259" s="47" t="s">
        <v>57</v>
      </c>
      <c r="E259" s="206"/>
      <c r="F259" s="207"/>
      <c r="G259" s="3"/>
    </row>
    <row r="260" spans="1:7" s="44" customFormat="1" ht="27" x14ac:dyDescent="0.3">
      <c r="A260" s="46" t="s">
        <v>64</v>
      </c>
      <c r="B260" s="46">
        <v>3</v>
      </c>
      <c r="C260" s="137" t="str">
        <f t="shared" si="21"/>
        <v>0h15min</v>
      </c>
      <c r="D260" s="47" t="s">
        <v>58</v>
      </c>
      <c r="E260" s="206"/>
      <c r="F260" s="207"/>
      <c r="G260" s="3"/>
    </row>
    <row r="261" spans="1:7" s="44" customFormat="1" x14ac:dyDescent="0.3">
      <c r="A261" s="46" t="s">
        <v>17</v>
      </c>
      <c r="B261" s="46">
        <v>1</v>
      </c>
      <c r="C261" s="137" t="str">
        <f t="shared" si="21"/>
        <v>0h5min</v>
      </c>
      <c r="D261" s="47" t="s">
        <v>53</v>
      </c>
      <c r="E261" s="206"/>
      <c r="F261" s="207"/>
      <c r="G261" s="3"/>
    </row>
    <row r="262" spans="1:7" s="44" customFormat="1" x14ac:dyDescent="0.3">
      <c r="A262" s="46"/>
      <c r="B262" s="46"/>
      <c r="C262" s="137" t="str">
        <f t="shared" si="21"/>
        <v/>
      </c>
      <c r="D262" s="47"/>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95" t="s">
        <v>29</v>
      </c>
      <c r="B264" s="69">
        <f>SUM(B256:B263)</f>
        <v>48</v>
      </c>
      <c r="C264" s="95" t="str">
        <f xml:space="preserve"> setValueToTime(B264)</f>
        <v>4h</v>
      </c>
      <c r="D264" s="104"/>
      <c r="E264" s="210"/>
      <c r="F264" s="21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2" t="s">
        <v>14</v>
      </c>
      <c r="F267" s="213"/>
      <c r="G267" s="39"/>
    </row>
    <row r="268" spans="1:7" s="44" customFormat="1" x14ac:dyDescent="0.3">
      <c r="A268" s="41" t="s">
        <v>16</v>
      </c>
      <c r="B268" s="46">
        <v>15</v>
      </c>
      <c r="C268" s="135" t="str">
        <f xml:space="preserve"> IF(B268="","",setValueToTime(B268))</f>
        <v>1h15min</v>
      </c>
      <c r="D268" s="47" t="s">
        <v>55</v>
      </c>
      <c r="E268" s="214"/>
      <c r="F268" s="215"/>
      <c r="G268" s="3"/>
    </row>
    <row r="269" spans="1:7" s="44" customFormat="1" x14ac:dyDescent="0.3">
      <c r="A269" s="45" t="s">
        <v>63</v>
      </c>
      <c r="B269" s="46">
        <v>12</v>
      </c>
      <c r="C269" s="136" t="str">
        <f t="shared" ref="C269:C275" si="22" xml:space="preserve"> IF(B269="","",setValueToTime(B269))</f>
        <v>1h</v>
      </c>
      <c r="D269" s="47" t="s">
        <v>115</v>
      </c>
      <c r="E269" s="206"/>
      <c r="F269" s="207"/>
      <c r="G269" s="3"/>
    </row>
    <row r="270" spans="1:7" s="44" customFormat="1" x14ac:dyDescent="0.3">
      <c r="A270" s="45" t="s">
        <v>17</v>
      </c>
      <c r="B270" s="46">
        <v>1</v>
      </c>
      <c r="C270" s="136" t="str">
        <f t="shared" si="22"/>
        <v>0h5min</v>
      </c>
      <c r="D270" s="47" t="s">
        <v>122</v>
      </c>
      <c r="E270" s="206"/>
      <c r="F270" s="207"/>
      <c r="G270" s="3"/>
    </row>
    <row r="271" spans="1:7" s="44" customFormat="1" x14ac:dyDescent="0.3">
      <c r="A271" s="45"/>
      <c r="B271" s="46"/>
      <c r="C271" s="136" t="str">
        <f t="shared" si="22"/>
        <v/>
      </c>
      <c r="D271" s="47"/>
      <c r="E271" s="206"/>
      <c r="F271" s="207"/>
      <c r="G271" s="3"/>
    </row>
    <row r="272" spans="1:7" s="44" customFormat="1" x14ac:dyDescent="0.3">
      <c r="A272" s="46"/>
      <c r="B272" s="46"/>
      <c r="C272" s="137" t="str">
        <f t="shared" si="22"/>
        <v/>
      </c>
      <c r="D272" s="47"/>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7"/>
      <c r="B275" s="48"/>
      <c r="C275" s="138" t="str">
        <f t="shared" si="22"/>
        <v/>
      </c>
      <c r="D275" s="49"/>
      <c r="E275" s="208"/>
      <c r="F275" s="209"/>
      <c r="G275" s="3"/>
    </row>
    <row r="276" spans="1:7" s="44" customFormat="1" ht="15" thickBot="1" x14ac:dyDescent="0.35">
      <c r="A276" s="95" t="s">
        <v>29</v>
      </c>
      <c r="B276" s="69">
        <f>SUM(B268:B275)</f>
        <v>28</v>
      </c>
      <c r="C276" s="95" t="str">
        <f xml:space="preserve"> setValueToTime(B276)</f>
        <v>2h20min</v>
      </c>
      <c r="D276" s="104"/>
      <c r="E276" s="210"/>
      <c r="F276" s="21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2" t="s">
        <v>14</v>
      </c>
      <c r="F279" s="213"/>
      <c r="G279" s="39"/>
    </row>
    <row r="280" spans="1:7" s="44" customFormat="1" x14ac:dyDescent="0.3">
      <c r="A280" s="41" t="s">
        <v>4</v>
      </c>
      <c r="B280" s="42">
        <v>12</v>
      </c>
      <c r="C280" s="135" t="str">
        <f xml:space="preserve"> IF(B280="","",setValueToTime(B280))</f>
        <v>1h</v>
      </c>
      <c r="D280" s="43" t="s">
        <v>48</v>
      </c>
      <c r="E280" s="214"/>
      <c r="F280" s="215"/>
      <c r="G280" s="3"/>
    </row>
    <row r="281" spans="1:7" s="44" customFormat="1" ht="27" x14ac:dyDescent="0.3">
      <c r="A281" s="45" t="s">
        <v>114</v>
      </c>
      <c r="B281" s="46">
        <v>15</v>
      </c>
      <c r="C281" s="136" t="str">
        <f t="shared" ref="C281:C287" si="23" xml:space="preserve"> IF(B281="","",setValueToTime(B281))</f>
        <v>1h15min</v>
      </c>
      <c r="D281" s="47" t="s">
        <v>113</v>
      </c>
      <c r="E281" s="206"/>
      <c r="F281" s="207"/>
      <c r="G281" s="3"/>
    </row>
    <row r="282" spans="1:7" s="44" customFormat="1" x14ac:dyDescent="0.3">
      <c r="A282" s="45" t="s">
        <v>17</v>
      </c>
      <c r="B282" s="46">
        <v>1</v>
      </c>
      <c r="C282" s="136" t="str">
        <f t="shared" si="23"/>
        <v>0h5min</v>
      </c>
      <c r="D282" s="47" t="s">
        <v>53</v>
      </c>
      <c r="E282" s="206"/>
      <c r="F282" s="207"/>
      <c r="G282" s="3"/>
    </row>
    <row r="283" spans="1:7" s="44" customFormat="1" x14ac:dyDescent="0.3">
      <c r="A283" s="45"/>
      <c r="B283" s="46"/>
      <c r="C283" s="136" t="str">
        <f t="shared" si="23"/>
        <v/>
      </c>
      <c r="D283" s="47"/>
      <c r="E283" s="206"/>
      <c r="F283" s="207"/>
      <c r="G283" s="3"/>
    </row>
    <row r="284" spans="1:7" s="44" customFormat="1" x14ac:dyDescent="0.3">
      <c r="A284" s="46"/>
      <c r="B284" s="46"/>
      <c r="C284" s="137" t="str">
        <f t="shared" si="23"/>
        <v/>
      </c>
      <c r="D284" s="47"/>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6"/>
      <c r="C287" s="138" t="str">
        <f t="shared" si="23"/>
        <v/>
      </c>
      <c r="D287" s="47"/>
      <c r="E287" s="208"/>
      <c r="F287" s="209"/>
      <c r="G287" s="3"/>
    </row>
    <row r="288" spans="1:7" s="44" customFormat="1" ht="15" thickBot="1" x14ac:dyDescent="0.35">
      <c r="A288" s="95" t="s">
        <v>29</v>
      </c>
      <c r="B288" s="69">
        <f>SUM(B280:B287)</f>
        <v>28</v>
      </c>
      <c r="C288" s="95" t="str">
        <f xml:space="preserve"> setValueToTime(B288)</f>
        <v>2h20min</v>
      </c>
      <c r="D288" s="104"/>
      <c r="E288" s="210"/>
      <c r="F288" s="21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2" t="s">
        <v>14</v>
      </c>
      <c r="F291" s="213"/>
      <c r="G291" s="39"/>
    </row>
    <row r="292" spans="1:7" s="44" customFormat="1" ht="27" x14ac:dyDescent="0.3">
      <c r="A292" s="41" t="s">
        <v>68</v>
      </c>
      <c r="B292" s="42">
        <v>24</v>
      </c>
      <c r="C292" s="135" t="str">
        <f xml:space="preserve"> IF(B292="","",setValueToTime(B292))</f>
        <v>2h</v>
      </c>
      <c r="D292" s="47" t="s">
        <v>120</v>
      </c>
      <c r="E292" s="214"/>
      <c r="F292" s="215"/>
      <c r="G292" s="3"/>
    </row>
    <row r="293" spans="1:7" s="44" customFormat="1" x14ac:dyDescent="0.3">
      <c r="A293" s="45" t="s">
        <v>16</v>
      </c>
      <c r="B293" s="46">
        <v>23</v>
      </c>
      <c r="C293" s="136" t="str">
        <f t="shared" ref="C293:C299" si="24" xml:space="preserve"> IF(B293="","",setValueToTime(B293))</f>
        <v>1h55min</v>
      </c>
      <c r="D293" s="47" t="s">
        <v>121</v>
      </c>
      <c r="E293" s="206"/>
      <c r="F293" s="207"/>
      <c r="G293" s="3"/>
    </row>
    <row r="294" spans="1:7" s="44" customFormat="1" x14ac:dyDescent="0.3">
      <c r="A294" s="45" t="s">
        <v>17</v>
      </c>
      <c r="B294" s="46">
        <v>1</v>
      </c>
      <c r="C294" s="136" t="str">
        <f t="shared" si="24"/>
        <v>0h5min</v>
      </c>
      <c r="D294" s="47" t="s">
        <v>53</v>
      </c>
      <c r="E294" s="206"/>
      <c r="F294" s="207"/>
      <c r="G294" s="3"/>
    </row>
    <row r="295" spans="1:7" s="44" customFormat="1" x14ac:dyDescent="0.3">
      <c r="A295" s="45"/>
      <c r="B295" s="46"/>
      <c r="C295" s="136" t="str">
        <f t="shared" si="24"/>
        <v/>
      </c>
      <c r="D295" s="47"/>
      <c r="E295" s="206"/>
      <c r="F295" s="207"/>
      <c r="G295" s="3"/>
    </row>
    <row r="296" spans="1:7" s="44" customFormat="1" x14ac:dyDescent="0.3">
      <c r="A296" s="46"/>
      <c r="B296" s="46"/>
      <c r="C296" s="137" t="str">
        <f t="shared" si="24"/>
        <v/>
      </c>
      <c r="D296" s="47"/>
      <c r="E296" s="206"/>
      <c r="F296" s="207"/>
      <c r="G296" s="3"/>
    </row>
    <row r="297" spans="1:7" s="44" customFormat="1" x14ac:dyDescent="0.3">
      <c r="A297" s="46"/>
      <c r="B297" s="46"/>
      <c r="C297" s="137" t="str">
        <f t="shared" si="24"/>
        <v/>
      </c>
      <c r="D297" s="47"/>
      <c r="E297" s="206"/>
      <c r="F297" s="207"/>
      <c r="G297" s="3"/>
    </row>
    <row r="298" spans="1:7" s="44" customFormat="1" x14ac:dyDescent="0.3">
      <c r="A298" s="46"/>
      <c r="B298" s="46"/>
      <c r="C298" s="137" t="str">
        <f t="shared" si="24"/>
        <v/>
      </c>
      <c r="D298" s="47"/>
      <c r="E298" s="206"/>
      <c r="F298" s="207"/>
      <c r="G298" s="3"/>
    </row>
    <row r="299" spans="1:7" s="44" customFormat="1" ht="15" thickBot="1" x14ac:dyDescent="0.35">
      <c r="A299" s="48"/>
      <c r="B299" s="46"/>
      <c r="C299" s="138" t="str">
        <f t="shared" si="24"/>
        <v/>
      </c>
      <c r="D299" s="47"/>
      <c r="E299" s="208"/>
      <c r="F299" s="209"/>
      <c r="G299" s="3"/>
    </row>
    <row r="300" spans="1:7" s="44" customFormat="1" ht="15" thickBot="1" x14ac:dyDescent="0.35">
      <c r="A300" s="95" t="s">
        <v>29</v>
      </c>
      <c r="B300" s="69">
        <f>SUM(B292:B299)</f>
        <v>48</v>
      </c>
      <c r="C300" s="95" t="str">
        <f xml:space="preserve"> setValueToTime(B300)</f>
        <v>4h</v>
      </c>
      <c r="D300" s="104"/>
      <c r="E300" s="210"/>
      <c r="F300" s="21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2" t="s">
        <v>14</v>
      </c>
      <c r="F303" s="213"/>
      <c r="G303" s="39"/>
    </row>
    <row r="304" spans="1:7" s="44" customFormat="1" x14ac:dyDescent="0.3">
      <c r="A304" s="41" t="s">
        <v>32</v>
      </c>
      <c r="B304" s="42">
        <v>27</v>
      </c>
      <c r="C304" s="135" t="str">
        <f xml:space="preserve"> IF(B304="","",setValueToTime(B304))</f>
        <v>2h15min</v>
      </c>
      <c r="D304" s="43" t="s">
        <v>52</v>
      </c>
      <c r="E304" s="214"/>
      <c r="F304" s="215"/>
      <c r="G304" s="3"/>
    </row>
    <row r="305" spans="1:7" s="44" customFormat="1" x14ac:dyDescent="0.3">
      <c r="A305" s="45" t="s">
        <v>17</v>
      </c>
      <c r="B305" s="46">
        <v>1</v>
      </c>
      <c r="C305" s="136" t="str">
        <f t="shared" ref="C305:C311" si="25" xml:space="preserve"> IF(B305="","",setValueToTime(B305))</f>
        <v>0h5min</v>
      </c>
      <c r="D305" s="47" t="s">
        <v>53</v>
      </c>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47"/>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95" t="s">
        <v>29</v>
      </c>
      <c r="B312" s="69">
        <f>SUM(B304:B311)</f>
        <v>28</v>
      </c>
      <c r="C312" s="95" t="str">
        <f xml:space="preserve"> setValueToTime(B312)</f>
        <v>2h20min</v>
      </c>
      <c r="D312" s="104"/>
      <c r="E312" s="210"/>
      <c r="F312" s="21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2" t="s">
        <v>14</v>
      </c>
      <c r="F315" s="213"/>
      <c r="G315" s="39"/>
    </row>
    <row r="316" spans="1:7" s="44" customFormat="1" x14ac:dyDescent="0.3">
      <c r="A316" s="41" t="s">
        <v>66</v>
      </c>
      <c r="B316" s="42">
        <v>3</v>
      </c>
      <c r="C316" s="135" t="str">
        <f xml:space="preserve"> IF(B316="","",setValueToTime(B316))</f>
        <v>0h15min</v>
      </c>
      <c r="D316" s="43" t="s">
        <v>50</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8</v>
      </c>
      <c r="C318" s="136" t="str">
        <f xml:space="preserve"> IF(B318="","",setValueToTime(B318))</f>
        <v>0h40min</v>
      </c>
      <c r="D318" s="47" t="s">
        <v>54</v>
      </c>
      <c r="E318" s="206"/>
      <c r="F318" s="207"/>
      <c r="G318" s="3"/>
    </row>
    <row r="319" spans="1:7" s="44" customFormat="1" x14ac:dyDescent="0.3">
      <c r="A319" s="45" t="s">
        <v>32</v>
      </c>
      <c r="B319" s="46">
        <v>30</v>
      </c>
      <c r="C319" s="136" t="str">
        <f t="shared" si="26"/>
        <v>2h30min</v>
      </c>
      <c r="D319" s="47" t="s">
        <v>52</v>
      </c>
      <c r="E319" s="206"/>
      <c r="F319" s="207"/>
      <c r="G319" s="3"/>
    </row>
    <row r="320" spans="1:7" s="44" customFormat="1" x14ac:dyDescent="0.3">
      <c r="A320" s="46" t="s">
        <v>17</v>
      </c>
      <c r="B320" s="46">
        <v>2</v>
      </c>
      <c r="C320" s="137" t="str">
        <f t="shared" si="26"/>
        <v>0h10min</v>
      </c>
      <c r="D320" s="47" t="s">
        <v>53</v>
      </c>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95" t="s">
        <v>29</v>
      </c>
      <c r="B324" s="69">
        <f>SUM(B316:B323)</f>
        <v>48</v>
      </c>
      <c r="C324" s="95" t="str">
        <f xml:space="preserve"> setValueToTime(B324)</f>
        <v>4h</v>
      </c>
      <c r="D324" s="104"/>
      <c r="E324" s="210"/>
      <c r="F324" s="211"/>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89" activePane="bottomLeft" state="frozen"/>
      <selection pane="bottomLeft" activeCell="E203" sqref="E203:F203"/>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70"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4"/>
      <c r="F4" s="215"/>
      <c r="G4" s="3"/>
    </row>
    <row r="5" spans="1:7" s="44" customFormat="1" x14ac:dyDescent="0.3">
      <c r="A5" s="45"/>
      <c r="B5" s="46"/>
      <c r="C5" s="136" t="str">
        <f t="shared" ref="C5:C11" si="0" xml:space="preserve"> IF(B5="","",setValueToTime(B5))</f>
        <v/>
      </c>
      <c r="D5" s="47"/>
      <c r="E5" s="206"/>
      <c r="F5" s="207"/>
      <c r="G5" s="3"/>
    </row>
    <row r="6" spans="1:7" s="44" customFormat="1" x14ac:dyDescent="0.3">
      <c r="A6" s="45"/>
      <c r="B6" s="46"/>
      <c r="C6" s="136" t="str">
        <f t="shared" si="0"/>
        <v/>
      </c>
      <c r="D6" s="47"/>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145" t="s">
        <v>29</v>
      </c>
      <c r="B12" s="68">
        <f>SUM(B4:B11)</f>
        <v>0</v>
      </c>
      <c r="C12" s="145" t="str">
        <f xml:space="preserve"> setValueToTime(B12)</f>
        <v>0h</v>
      </c>
      <c r="D12" s="105"/>
      <c r="E12" s="216"/>
      <c r="F12" s="217"/>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4"/>
      <c r="F16" s="215"/>
      <c r="G16" s="3"/>
    </row>
    <row r="17" spans="1:7" s="44" customFormat="1" x14ac:dyDescent="0.3">
      <c r="A17" s="45"/>
      <c r="B17" s="46"/>
      <c r="C17" s="136" t="str">
        <f t="shared" ref="C17:C23" si="1" xml:space="preserve"> IF(B17="","",setValueToTime(B17))</f>
        <v/>
      </c>
      <c r="D17" s="47"/>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145" t="s">
        <v>29</v>
      </c>
      <c r="B24" s="68">
        <f>SUM(B16:B23)</f>
        <v>0</v>
      </c>
      <c r="C24" s="145" t="str">
        <f xml:space="preserve"> setValueToTime(B24)</f>
        <v>0h</v>
      </c>
      <c r="D24" s="105"/>
      <c r="E24" s="216"/>
      <c r="F24" s="217"/>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43"/>
      <c r="E28" s="214"/>
      <c r="F28" s="215"/>
      <c r="G28" s="3"/>
    </row>
    <row r="29" spans="1:7" s="44" customFormat="1" x14ac:dyDescent="0.3">
      <c r="A29" s="45"/>
      <c r="B29" s="46"/>
      <c r="C29" s="136" t="str">
        <f t="shared" ref="C29:C35" si="2" xml:space="preserve"> IF(B29="","",setValueToTime(B29))</f>
        <v/>
      </c>
      <c r="D29" s="47"/>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145" t="s">
        <v>29</v>
      </c>
      <c r="B36" s="68">
        <f>SUM(B28:B35)</f>
        <v>0</v>
      </c>
      <c r="C36" s="145" t="str">
        <f xml:space="preserve"> setValueToTime(B36)</f>
        <v>0h</v>
      </c>
      <c r="D36" s="105"/>
      <c r="E36" s="216"/>
      <c r="F36" s="217"/>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c r="C40" s="135" t="str">
        <f xml:space="preserve"> IF(B40="","",setValueToTime(B40))</f>
        <v/>
      </c>
      <c r="D40" s="43"/>
      <c r="E40" s="214"/>
      <c r="F40" s="215"/>
      <c r="G40" s="3"/>
    </row>
    <row r="41" spans="1:7" s="44" customFormat="1" x14ac:dyDescent="0.3">
      <c r="A41" s="45"/>
      <c r="B41" s="46"/>
      <c r="C41" s="136" t="str">
        <f t="shared" ref="C41:C47" si="3" xml:space="preserve"> IF(B41="","",setValueToTime(B41))</f>
        <v/>
      </c>
      <c r="D41" s="47"/>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145" t="s">
        <v>29</v>
      </c>
      <c r="B48" s="68">
        <f>SUM(B40:B47)</f>
        <v>0</v>
      </c>
      <c r="C48" s="145" t="str">
        <f xml:space="preserve"> setValueToTime(B48)</f>
        <v>0h</v>
      </c>
      <c r="D48" s="105"/>
      <c r="E48" s="216"/>
      <c r="F48" s="217"/>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x14ac:dyDescent="0.3">
      <c r="A52" s="41"/>
      <c r="B52" s="42"/>
      <c r="C52" s="135" t="str">
        <f xml:space="preserve"> IF(B52="","",setValueToTime(B52))</f>
        <v/>
      </c>
      <c r="D52" s="43"/>
      <c r="E52" s="214"/>
      <c r="F52" s="215"/>
      <c r="G52" s="3"/>
    </row>
    <row r="53" spans="1:7" s="44" customFormat="1" x14ac:dyDescent="0.3">
      <c r="A53" s="45"/>
      <c r="B53" s="46"/>
      <c r="C53" s="136" t="str">
        <f t="shared" ref="C53:C59" si="4" xml:space="preserve"> IF(B53="","",setValueToTime(B53))</f>
        <v/>
      </c>
      <c r="D53" s="47"/>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145" t="s">
        <v>29</v>
      </c>
      <c r="B60" s="68">
        <f>SUM(B52:B59)</f>
        <v>0</v>
      </c>
      <c r="C60" s="145" t="str">
        <f xml:space="preserve"> setValueToTime(B60)</f>
        <v>0h</v>
      </c>
      <c r="D60" s="105"/>
      <c r="E60" s="216"/>
      <c r="F60" s="217"/>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c r="C64" s="135" t="str">
        <f xml:space="preserve"> IF(B64="","",setValueToTime(B64))</f>
        <v/>
      </c>
      <c r="D64" s="43"/>
      <c r="E64" s="214"/>
      <c r="F64" s="215"/>
      <c r="G64" s="3"/>
    </row>
    <row r="65" spans="1:7" s="44" customFormat="1" x14ac:dyDescent="0.3">
      <c r="A65" s="45"/>
      <c r="B65" s="46"/>
      <c r="C65" s="136" t="str">
        <f t="shared" ref="C65:C71" si="5" xml:space="preserve"> IF(B65="","",setValueToTime(B65))</f>
        <v/>
      </c>
      <c r="D65" s="47"/>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145" t="s">
        <v>29</v>
      </c>
      <c r="B72" s="68">
        <f>SUM(B64:B71)</f>
        <v>0</v>
      </c>
      <c r="C72" s="145" t="str">
        <f xml:space="preserve"> setValueToTime(B72)</f>
        <v>0h</v>
      </c>
      <c r="D72" s="105"/>
      <c r="E72" s="216"/>
      <c r="F72" s="217"/>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x14ac:dyDescent="0.3">
      <c r="A76" s="41"/>
      <c r="B76" s="42"/>
      <c r="C76" s="135" t="str">
        <f xml:space="preserve"> IF(B76="","",setValueToTime(B76))</f>
        <v/>
      </c>
      <c r="D76" s="43"/>
      <c r="E76" s="214"/>
      <c r="F76" s="215"/>
      <c r="G76" s="3"/>
    </row>
    <row r="77" spans="1:7" s="44" customFormat="1" x14ac:dyDescent="0.3">
      <c r="A77" s="45"/>
      <c r="B77" s="46"/>
      <c r="C77" s="136" t="str">
        <f t="shared" ref="C77:C83" si="6" xml:space="preserve"> IF(B77="","",setValueToTime(B77))</f>
        <v/>
      </c>
      <c r="D77" s="47"/>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145" t="s">
        <v>29</v>
      </c>
      <c r="B84" s="68">
        <f>SUM(B76:B83)</f>
        <v>0</v>
      </c>
      <c r="C84" s="145" t="str">
        <f xml:space="preserve"> setValueToTime(B84)</f>
        <v>0h</v>
      </c>
      <c r="D84" s="105"/>
      <c r="E84" s="216"/>
      <c r="F84" s="217"/>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x14ac:dyDescent="0.3">
      <c r="A88" s="41"/>
      <c r="B88" s="42"/>
      <c r="C88" s="135" t="str">
        <f xml:space="preserve"> IF(B88="","",setValueToTime(B88))</f>
        <v/>
      </c>
      <c r="D88" s="43"/>
      <c r="E88" s="214"/>
      <c r="F88" s="215"/>
      <c r="G88" s="3"/>
    </row>
    <row r="89" spans="1:7" s="44" customFormat="1" x14ac:dyDescent="0.3">
      <c r="A89" s="45"/>
      <c r="B89" s="46"/>
      <c r="C89" s="136" t="str">
        <f t="shared" ref="C89:C95" si="7" xml:space="preserve"> IF(B89="","",setValueToTime(B89))</f>
        <v/>
      </c>
      <c r="D89" s="47"/>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145" t="s">
        <v>29</v>
      </c>
      <c r="B96" s="68">
        <f>SUM(B88:B95)</f>
        <v>0</v>
      </c>
      <c r="C96" s="145" t="str">
        <f xml:space="preserve"> setValueToTime(B96)</f>
        <v>0h</v>
      </c>
      <c r="D96" s="105"/>
      <c r="E96" s="216"/>
      <c r="F96" s="217"/>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x14ac:dyDescent="0.3">
      <c r="A100" s="41"/>
      <c r="B100" s="42"/>
      <c r="C100" s="135" t="str">
        <f xml:space="preserve"> IF(B100="","",setValueToTime(B100))</f>
        <v/>
      </c>
      <c r="D100" s="43"/>
      <c r="E100" s="214"/>
      <c r="F100" s="215"/>
      <c r="G100" s="3"/>
    </row>
    <row r="101" spans="1:7" s="44" customFormat="1" x14ac:dyDescent="0.3">
      <c r="A101" s="45"/>
      <c r="B101" s="46"/>
      <c r="C101" s="136" t="str">
        <f t="shared" ref="C101:C107" si="8" xml:space="preserve"> IF(B101="","",setValueToTime(B101))</f>
        <v/>
      </c>
      <c r="D101" s="47"/>
      <c r="E101" s="206"/>
      <c r="F101" s="207"/>
      <c r="G101" s="3"/>
    </row>
    <row r="102" spans="1:7" s="44" customFormat="1" x14ac:dyDescent="0.3">
      <c r="A102" s="45"/>
      <c r="B102" s="46"/>
      <c r="C102" s="136" t="str">
        <f t="shared" si="8"/>
        <v/>
      </c>
      <c r="D102" s="47"/>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145" t="s">
        <v>29</v>
      </c>
      <c r="B108" s="68">
        <f>SUM(B100:B107)</f>
        <v>0</v>
      </c>
      <c r="C108" s="145" t="str">
        <f xml:space="preserve"> setValueToTime(B108)</f>
        <v>0h</v>
      </c>
      <c r="D108" s="105"/>
      <c r="E108" s="216"/>
      <c r="F108" s="217"/>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c r="C112" s="135" t="str">
        <f xml:space="preserve"> IF(B112="","",setValueToTime(B112))</f>
        <v/>
      </c>
      <c r="D112" s="43"/>
      <c r="E112" s="214"/>
      <c r="F112" s="215"/>
      <c r="G112" s="3"/>
    </row>
    <row r="113" spans="1:7" s="44" customFormat="1" x14ac:dyDescent="0.3">
      <c r="A113" s="45"/>
      <c r="B113" s="46"/>
      <c r="C113" s="136" t="str">
        <f t="shared" ref="C113:C119" si="9" xml:space="preserve"> IF(B113="","",setValueToTime(B113))</f>
        <v/>
      </c>
      <c r="D113" s="47"/>
      <c r="E113" s="206"/>
      <c r="F113" s="207"/>
      <c r="G113" s="3"/>
    </row>
    <row r="114" spans="1:7" s="44" customFormat="1" x14ac:dyDescent="0.3">
      <c r="A114" s="45"/>
      <c r="B114" s="46"/>
      <c r="C114" s="136" t="str">
        <f t="shared" si="9"/>
        <v/>
      </c>
      <c r="D114" s="47"/>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145" t="s">
        <v>29</v>
      </c>
      <c r="B120" s="68">
        <f>SUM(B112:B119)</f>
        <v>0</v>
      </c>
      <c r="C120" s="145" t="str">
        <f xml:space="preserve"> setValueToTime(B120)</f>
        <v>0h</v>
      </c>
      <c r="D120" s="105"/>
      <c r="E120" s="216"/>
      <c r="F120" s="217"/>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c r="B124" s="42"/>
      <c r="C124" s="135" t="str">
        <f xml:space="preserve"> IF(B124="","",setValueToTime(B124))</f>
        <v/>
      </c>
      <c r="D124" s="43"/>
      <c r="E124" s="214"/>
      <c r="F124" s="215"/>
      <c r="G124" s="3"/>
    </row>
    <row r="125" spans="1:7" s="44" customFormat="1" x14ac:dyDescent="0.3">
      <c r="A125" s="45"/>
      <c r="B125" s="46"/>
      <c r="C125" s="136" t="str">
        <f t="shared" ref="C125:C131" si="10" xml:space="preserve"> IF(B125="","",setValueToTime(B125))</f>
        <v/>
      </c>
      <c r="D125" s="47"/>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145" t="s">
        <v>29</v>
      </c>
      <c r="B132" s="68">
        <f>SUM(B124:B131)</f>
        <v>0</v>
      </c>
      <c r="C132" s="145" t="str">
        <f xml:space="preserve"> setValueToTime(B132)</f>
        <v>0h</v>
      </c>
      <c r="D132" s="105"/>
      <c r="E132" s="216"/>
      <c r="F132" s="217"/>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x14ac:dyDescent="0.3">
      <c r="A136" s="41"/>
      <c r="B136" s="42"/>
      <c r="C136" s="135" t="str">
        <f xml:space="preserve"> IF(B136="","",setValueToTime(B136))</f>
        <v/>
      </c>
      <c r="D136" s="43"/>
      <c r="E136" s="214"/>
      <c r="F136" s="215"/>
      <c r="G136" s="3"/>
    </row>
    <row r="137" spans="1:7" s="44" customFormat="1" x14ac:dyDescent="0.3">
      <c r="A137" s="45"/>
      <c r="B137" s="46"/>
      <c r="C137" s="136" t="str">
        <f t="shared" ref="C137:C143" si="11" xml:space="preserve"> IF(B137="","",setValueToTime(B137))</f>
        <v/>
      </c>
      <c r="D137" s="47"/>
      <c r="E137" s="206"/>
      <c r="F137" s="207"/>
      <c r="G137" s="3"/>
    </row>
    <row r="138" spans="1:7" s="44" customFormat="1" x14ac:dyDescent="0.3">
      <c r="A138" s="45"/>
      <c r="B138" s="46"/>
      <c r="C138" s="136" t="str">
        <f t="shared" si="11"/>
        <v/>
      </c>
      <c r="D138" s="47"/>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145" t="s">
        <v>29</v>
      </c>
      <c r="B144" s="68">
        <f>SUM(B136:B143)</f>
        <v>0</v>
      </c>
      <c r="C144" s="145" t="str">
        <f xml:space="preserve"> setValueToTime(B144)</f>
        <v>0h</v>
      </c>
      <c r="D144" s="105"/>
      <c r="E144" s="216"/>
      <c r="F144" s="217"/>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x14ac:dyDescent="0.3">
      <c r="A148" s="41"/>
      <c r="B148" s="42"/>
      <c r="C148" s="135" t="str">
        <f xml:space="preserve"> IF(B148="","",setValueToTime(B148))</f>
        <v/>
      </c>
      <c r="D148" s="43"/>
      <c r="E148" s="214"/>
      <c r="F148" s="215"/>
      <c r="G148" s="3"/>
    </row>
    <row r="149" spans="1:7" s="44" customFormat="1" x14ac:dyDescent="0.3">
      <c r="A149" s="45"/>
      <c r="B149" s="46"/>
      <c r="C149" s="136" t="str">
        <f t="shared" ref="C149:C155" si="12" xml:space="preserve"> IF(B149="","",setValueToTime(B149))</f>
        <v/>
      </c>
      <c r="D149" s="47"/>
      <c r="E149" s="206"/>
      <c r="F149" s="207"/>
      <c r="G149" s="3"/>
    </row>
    <row r="150" spans="1:7" s="44" customFormat="1" x14ac:dyDescent="0.3">
      <c r="A150" s="45"/>
      <c r="B150" s="46"/>
      <c r="C150" s="136" t="str">
        <f t="shared" si="12"/>
        <v/>
      </c>
      <c r="D150" s="47"/>
      <c r="E150" s="206"/>
      <c r="F150" s="207"/>
      <c r="G150" s="3"/>
    </row>
    <row r="151" spans="1:7" s="44" customFormat="1" x14ac:dyDescent="0.3">
      <c r="A151" s="45"/>
      <c r="B151" s="46"/>
      <c r="C151" s="136" t="str">
        <f t="shared" si="12"/>
        <v/>
      </c>
      <c r="D151" s="47"/>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145" t="s">
        <v>29</v>
      </c>
      <c r="B156" s="68">
        <f>SUM(B148:B155)</f>
        <v>0</v>
      </c>
      <c r="C156" s="145" t="str">
        <f xml:space="preserve"> setValueToTime(B156)</f>
        <v>0h</v>
      </c>
      <c r="D156" s="105"/>
      <c r="E156" s="216"/>
      <c r="F156" s="217"/>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x14ac:dyDescent="0.3">
      <c r="A160" s="41"/>
      <c r="B160" s="42"/>
      <c r="C160" s="135" t="str">
        <f xml:space="preserve"> IF(B160="","",setValueToTime(B160))</f>
        <v/>
      </c>
      <c r="D160" s="43"/>
      <c r="E160" s="214"/>
      <c r="F160" s="215"/>
      <c r="G160" s="3"/>
    </row>
    <row r="161" spans="1:7" s="44" customFormat="1" x14ac:dyDescent="0.3">
      <c r="A161" s="45"/>
      <c r="B161" s="46"/>
      <c r="C161" s="136" t="str">
        <f t="shared" ref="C161:C167" si="13" xml:space="preserve"> IF(B161="","",setValueToTime(B161))</f>
        <v/>
      </c>
      <c r="D161" s="47"/>
      <c r="E161" s="206"/>
      <c r="F161" s="207"/>
      <c r="G161" s="3"/>
    </row>
    <row r="162" spans="1:7" s="44" customFormat="1" x14ac:dyDescent="0.3">
      <c r="A162" s="45"/>
      <c r="B162" s="46"/>
      <c r="C162" s="136" t="str">
        <f t="shared" si="13"/>
        <v/>
      </c>
      <c r="D162" s="47"/>
      <c r="E162" s="206"/>
      <c r="F162" s="207"/>
      <c r="G162" s="3"/>
    </row>
    <row r="163" spans="1:7" s="44" customFormat="1" x14ac:dyDescent="0.3">
      <c r="A163" s="45"/>
      <c r="B163" s="46"/>
      <c r="C163" s="136" t="str">
        <f t="shared" si="13"/>
        <v/>
      </c>
      <c r="D163" s="47"/>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145" t="s">
        <v>29</v>
      </c>
      <c r="B168" s="68">
        <f>SUM(B160:B167)</f>
        <v>0</v>
      </c>
      <c r="C168" s="145" t="str">
        <f xml:space="preserve"> setValueToTime(B168)</f>
        <v>0h</v>
      </c>
      <c r="D168" s="105"/>
      <c r="E168" s="216"/>
      <c r="F168" s="217"/>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x14ac:dyDescent="0.3">
      <c r="A172" s="41"/>
      <c r="B172" s="42"/>
      <c r="C172" s="135" t="str">
        <f xml:space="preserve"> IF(B172="","",setValueToTime(B172))</f>
        <v/>
      </c>
      <c r="D172" s="43"/>
      <c r="E172" s="214"/>
      <c r="F172" s="215"/>
      <c r="G172" s="3"/>
    </row>
    <row r="173" spans="1:7" s="44" customFormat="1" x14ac:dyDescent="0.3">
      <c r="A173" s="45"/>
      <c r="B173" s="46"/>
      <c r="C173" s="136" t="str">
        <f t="shared" ref="C173:C179" si="14" xml:space="preserve"> IF(B173="","",setValueToTime(B173))</f>
        <v/>
      </c>
      <c r="D173" s="47"/>
      <c r="E173" s="206"/>
      <c r="F173" s="207"/>
      <c r="G173" s="3"/>
    </row>
    <row r="174" spans="1:7" s="44" customFormat="1" x14ac:dyDescent="0.3">
      <c r="A174" s="45"/>
      <c r="B174" s="46"/>
      <c r="C174" s="136" t="str">
        <f t="shared" si="14"/>
        <v/>
      </c>
      <c r="D174" s="47"/>
      <c r="E174" s="206"/>
      <c r="F174" s="207"/>
      <c r="G174" s="3"/>
    </row>
    <row r="175" spans="1:7" s="44" customFormat="1" x14ac:dyDescent="0.3">
      <c r="A175" s="45"/>
      <c r="B175" s="46"/>
      <c r="C175" s="136" t="str">
        <f t="shared" si="14"/>
        <v/>
      </c>
      <c r="D175" s="47"/>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145" t="s">
        <v>29</v>
      </c>
      <c r="B180" s="68">
        <f>SUM(B172:B179)</f>
        <v>0</v>
      </c>
      <c r="C180" s="145" t="str">
        <f xml:space="preserve"> setValueToTime(B180)</f>
        <v>0h</v>
      </c>
      <c r="D180" s="105"/>
      <c r="E180" s="216"/>
      <c r="F180" s="217"/>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x14ac:dyDescent="0.3">
      <c r="A184" s="41"/>
      <c r="B184" s="42"/>
      <c r="C184" s="135" t="str">
        <f xml:space="preserve"> IF(B184="","",setValueToTime(B184))</f>
        <v/>
      </c>
      <c r="D184" s="43"/>
      <c r="E184" s="214"/>
      <c r="F184" s="215"/>
      <c r="G184" s="3"/>
    </row>
    <row r="185" spans="1:7" s="44" customFormat="1" x14ac:dyDescent="0.3">
      <c r="A185" s="45"/>
      <c r="B185" s="46"/>
      <c r="C185" s="136" t="str">
        <f t="shared" ref="C185:C191" si="15" xml:space="preserve"> IF(B185="","",setValueToTime(B185))</f>
        <v/>
      </c>
      <c r="D185" s="47"/>
      <c r="E185" s="206"/>
      <c r="F185" s="207"/>
      <c r="G185" s="3"/>
    </row>
    <row r="186" spans="1:7" s="44" customFormat="1" x14ac:dyDescent="0.3">
      <c r="A186" s="45"/>
      <c r="B186" s="46"/>
      <c r="C186" s="136" t="str">
        <f t="shared" si="15"/>
        <v/>
      </c>
      <c r="D186" s="47"/>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145" t="s">
        <v>29</v>
      </c>
      <c r="B192" s="68">
        <f>SUM(B184:B191)</f>
        <v>0</v>
      </c>
      <c r="C192" s="145" t="str">
        <f xml:space="preserve"> setValueToTime(B192)</f>
        <v>0h</v>
      </c>
      <c r="D192" s="105"/>
      <c r="E192" s="216"/>
      <c r="F192" s="217"/>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t="s">
        <v>66</v>
      </c>
      <c r="B196" s="42">
        <v>5</v>
      </c>
      <c r="C196" s="135" t="str">
        <f xml:space="preserve"> IF(B196="","",setValueToTime(B196))</f>
        <v>0h25min</v>
      </c>
      <c r="D196" s="170" t="s">
        <v>180</v>
      </c>
      <c r="E196" s="214"/>
      <c r="F196" s="215"/>
      <c r="G196" s="3"/>
    </row>
    <row r="197" spans="1:7" s="44" customFormat="1" x14ac:dyDescent="0.3">
      <c r="A197" s="45"/>
      <c r="B197" s="46"/>
      <c r="C197" s="136" t="str">
        <f t="shared" ref="C197:C203" si="16" xml:space="preserve"> IF(B197="","",setValueToTime(B197))</f>
        <v/>
      </c>
      <c r="D197" s="47"/>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145" t="s">
        <v>29</v>
      </c>
      <c r="B204" s="68">
        <f>SUM(B196:B203)</f>
        <v>5</v>
      </c>
      <c r="C204" s="145" t="str">
        <f xml:space="preserve"> setValueToTime(B204)</f>
        <v>0h25min</v>
      </c>
      <c r="D204" s="105"/>
      <c r="E204" s="216"/>
      <c r="F204" s="217"/>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v>9</v>
      </c>
      <c r="C208" s="135" t="str">
        <f xml:space="preserve"> IF(B208="","",setValueToTime(B208))</f>
        <v>0h45min</v>
      </c>
      <c r="D208" s="170" t="s">
        <v>176</v>
      </c>
      <c r="E208" s="214"/>
      <c r="F208" s="215"/>
      <c r="G208" s="3"/>
    </row>
    <row r="209" spans="1:7" s="44" customFormat="1" x14ac:dyDescent="0.3">
      <c r="A209" s="45"/>
      <c r="B209" s="46">
        <v>5</v>
      </c>
      <c r="C209" s="136" t="str">
        <f t="shared" ref="C209:C215" si="17" xml:space="preserve"> IF(B209="","",setValueToTime(B209))</f>
        <v>0h25min</v>
      </c>
      <c r="D209" s="171" t="s">
        <v>177</v>
      </c>
      <c r="E209" s="206"/>
      <c r="F209" s="207"/>
      <c r="G209" s="3"/>
    </row>
    <row r="210" spans="1:7" s="44" customFormat="1" ht="81" x14ac:dyDescent="0.3">
      <c r="A210" s="45" t="s">
        <v>64</v>
      </c>
      <c r="B210" s="46">
        <v>18</v>
      </c>
      <c r="C210" s="136" t="str">
        <f t="shared" si="17"/>
        <v>1h30min</v>
      </c>
      <c r="D210" s="171" t="s">
        <v>178</v>
      </c>
      <c r="E210" s="206"/>
      <c r="F210" s="207"/>
      <c r="G210" s="3"/>
    </row>
    <row r="211" spans="1:7" s="44" customFormat="1" ht="27" x14ac:dyDescent="0.3">
      <c r="A211" s="45" t="s">
        <v>63</v>
      </c>
      <c r="B211" s="46">
        <v>14</v>
      </c>
      <c r="C211" s="136" t="str">
        <f t="shared" si="17"/>
        <v>1h10min</v>
      </c>
      <c r="D211" s="171" t="s">
        <v>179</v>
      </c>
      <c r="E211" s="206"/>
      <c r="F211" s="207"/>
      <c r="G211" s="3"/>
    </row>
    <row r="212" spans="1:7" s="44" customFormat="1" ht="27" x14ac:dyDescent="0.3">
      <c r="A212" s="46" t="s">
        <v>17</v>
      </c>
      <c r="B212" s="46">
        <v>2</v>
      </c>
      <c r="C212" s="137" t="str">
        <f t="shared" si="17"/>
        <v>0h10min</v>
      </c>
      <c r="D212" s="171" t="s">
        <v>53</v>
      </c>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145" t="s">
        <v>29</v>
      </c>
      <c r="B216" s="68">
        <f>SUM(B208:B215)</f>
        <v>48</v>
      </c>
      <c r="C216" s="145" t="str">
        <f xml:space="preserve"> setValueToTime(B216)</f>
        <v>4h</v>
      </c>
      <c r="D216" s="105"/>
      <c r="E216" s="216"/>
      <c r="F216" s="217"/>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t="s">
        <v>16</v>
      </c>
      <c r="B220" s="42">
        <v>32</v>
      </c>
      <c r="C220" s="135" t="str">
        <f xml:space="preserve"> IF(B220="","",setValueToTime(B220))</f>
        <v>2h40min</v>
      </c>
      <c r="D220" s="170" t="s">
        <v>56</v>
      </c>
      <c r="E220" s="214"/>
      <c r="F220" s="215"/>
      <c r="G220" s="3"/>
    </row>
    <row r="221" spans="1:7" s="44" customFormat="1" ht="27" x14ac:dyDescent="0.3">
      <c r="A221" s="45" t="s">
        <v>68</v>
      </c>
      <c r="B221" s="46">
        <v>4</v>
      </c>
      <c r="C221" s="136" t="str">
        <f t="shared" ref="C221:C227" si="18" xml:space="preserve"> IF(B221="","",setValueToTime(B221))</f>
        <v>0h20min</v>
      </c>
      <c r="D221" s="171" t="s">
        <v>174</v>
      </c>
      <c r="E221" s="206"/>
      <c r="F221" s="207"/>
      <c r="G221" s="3"/>
    </row>
    <row r="222" spans="1:7" s="44" customFormat="1" x14ac:dyDescent="0.3">
      <c r="A222" s="45" t="s">
        <v>111</v>
      </c>
      <c r="B222" s="46">
        <v>2</v>
      </c>
      <c r="C222" s="136" t="str">
        <f t="shared" si="18"/>
        <v>0h10min</v>
      </c>
      <c r="D222" s="171" t="s">
        <v>175</v>
      </c>
      <c r="E222" s="206"/>
      <c r="F222" s="207"/>
      <c r="G222" s="3"/>
    </row>
    <row r="223" spans="1:7" s="44" customFormat="1" x14ac:dyDescent="0.3">
      <c r="A223" s="45"/>
      <c r="B223" s="46"/>
      <c r="C223" s="136" t="str">
        <f t="shared" si="18"/>
        <v/>
      </c>
      <c r="D223" s="171"/>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145" t="s">
        <v>29</v>
      </c>
      <c r="B228" s="68">
        <f>SUM(B220:B227)</f>
        <v>38</v>
      </c>
      <c r="C228" s="145" t="str">
        <f xml:space="preserve"> setValueToTime(B228)</f>
        <v>3h10min</v>
      </c>
      <c r="D228" s="105"/>
      <c r="E228" s="216"/>
      <c r="F228" s="217"/>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ht="27" x14ac:dyDescent="0.3">
      <c r="A232" s="41" t="s">
        <v>63</v>
      </c>
      <c r="B232" s="42">
        <v>3</v>
      </c>
      <c r="C232" s="135" t="str">
        <f xml:space="preserve"> IF(B232="","",setValueToTime(B232))</f>
        <v>0h15min</v>
      </c>
      <c r="D232" s="170" t="s">
        <v>172</v>
      </c>
      <c r="E232" s="214"/>
      <c r="F232" s="215"/>
      <c r="G232" s="3"/>
    </row>
    <row r="233" spans="1:7" s="44" customFormat="1" ht="27" x14ac:dyDescent="0.3">
      <c r="A233" s="45" t="s">
        <v>64</v>
      </c>
      <c r="B233" s="46">
        <v>18</v>
      </c>
      <c r="C233" s="136" t="str">
        <f t="shared" ref="C233:C239" si="19" xml:space="preserve"> IF(B233="","",setValueToTime(B233))</f>
        <v>1h30min</v>
      </c>
      <c r="D233" s="171" t="s">
        <v>173</v>
      </c>
      <c r="E233" s="206"/>
      <c r="F233" s="207"/>
      <c r="G233" s="3"/>
    </row>
    <row r="234" spans="1:7" s="44" customFormat="1" ht="27" x14ac:dyDescent="0.3">
      <c r="A234" s="45" t="s">
        <v>68</v>
      </c>
      <c r="B234" s="46">
        <v>8</v>
      </c>
      <c r="C234" s="136" t="str">
        <f t="shared" si="19"/>
        <v>0h40min</v>
      </c>
      <c r="D234" s="171" t="s">
        <v>171</v>
      </c>
      <c r="E234" s="206"/>
      <c r="F234" s="207"/>
      <c r="G234" s="3"/>
    </row>
    <row r="235" spans="1:7" s="44" customFormat="1" x14ac:dyDescent="0.3">
      <c r="A235" s="45" t="s">
        <v>16</v>
      </c>
      <c r="B235" s="46">
        <v>15</v>
      </c>
      <c r="C235" s="136" t="str">
        <f t="shared" si="19"/>
        <v>1h15min</v>
      </c>
      <c r="D235" s="171" t="s">
        <v>55</v>
      </c>
      <c r="E235" s="206"/>
      <c r="F235" s="207"/>
      <c r="G235" s="3"/>
    </row>
    <row r="236" spans="1:7" s="44" customFormat="1" x14ac:dyDescent="0.3">
      <c r="A236" s="46" t="s">
        <v>111</v>
      </c>
      <c r="B236" s="46">
        <v>2</v>
      </c>
      <c r="C236" s="137" t="str">
        <f t="shared" si="19"/>
        <v>0h10min</v>
      </c>
      <c r="D236" s="171" t="s">
        <v>170</v>
      </c>
      <c r="E236" s="206"/>
      <c r="F236" s="207"/>
      <c r="G236" s="3"/>
    </row>
    <row r="237" spans="1:7" s="44" customFormat="1" ht="27" x14ac:dyDescent="0.3">
      <c r="A237" s="46" t="s">
        <v>17</v>
      </c>
      <c r="B237" s="46">
        <v>2</v>
      </c>
      <c r="C237" s="137" t="str">
        <f t="shared" si="19"/>
        <v>0h10min</v>
      </c>
      <c r="D237" s="171" t="s">
        <v>53</v>
      </c>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8"/>
      <c r="C239" s="138" t="str">
        <f t="shared" si="19"/>
        <v/>
      </c>
      <c r="D239" s="49"/>
      <c r="E239" s="208"/>
      <c r="F239" s="209"/>
      <c r="G239" s="3"/>
    </row>
    <row r="240" spans="1:7" s="44" customFormat="1" ht="15" thickBot="1" x14ac:dyDescent="0.35">
      <c r="A240" s="145" t="s">
        <v>29</v>
      </c>
      <c r="B240" s="68">
        <f>SUM(B232:B239)</f>
        <v>48</v>
      </c>
      <c r="C240" s="145" t="str">
        <f xml:space="preserve"> setValueToTime(B240)</f>
        <v>4h</v>
      </c>
      <c r="D240" s="105"/>
      <c r="E240" s="216"/>
      <c r="F240" s="217"/>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v>13</v>
      </c>
      <c r="C244" s="135" t="str">
        <f xml:space="preserve"> IF(B244="","",setValueToTime(B244))</f>
        <v>1h5min</v>
      </c>
      <c r="D244" s="170" t="s">
        <v>49</v>
      </c>
      <c r="E244" s="214"/>
      <c r="F244" s="215"/>
      <c r="G244" s="3"/>
    </row>
    <row r="245" spans="1:7" s="44" customFormat="1" ht="67.5" x14ac:dyDescent="0.3">
      <c r="A245" s="45"/>
      <c r="B245" s="46">
        <v>22</v>
      </c>
      <c r="C245" s="136" t="str">
        <f t="shared" ref="C245:C251" si="20" xml:space="preserve"> IF(B245="","",setValueToTime(B245))</f>
        <v>1h50min</v>
      </c>
      <c r="D245" s="171" t="s">
        <v>167</v>
      </c>
      <c r="E245" s="222" t="s">
        <v>168</v>
      </c>
      <c r="F245" s="207"/>
      <c r="G245" s="3"/>
    </row>
    <row r="246" spans="1:7" s="44" customFormat="1" x14ac:dyDescent="0.3">
      <c r="A246" s="45"/>
      <c r="B246" s="46"/>
      <c r="C246" s="136" t="str">
        <f t="shared" si="20"/>
        <v/>
      </c>
      <c r="D246" s="171"/>
      <c r="E246" s="206"/>
      <c r="F246" s="207"/>
      <c r="G246" s="3"/>
    </row>
    <row r="247" spans="1:7" s="44" customFormat="1" x14ac:dyDescent="0.3">
      <c r="A247" s="45"/>
      <c r="B247" s="46">
        <v>3</v>
      </c>
      <c r="C247" s="136" t="str">
        <f t="shared" si="20"/>
        <v>0h15min</v>
      </c>
      <c r="D247" s="171" t="s">
        <v>53</v>
      </c>
      <c r="E247" s="206"/>
      <c r="F247" s="207"/>
      <c r="G247" s="3"/>
    </row>
    <row r="248" spans="1:7" s="44" customFormat="1" x14ac:dyDescent="0.3">
      <c r="A248" s="46"/>
      <c r="B248" s="46"/>
      <c r="C248" s="137" t="str">
        <f t="shared" si="20"/>
        <v/>
      </c>
      <c r="D248" s="47"/>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145" t="s">
        <v>29</v>
      </c>
      <c r="B252" s="68">
        <f>SUM(B244:B251)</f>
        <v>38</v>
      </c>
      <c r="C252" s="145" t="str">
        <f xml:space="preserve"> setValueToTime(B252)</f>
        <v>3h10min</v>
      </c>
      <c r="D252" s="105"/>
      <c r="E252" s="216"/>
      <c r="F252" s="217"/>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v>2</v>
      </c>
      <c r="C256" s="135" t="str">
        <f xml:space="preserve"> IF(B256="","",setValueToTime(B256))</f>
        <v>0h10min</v>
      </c>
      <c r="D256" s="170" t="s">
        <v>162</v>
      </c>
      <c r="E256" s="214"/>
      <c r="F256" s="215"/>
      <c r="G256" s="3"/>
    </row>
    <row r="257" spans="1:7" s="44" customFormat="1" ht="27" x14ac:dyDescent="0.3">
      <c r="A257" s="45"/>
      <c r="B257" s="46">
        <v>8</v>
      </c>
      <c r="C257" s="136" t="str">
        <f t="shared" ref="C257:C263" si="21" xml:space="preserve"> IF(B257="","",setValueToTime(B257))</f>
        <v>0h40min</v>
      </c>
      <c r="D257" s="171" t="s">
        <v>169</v>
      </c>
      <c r="E257" s="206"/>
      <c r="F257" s="207"/>
      <c r="G257" s="3"/>
    </row>
    <row r="258" spans="1:7" s="44" customFormat="1" x14ac:dyDescent="0.3">
      <c r="A258" s="45"/>
      <c r="B258" s="46">
        <v>15</v>
      </c>
      <c r="C258" s="136" t="str">
        <f t="shared" si="21"/>
        <v>1h15min</v>
      </c>
      <c r="D258" s="171" t="s">
        <v>163</v>
      </c>
      <c r="E258" s="206"/>
      <c r="F258" s="207"/>
      <c r="G258" s="3"/>
    </row>
    <row r="259" spans="1:7" s="44" customFormat="1" x14ac:dyDescent="0.3">
      <c r="A259" s="45"/>
      <c r="B259" s="46">
        <v>9</v>
      </c>
      <c r="C259" s="136" t="str">
        <f t="shared" si="21"/>
        <v>0h45min</v>
      </c>
      <c r="D259" s="47" t="s">
        <v>115</v>
      </c>
      <c r="E259" s="206"/>
      <c r="F259" s="207"/>
      <c r="G259" s="3"/>
    </row>
    <row r="260" spans="1:7" s="44" customFormat="1" x14ac:dyDescent="0.3">
      <c r="A260" s="46"/>
      <c r="B260" s="46">
        <v>5</v>
      </c>
      <c r="C260" s="137" t="str">
        <f t="shared" si="21"/>
        <v>0h25min</v>
      </c>
      <c r="D260" s="171" t="s">
        <v>164</v>
      </c>
      <c r="E260" s="206"/>
      <c r="F260" s="207"/>
      <c r="G260" s="3"/>
    </row>
    <row r="261" spans="1:7" s="44" customFormat="1" ht="27" x14ac:dyDescent="0.3">
      <c r="A261" s="46"/>
      <c r="B261" s="46">
        <v>5</v>
      </c>
      <c r="C261" s="137" t="str">
        <f t="shared" si="21"/>
        <v>0h25min</v>
      </c>
      <c r="D261" s="171" t="s">
        <v>165</v>
      </c>
      <c r="E261" s="206"/>
      <c r="F261" s="207"/>
      <c r="G261" s="3"/>
    </row>
    <row r="262" spans="1:7" s="44" customFormat="1" x14ac:dyDescent="0.3">
      <c r="A262" s="46"/>
      <c r="B262" s="46">
        <v>4</v>
      </c>
      <c r="C262" s="137" t="str">
        <f t="shared" si="21"/>
        <v>0h20min</v>
      </c>
      <c r="D262" s="171" t="s">
        <v>166</v>
      </c>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145" t="s">
        <v>29</v>
      </c>
      <c r="B264" s="68">
        <f>SUM(B256:B263)</f>
        <v>48</v>
      </c>
      <c r="C264" s="145" t="str">
        <f xml:space="preserve"> setValueToTime(B264)</f>
        <v>4h</v>
      </c>
      <c r="D264" s="105"/>
      <c r="E264" s="216"/>
      <c r="F264" s="217"/>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t="s">
        <v>16</v>
      </c>
      <c r="B268" s="42">
        <v>10</v>
      </c>
      <c r="C268" s="135" t="str">
        <f xml:space="preserve"> IF(B268="","",setValueToTime(B268))</f>
        <v>0h50min</v>
      </c>
      <c r="D268" s="170" t="s">
        <v>158</v>
      </c>
      <c r="E268" s="214"/>
      <c r="F268" s="215"/>
      <c r="G268" s="3"/>
    </row>
    <row r="269" spans="1:7" s="44" customFormat="1" ht="27" x14ac:dyDescent="0.3">
      <c r="A269" s="45" t="s">
        <v>114</v>
      </c>
      <c r="B269" s="46">
        <v>11</v>
      </c>
      <c r="C269" s="136" t="str">
        <f t="shared" ref="C269:C275" si="22" xml:space="preserve"> IF(B269="","",setValueToTime(B269))</f>
        <v>0h55min</v>
      </c>
      <c r="D269" s="171" t="s">
        <v>159</v>
      </c>
      <c r="E269" s="206"/>
      <c r="F269" s="207"/>
      <c r="G269" s="3"/>
    </row>
    <row r="270" spans="1:7" s="44" customFormat="1" x14ac:dyDescent="0.3">
      <c r="A270" s="45" t="s">
        <v>16</v>
      </c>
      <c r="B270" s="46">
        <v>4</v>
      </c>
      <c r="C270" s="136" t="str">
        <f t="shared" si="22"/>
        <v>0h20min</v>
      </c>
      <c r="D270" s="171" t="s">
        <v>56</v>
      </c>
      <c r="E270" s="206"/>
      <c r="F270" s="207"/>
      <c r="G270" s="3"/>
    </row>
    <row r="271" spans="1:7" s="44" customFormat="1" ht="27" x14ac:dyDescent="0.3">
      <c r="A271" s="45" t="s">
        <v>17</v>
      </c>
      <c r="B271" s="46">
        <v>2</v>
      </c>
      <c r="C271" s="136" t="str">
        <f t="shared" si="22"/>
        <v>0h10min</v>
      </c>
      <c r="D271" s="171" t="s">
        <v>160</v>
      </c>
      <c r="E271" s="206"/>
      <c r="F271" s="207"/>
      <c r="G271" s="3"/>
    </row>
    <row r="272" spans="1:7" s="44" customFormat="1" x14ac:dyDescent="0.3">
      <c r="A272" s="46" t="s">
        <v>111</v>
      </c>
      <c r="B272" s="46">
        <v>1</v>
      </c>
      <c r="C272" s="137" t="str">
        <f t="shared" si="22"/>
        <v>0h5min</v>
      </c>
      <c r="D272" s="171" t="s">
        <v>161</v>
      </c>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8"/>
      <c r="B275" s="48"/>
      <c r="C275" s="138" t="str">
        <f t="shared" si="22"/>
        <v/>
      </c>
      <c r="D275" s="49"/>
      <c r="E275" s="208"/>
      <c r="F275" s="209"/>
      <c r="G275" s="3"/>
    </row>
    <row r="276" spans="1:7" s="44" customFormat="1" ht="15" thickBot="1" x14ac:dyDescent="0.35">
      <c r="A276" s="145" t="s">
        <v>29</v>
      </c>
      <c r="B276" s="68">
        <f>SUM(B268:B275)</f>
        <v>28</v>
      </c>
      <c r="C276" s="145" t="str">
        <f xml:space="preserve"> setValueToTime(B276)</f>
        <v>2h20min</v>
      </c>
      <c r="D276" s="105"/>
      <c r="E276" s="216"/>
      <c r="F276" s="217"/>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t="s">
        <v>4</v>
      </c>
      <c r="B280" s="46">
        <v>12</v>
      </c>
      <c r="C280" s="135" t="str">
        <f xml:space="preserve"> IF(B280="","",setValueToTime(B280))</f>
        <v>1h</v>
      </c>
      <c r="D280" s="170" t="s">
        <v>156</v>
      </c>
      <c r="E280" s="214"/>
      <c r="F280" s="215"/>
      <c r="G280" s="3"/>
    </row>
    <row r="281" spans="1:7" s="44" customFormat="1" x14ac:dyDescent="0.3">
      <c r="A281" s="45" t="s">
        <v>4</v>
      </c>
      <c r="B281" s="46">
        <v>3</v>
      </c>
      <c r="C281" s="136" t="str">
        <f t="shared" ref="C281:C287" si="23" xml:space="preserve"> IF(B281="","",setValueToTime(B281))</f>
        <v>0h15min</v>
      </c>
      <c r="D281" s="47" t="s">
        <v>150</v>
      </c>
      <c r="E281" s="206"/>
      <c r="F281" s="207"/>
      <c r="G281" s="3"/>
    </row>
    <row r="282" spans="1:7" s="44" customFormat="1" ht="27" x14ac:dyDescent="0.3">
      <c r="A282" s="45" t="s">
        <v>68</v>
      </c>
      <c r="B282" s="46">
        <v>6</v>
      </c>
      <c r="C282" s="136" t="str">
        <f t="shared" si="23"/>
        <v>0h30min</v>
      </c>
      <c r="D282" s="171" t="s">
        <v>151</v>
      </c>
      <c r="E282" s="206"/>
      <c r="F282" s="207"/>
      <c r="G282" s="3"/>
    </row>
    <row r="283" spans="1:7" s="44" customFormat="1" x14ac:dyDescent="0.3">
      <c r="A283" s="45" t="s">
        <v>16</v>
      </c>
      <c r="B283" s="46">
        <v>5</v>
      </c>
      <c r="C283" s="136" t="str">
        <f t="shared" si="23"/>
        <v>0h25min</v>
      </c>
      <c r="D283" s="171" t="s">
        <v>152</v>
      </c>
      <c r="E283" s="220" t="s">
        <v>153</v>
      </c>
      <c r="F283" s="221"/>
      <c r="G283" s="3"/>
    </row>
    <row r="284" spans="1:7" s="44" customFormat="1" ht="27" x14ac:dyDescent="0.3">
      <c r="A284" s="46" t="s">
        <v>17</v>
      </c>
      <c r="B284" s="46">
        <v>2</v>
      </c>
      <c r="C284" s="137" t="str">
        <f t="shared" si="23"/>
        <v>0h10min</v>
      </c>
      <c r="D284" s="171" t="s">
        <v>53</v>
      </c>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8"/>
      <c r="C287" s="138" t="str">
        <f t="shared" si="23"/>
        <v/>
      </c>
      <c r="D287" s="49"/>
      <c r="E287" s="208"/>
      <c r="F287" s="209"/>
      <c r="G287" s="3"/>
    </row>
    <row r="288" spans="1:7" s="44" customFormat="1" ht="15" thickBot="1" x14ac:dyDescent="0.35">
      <c r="A288" s="145" t="s">
        <v>29</v>
      </c>
      <c r="B288" s="68">
        <f>SUM(B280:B287)</f>
        <v>28</v>
      </c>
      <c r="C288" s="145" t="str">
        <f xml:space="preserve"> setValueToTime(B288)</f>
        <v>2h20min</v>
      </c>
      <c r="D288" s="105"/>
      <c r="E288" s="216"/>
      <c r="F288" s="217"/>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ht="40.5" x14ac:dyDescent="0.3">
      <c r="A292" s="41" t="s">
        <v>32</v>
      </c>
      <c r="B292" s="42">
        <v>18</v>
      </c>
      <c r="C292" s="135" t="str">
        <f xml:space="preserve"> IF(B292="","",setValueToTime(B292))</f>
        <v>1h30min</v>
      </c>
      <c r="D292" s="170" t="s">
        <v>154</v>
      </c>
      <c r="E292" s="214"/>
      <c r="F292" s="215"/>
      <c r="G292" s="3"/>
    </row>
    <row r="293" spans="1:7" s="44" customFormat="1" ht="40.5" x14ac:dyDescent="0.3">
      <c r="A293" s="45" t="s">
        <v>68</v>
      </c>
      <c r="B293" s="46">
        <v>13</v>
      </c>
      <c r="C293" s="136" t="str">
        <f t="shared" ref="C293:C299" si="24" xml:space="preserve"> IF(B293="","",setValueToTime(B293))</f>
        <v>1h5min</v>
      </c>
      <c r="D293" s="171" t="s">
        <v>157</v>
      </c>
      <c r="E293" s="206"/>
      <c r="F293" s="207"/>
      <c r="G293" s="3"/>
    </row>
    <row r="294" spans="1:7" s="44" customFormat="1" ht="27" x14ac:dyDescent="0.3">
      <c r="A294" s="45" t="s">
        <v>16</v>
      </c>
      <c r="B294" s="46">
        <v>12</v>
      </c>
      <c r="C294" s="136" t="str">
        <f t="shared" si="24"/>
        <v>1h</v>
      </c>
      <c r="D294" s="171" t="s">
        <v>149</v>
      </c>
      <c r="E294" s="206"/>
      <c r="F294" s="207"/>
      <c r="G294" s="3"/>
    </row>
    <row r="295" spans="1:7" s="44" customFormat="1" x14ac:dyDescent="0.3">
      <c r="A295" s="45" t="s">
        <v>66</v>
      </c>
      <c r="B295" s="46">
        <v>1</v>
      </c>
      <c r="C295" s="136" t="str">
        <f t="shared" si="24"/>
        <v>0h5min</v>
      </c>
      <c r="D295" s="171" t="s">
        <v>147</v>
      </c>
      <c r="E295" s="206"/>
      <c r="F295" s="207"/>
      <c r="G295" s="3"/>
    </row>
    <row r="296" spans="1:7" s="44" customFormat="1" x14ac:dyDescent="0.3">
      <c r="A296" s="46" t="s">
        <v>111</v>
      </c>
      <c r="B296" s="46">
        <v>2</v>
      </c>
      <c r="C296" s="137" t="str">
        <f t="shared" si="24"/>
        <v>0h10min</v>
      </c>
      <c r="D296" s="171" t="s">
        <v>148</v>
      </c>
      <c r="E296" s="206"/>
      <c r="F296" s="207"/>
      <c r="G296" s="3"/>
    </row>
    <row r="297" spans="1:7" s="44" customFormat="1" ht="27" x14ac:dyDescent="0.3">
      <c r="A297" s="46" t="s">
        <v>17</v>
      </c>
      <c r="B297" s="46">
        <v>2</v>
      </c>
      <c r="C297" s="137" t="str">
        <f t="shared" si="24"/>
        <v>0h10min</v>
      </c>
      <c r="D297" s="171" t="s">
        <v>53</v>
      </c>
      <c r="E297" s="206"/>
      <c r="F297" s="207"/>
      <c r="G297" s="3"/>
    </row>
    <row r="298" spans="1:7" s="44" customFormat="1" x14ac:dyDescent="0.3">
      <c r="A298" s="46"/>
      <c r="B298" s="46"/>
      <c r="C298" s="137" t="str">
        <f t="shared" si="24"/>
        <v/>
      </c>
      <c r="D298" s="171"/>
      <c r="E298" s="206"/>
      <c r="F298" s="207"/>
      <c r="G298" s="3"/>
    </row>
    <row r="299" spans="1:7" s="44" customFormat="1" ht="15" thickBot="1" x14ac:dyDescent="0.35">
      <c r="A299" s="48"/>
      <c r="B299" s="48"/>
      <c r="C299" s="138" t="str">
        <f t="shared" si="24"/>
        <v/>
      </c>
      <c r="D299" s="49"/>
      <c r="E299" s="208"/>
      <c r="F299" s="209"/>
      <c r="G299" s="3"/>
    </row>
    <row r="300" spans="1:7" s="44" customFormat="1" ht="15" thickBot="1" x14ac:dyDescent="0.35">
      <c r="A300" s="145" t="s">
        <v>29</v>
      </c>
      <c r="B300" s="68">
        <f>SUM(B292:B299)</f>
        <v>48</v>
      </c>
      <c r="C300" s="145" t="str">
        <f xml:space="preserve"> setValueToTime(B300)</f>
        <v>4h</v>
      </c>
      <c r="D300" s="105"/>
      <c r="E300" s="216"/>
      <c r="F300" s="217"/>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t="s">
        <v>16</v>
      </c>
      <c r="B304" s="42">
        <v>2</v>
      </c>
      <c r="C304" s="135" t="str">
        <f xml:space="preserve"> IF(B304="","",setValueToTime(B304))</f>
        <v>0h10min</v>
      </c>
      <c r="D304" s="170" t="s">
        <v>146</v>
      </c>
      <c r="E304" s="214"/>
      <c r="F304" s="215"/>
      <c r="G304" s="3"/>
    </row>
    <row r="305" spans="1:7" s="44" customFormat="1" ht="27" x14ac:dyDescent="0.3">
      <c r="A305" s="45" t="s">
        <v>32</v>
      </c>
      <c r="B305" s="46">
        <v>24</v>
      </c>
      <c r="C305" s="136" t="str">
        <f t="shared" ref="C305:C311" si="25" xml:space="preserve"> IF(B305="","",setValueToTime(B305))</f>
        <v>2h</v>
      </c>
      <c r="D305" s="47" t="s">
        <v>52</v>
      </c>
      <c r="E305" s="206"/>
      <c r="F305" s="207"/>
      <c r="G305" s="3"/>
    </row>
    <row r="306" spans="1:7" s="44" customFormat="1" ht="27" x14ac:dyDescent="0.3">
      <c r="A306" s="45" t="s">
        <v>17</v>
      </c>
      <c r="B306" s="46">
        <v>2</v>
      </c>
      <c r="C306" s="136" t="str">
        <f t="shared" si="25"/>
        <v>0h10min</v>
      </c>
      <c r="D306" s="47" t="s">
        <v>53</v>
      </c>
      <c r="E306" s="206"/>
      <c r="F306" s="207"/>
      <c r="G306" s="3"/>
    </row>
    <row r="307" spans="1:7" s="44" customFormat="1" ht="27" x14ac:dyDescent="0.3">
      <c r="A307" s="45" t="s">
        <v>32</v>
      </c>
      <c r="B307" s="46">
        <v>14</v>
      </c>
      <c r="C307" s="136" t="str">
        <f t="shared" si="25"/>
        <v>1h10min</v>
      </c>
      <c r="D307" s="171" t="s">
        <v>155</v>
      </c>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145" t="s">
        <v>29</v>
      </c>
      <c r="B312" s="68">
        <f>SUM(B304:B311)</f>
        <v>42</v>
      </c>
      <c r="C312" s="145" t="str">
        <f xml:space="preserve"> setValueToTime(B312)</f>
        <v>3h30min</v>
      </c>
      <c r="D312" s="105"/>
      <c r="E312" s="216"/>
      <c r="F312" s="217"/>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t="s">
        <v>66</v>
      </c>
      <c r="B316" s="42">
        <v>3</v>
      </c>
      <c r="C316" s="135" t="str">
        <f xml:space="preserve"> IF(B316="","",setValueToTime(B316))</f>
        <v>0h15min</v>
      </c>
      <c r="D316" s="43" t="s">
        <v>108</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6</v>
      </c>
      <c r="C318" s="136" t="str">
        <f t="shared" si="26"/>
        <v>0h30min</v>
      </c>
      <c r="D318" s="47" t="s">
        <v>109</v>
      </c>
      <c r="E318" s="206"/>
      <c r="F318" s="207"/>
      <c r="G318" s="3"/>
    </row>
    <row r="319" spans="1:7" s="44" customFormat="1" x14ac:dyDescent="0.3">
      <c r="A319" s="46" t="s">
        <v>111</v>
      </c>
      <c r="B319" s="46">
        <v>1</v>
      </c>
      <c r="C319" s="136" t="str">
        <f t="shared" si="26"/>
        <v>0h5min</v>
      </c>
      <c r="D319" s="47" t="s">
        <v>110</v>
      </c>
      <c r="E319" s="206"/>
      <c r="F319" s="207"/>
      <c r="G319" s="3"/>
    </row>
    <row r="320" spans="1:7" s="44" customFormat="1" ht="27" x14ac:dyDescent="0.3">
      <c r="A320" s="46" t="s">
        <v>32</v>
      </c>
      <c r="B320" s="46">
        <v>31</v>
      </c>
      <c r="C320" s="137" t="str">
        <f t="shared" si="26"/>
        <v>2h35min</v>
      </c>
      <c r="D320" s="47" t="s">
        <v>112</v>
      </c>
      <c r="E320" s="206"/>
      <c r="F320" s="207"/>
      <c r="G320" s="3"/>
    </row>
    <row r="321" spans="1:7" s="44" customFormat="1" ht="27" x14ac:dyDescent="0.3">
      <c r="A321" s="46" t="s">
        <v>17</v>
      </c>
      <c r="B321" s="46">
        <v>2</v>
      </c>
      <c r="C321" s="137" t="str">
        <f t="shared" si="26"/>
        <v>0h10min</v>
      </c>
      <c r="D321" s="47" t="s">
        <v>53</v>
      </c>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145" t="s">
        <v>29</v>
      </c>
      <c r="B324" s="68">
        <f>SUM(B316:B323)</f>
        <v>48</v>
      </c>
      <c r="C324" s="145" t="str">
        <f xml:space="preserve"> setValueToTime(B324)</f>
        <v>4h</v>
      </c>
      <c r="D324" s="105"/>
      <c r="E324" s="216"/>
      <c r="F324" s="217"/>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75"/>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5"/>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5"/>
    </row>
    <row r="13" spans="1:61" ht="18.75" thickBot="1" x14ac:dyDescent="0.3">
      <c r="A13" s="193" t="s">
        <v>12</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95" t="s">
        <v>29</v>
      </c>
      <c r="B11" s="69">
        <f>SUM(B3:B10)</f>
        <v>0</v>
      </c>
      <c r="C11" s="95" t="str">
        <f xml:space="preserve"> setValueToTime(B11)</f>
        <v>0h</v>
      </c>
      <c r="D11" s="104"/>
      <c r="E11" s="210"/>
      <c r="F11" s="21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145" t="s">
        <v>29</v>
      </c>
      <c r="B11" s="68">
        <f>SUM(B3:B10)</f>
        <v>0</v>
      </c>
      <c r="C11" s="145" t="str">
        <f xml:space="preserve"> setValueToTime(B11)</f>
        <v>0h</v>
      </c>
      <c r="D11" s="105"/>
      <c r="E11" s="216"/>
      <c r="F11" s="217"/>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2024-05-21T12:43:40Z</dcterms:modified>
</cp:coreProperties>
</file>