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84C7FA0C-8C99-43A9-8DCC-EA0AB6DC0307}"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209" i="12"/>
  <c r="C208" i="12"/>
  <c r="C186" i="10"/>
  <c r="D44" i="1"/>
  <c r="C41" i="10"/>
  <c r="C318" i="12"/>
  <c r="C36" i="12"/>
  <c r="D45" i="1"/>
  <c r="D40" i="1"/>
  <c r="C222" i="10"/>
  <c r="C297" i="12"/>
  <c r="C102" i="10"/>
  <c r="D33" i="1"/>
  <c r="C112" i="10"/>
  <c r="C307" i="12"/>
  <c r="C259" i="10"/>
  <c r="C24" i="10"/>
  <c r="C264" i="12"/>
  <c r="C124" i="10"/>
  <c r="D79" i="1"/>
  <c r="C306" i="12"/>
  <c r="C228" i="12"/>
  <c r="C320" i="12"/>
  <c r="D51" i="1"/>
  <c r="D92" i="1"/>
  <c r="C72" i="12"/>
  <c r="C180" i="10"/>
  <c r="C244" i="12"/>
  <c r="C281" i="10"/>
  <c r="C185" i="10"/>
  <c r="C24" i="12"/>
  <c r="D16" i="1"/>
  <c r="D27" i="1"/>
  <c r="D81" i="1"/>
  <c r="C36" i="10"/>
  <c r="D39" i="1"/>
  <c r="C234" i="10"/>
  <c r="C268" i="12"/>
  <c r="C257" i="12"/>
  <c r="D62" i="1"/>
  <c r="C235" i="12"/>
  <c r="C11" i="16"/>
  <c r="C101" i="10"/>
  <c r="C160" i="10"/>
  <c r="C196" i="10"/>
  <c r="C84" i="10"/>
  <c r="D67" i="1"/>
  <c r="D94" i="1"/>
  <c r="C148" i="10"/>
  <c r="C288" i="12"/>
  <c r="C284" i="12"/>
  <c r="D21" i="1"/>
  <c r="D58" i="1"/>
  <c r="D36" i="1"/>
  <c r="C12" i="12"/>
  <c r="C65" i="10"/>
  <c r="C114" i="10"/>
  <c r="D60" i="1"/>
  <c r="C96" i="10"/>
  <c r="C316" i="10"/>
  <c r="C204" i="12"/>
  <c r="D82" i="1"/>
  <c r="C312" i="12"/>
  <c r="C156" i="12"/>
  <c r="C244" i="10"/>
  <c r="C232" i="12"/>
  <c r="C276" i="10"/>
  <c r="C240" i="12"/>
  <c r="C295" i="12"/>
  <c r="C305" i="10"/>
  <c r="C77" i="10"/>
  <c r="C151" i="10"/>
  <c r="C48" i="10"/>
  <c r="C11" i="15"/>
  <c r="C232" i="10"/>
  <c r="C270" i="12"/>
  <c r="C280" i="12"/>
  <c r="C216" i="10"/>
  <c r="C4" i="10"/>
  <c r="D73" i="1"/>
  <c r="C257" i="10"/>
  <c r="C270" i="10"/>
  <c r="C264" i="10"/>
  <c r="D54" i="1"/>
  <c r="D30" i="1"/>
  <c r="D50" i="1"/>
  <c r="C156" i="10"/>
  <c r="D38" i="1"/>
  <c r="C256" i="10"/>
  <c r="C120" i="10"/>
  <c r="C113" i="10"/>
  <c r="C172" i="10"/>
  <c r="C261" i="10"/>
  <c r="C319" i="10"/>
  <c r="C60" i="12"/>
  <c r="D17" i="1"/>
  <c r="C12" i="10"/>
  <c r="C208" i="10"/>
  <c r="C294" i="10"/>
  <c r="C248" i="10"/>
  <c r="D72" i="1"/>
  <c r="C324" i="12"/>
  <c r="C300" i="12"/>
  <c r="C76" i="10"/>
  <c r="D77" i="1"/>
  <c r="D61" i="1"/>
  <c r="D22" i="1"/>
  <c r="C296" i="12"/>
  <c r="C260" i="10"/>
  <c r="C293" i="12"/>
  <c r="C293" i="10"/>
  <c r="C282" i="10"/>
  <c r="C321" i="12"/>
  <c r="D86" i="1"/>
  <c r="C282" i="12"/>
  <c r="C17" i="10"/>
  <c r="C304" i="10"/>
  <c r="D42" i="1"/>
  <c r="C48" i="12"/>
  <c r="C192" i="10"/>
  <c r="D64" i="1"/>
  <c r="C252" i="10"/>
  <c r="D68" i="1"/>
  <c r="C132" i="12"/>
  <c r="C161" i="10"/>
  <c r="D43" i="1"/>
  <c r="C175" i="10"/>
  <c r="C52" i="10"/>
  <c r="C138" i="10"/>
  <c r="C280" i="10"/>
  <c r="C60" i="10"/>
  <c r="D93" i="1"/>
  <c r="D85" i="1"/>
  <c r="D87" i="1"/>
  <c r="D41" i="1"/>
  <c r="D84" i="1"/>
  <c r="C300" i="10"/>
  <c r="C281" i="12"/>
  <c r="C89" i="10"/>
  <c r="D91" i="1"/>
  <c r="C136" i="10"/>
  <c r="D78" i="1"/>
  <c r="C150" i="10"/>
  <c r="C246" i="10"/>
  <c r="C88" i="10"/>
  <c r="C84" i="12"/>
  <c r="C228" i="10"/>
  <c r="C96" i="12"/>
  <c r="C209" i="10"/>
  <c r="C252" i="12"/>
  <c r="C276" i="12"/>
  <c r="C261" i="12"/>
  <c r="D57" i="1"/>
  <c r="C149" i="10"/>
  <c r="C292" i="10"/>
  <c r="D24" i="1"/>
  <c r="C168" i="10"/>
  <c r="D65" i="1"/>
  <c r="C6" i="10"/>
  <c r="D47" i="1"/>
  <c r="C108" i="12"/>
  <c r="C53" i="10"/>
  <c r="D35" i="1"/>
  <c r="C174" i="10"/>
  <c r="C192" i="12"/>
  <c r="D74" i="1"/>
  <c r="C168" i="12"/>
  <c r="D59" i="1"/>
  <c r="C222" i="12"/>
  <c r="C204" i="10"/>
  <c r="C268" i="10"/>
  <c r="C288" i="10"/>
  <c r="C256" i="12"/>
  <c r="C29" i="10"/>
  <c r="C318" i="10"/>
  <c r="D80" i="1"/>
  <c r="D26" i="1"/>
  <c r="C64" i="10"/>
  <c r="C245" i="12"/>
  <c r="C180" i="12"/>
  <c r="D32" i="1"/>
  <c r="D48" i="1"/>
  <c r="C72" i="10"/>
  <c r="C221" i="12"/>
  <c r="C237" i="12"/>
  <c r="D34" i="1"/>
  <c r="C258" i="10"/>
  <c r="C236" i="12"/>
  <c r="C163" i="10"/>
  <c r="D88" i="1"/>
  <c r="C108" i="10"/>
  <c r="D63" i="1"/>
  <c r="C233" i="10"/>
  <c r="C233" i="12"/>
  <c r="C40" i="10"/>
  <c r="D66" i="1"/>
  <c r="D37" i="1"/>
  <c r="D69" i="1"/>
  <c r="D52" i="1"/>
  <c r="D31" i="1"/>
  <c r="D89" i="1"/>
  <c r="D71" i="1"/>
  <c r="C16" i="10"/>
  <c r="C259" i="12"/>
  <c r="D19" i="1"/>
  <c r="D15" i="1"/>
  <c r="D23" i="1"/>
  <c r="D25" i="1"/>
  <c r="C317" i="10"/>
  <c r="C220" i="12"/>
  <c r="C247" i="10"/>
  <c r="C5" i="10"/>
  <c r="C210" i="10"/>
  <c r="C271" i="12"/>
  <c r="C28" i="10"/>
  <c r="C223" i="10"/>
  <c r="C294" i="12"/>
  <c r="C312" i="10"/>
  <c r="D18" i="1"/>
  <c r="C320" i="10"/>
  <c r="C324" i="10"/>
  <c r="C283" i="12"/>
  <c r="C245" i="10"/>
  <c r="D53" i="1"/>
  <c r="C132" i="10"/>
  <c r="C184" i="10"/>
  <c r="C247" i="12"/>
  <c r="C269" i="12"/>
  <c r="C125" i="10"/>
  <c r="C260" i="12"/>
  <c r="C305" i="12"/>
  <c r="D75" i="1"/>
  <c r="C220" i="10"/>
  <c r="D46" i="1"/>
  <c r="D56" i="1"/>
  <c r="C258" i="12"/>
  <c r="D76" i="1"/>
  <c r="C319" i="12"/>
  <c r="C304" i="12"/>
  <c r="C162" i="10"/>
  <c r="C269" i="10"/>
  <c r="C234" i="12"/>
  <c r="C197" i="10"/>
  <c r="C144" i="10"/>
  <c r="C120" i="12"/>
  <c r="D55" i="1"/>
  <c r="D90" i="1"/>
  <c r="D70" i="1"/>
  <c r="C316" i="12"/>
  <c r="C262" i="12"/>
  <c r="C137" i="10"/>
  <c r="D83" i="1"/>
  <c r="C221" i="10"/>
  <c r="C292" i="12"/>
  <c r="D29" i="1"/>
  <c r="C317" i="12"/>
  <c r="D28" i="1"/>
  <c r="C173" i="10"/>
  <c r="C272" i="12"/>
  <c r="C100" i="10"/>
  <c r="C144" i="12"/>
  <c r="D20" i="1"/>
  <c r="D49" i="1"/>
  <c r="C240" i="10"/>
  <c r="C212" i="12"/>
  <c r="C211" i="12"/>
  <c r="C210" i="12"/>
  <c r="C21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<sst xmlns="http://schemas.openxmlformats.org/spreadsheetml/2006/main" count="1227" uniqueCount="180">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</sst>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Font="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2" t="s">
        <v>31</v>
      </c>
      <c r="D1" s="182"/>
      <c r="E1" s="18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3"/>
      <c r="D7" s="183"/>
      <c r="E7" s="18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7" t="str">
        <f>E96</f>
        <v>88h</v>
      </c>
      <c r="H9" s="187"/>
      <c r="I9" s="187"/>
      <c r="J9" s="187"/>
      <c r="K9" s="187"/>
      <c r="L9" s="187"/>
      <c r="M9" s="187"/>
      <c r="N9" s="187"/>
      <c r="O9" s="187"/>
      <c r="P9" s="187"/>
      <c r="Q9" s="187"/>
      <c r="R9" s="187"/>
      <c r="S9" s="187"/>
      <c r="T9" s="187"/>
      <c r="U9" s="187"/>
      <c r="V9" s="103"/>
      <c r="W9" s="196" t="s">
        <v>23</v>
      </c>
      <c r="X9" s="196"/>
      <c r="Y9" s="196"/>
      <c r="Z9" s="196"/>
      <c r="AA9" s="196"/>
      <c r="AB9" s="196"/>
      <c r="AC9" s="196"/>
      <c r="AD9" s="196"/>
      <c r="AE9" s="196"/>
      <c r="AF9" s="196"/>
      <c r="AG9" s="196"/>
      <c r="AH9" s="187" t="str">
        <f>E98</f>
        <v>7h30min</v>
      </c>
      <c r="AI9" s="187"/>
      <c r="AJ9" s="187"/>
      <c r="AK9" s="187"/>
      <c r="AL9" s="187"/>
      <c r="AM9" s="187"/>
      <c r="AN9" s="187"/>
      <c r="AO9" s="187"/>
      <c r="AP9" s="187"/>
      <c r="AQ9" s="187"/>
      <c r="AR9" s="187"/>
      <c r="AS9" s="187"/>
      <c r="AT9" s="187"/>
      <c r="AU9" s="187"/>
      <c r="AV9" s="187"/>
      <c r="AW9" s="18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174"/>
      <c r="BJO10" s="174"/>
      <c r="BJP10" s="174"/>
      <c r="BJQ10" s="174"/>
      <c r="BJR10" s="174"/>
      <c r="BJS10" s="174"/>
      <c r="BJT10" s="174"/>
      <c r="BJU10" s="174"/>
      <c r="BJV10" s="174"/>
      <c r="BJW10" s="174"/>
      <c r="BJX10" s="174"/>
      <c r="BJY10" s="174"/>
      <c r="BJZ10" s="174"/>
      <c r="BKA10" s="174"/>
      <c r="BKB10" s="174"/>
      <c r="BKC10" s="174"/>
      <c r="BKD10" s="174"/>
      <c r="BKE10" s="174"/>
      <c r="BKF10" s="174"/>
      <c r="BKG10" s="174"/>
      <c r="BKH10" s="174"/>
      <c r="BKI10" s="174"/>
      <c r="BKJ10" s="174"/>
      <c r="BKK10" s="174"/>
      <c r="BKL10" s="174"/>
      <c r="BKM10" s="174"/>
      <c r="BKN10" s="174"/>
      <c r="BKO10" s="174"/>
      <c r="BKP10" s="174"/>
      <c r="BKQ10" s="174"/>
      <c r="BKR10" s="174"/>
      <c r="BKS10" s="174"/>
      <c r="BKT10" s="174"/>
      <c r="BKU10" s="174"/>
      <c r="BKV10" s="174"/>
      <c r="BKW10" s="174"/>
      <c r="BKX10" s="174"/>
      <c r="BKY10" s="174"/>
      <c r="BKZ10" s="174"/>
      <c r="BLA10" s="174"/>
      <c r="BLB10" s="174"/>
      <c r="BLC10" s="174"/>
      <c r="BLD10" s="174"/>
      <c r="BLE10" s="174"/>
      <c r="BLF10" s="174"/>
      <c r="BLG10" s="174"/>
      <c r="BLH10" s="174"/>
      <c r="BLI10" s="174"/>
      <c r="BLJ10" s="174"/>
      <c r="BLK10" s="174"/>
      <c r="BLL10" s="174"/>
      <c r="BLM10" s="174"/>
      <c r="BLN10" s="174"/>
      <c r="BLO10" s="174"/>
      <c r="BLP10" s="174"/>
      <c r="BLQ10" s="174"/>
      <c r="BLR10" s="174"/>
      <c r="BLS10" s="174"/>
      <c r="BLT10" s="174"/>
      <c r="BLU10" s="174"/>
      <c r="BLV10" s="174"/>
      <c r="BLW10" s="174"/>
      <c r="BLX10" s="174"/>
      <c r="BLY10" s="174"/>
      <c r="BLZ10" s="174"/>
      <c r="BMA10" s="174"/>
      <c r="BMB10" s="174"/>
      <c r="BMC10" s="174"/>
      <c r="BMD10" s="174"/>
      <c r="BME10" s="174"/>
      <c r="BMF10" s="174"/>
      <c r="BMG10" s="174"/>
      <c r="BMH10" s="174"/>
      <c r="BMI10" s="174"/>
      <c r="BMJ10" s="174"/>
      <c r="BMK10" s="174"/>
      <c r="BML10" s="174"/>
      <c r="BMM10" s="174"/>
      <c r="BMN10" s="174"/>
      <c r="BMO10" s="174"/>
      <c r="BMP10" s="174"/>
      <c r="BMQ10" s="174"/>
      <c r="BMR10" s="174"/>
      <c r="BMS10" s="174"/>
      <c r="BMT10" s="174"/>
      <c r="BMU10" s="174"/>
      <c r="BMV10" s="174"/>
      <c r="BMW10" s="174"/>
      <c r="BMX10" s="174"/>
      <c r="BMY10" s="174"/>
      <c r="BMZ10" s="174"/>
      <c r="BNA10" s="174"/>
      <c r="BNB10" s="174"/>
      <c r="BNC10" s="174"/>
      <c r="BND10" s="174"/>
      <c r="BNE10" s="174"/>
      <c r="BNF10" s="174"/>
      <c r="BNG10" s="174"/>
      <c r="BNH10" s="174"/>
      <c r="BNI10" s="174"/>
      <c r="BNJ10" s="174"/>
      <c r="BNK10" s="174"/>
      <c r="BNL10" s="174"/>
      <c r="BNM10" s="174"/>
      <c r="BNN10" s="174"/>
      <c r="BNO10" s="174"/>
      <c r="BNP10" s="174"/>
      <c r="BNQ10" s="174"/>
      <c r="BNR10" s="174"/>
      <c r="BNS10" s="174"/>
      <c r="BNT10" s="174"/>
      <c r="BNU10" s="174"/>
      <c r="BNV10" s="174"/>
      <c r="BNW10" s="174"/>
      <c r="BNX10" s="174"/>
      <c r="BNY10" s="174"/>
      <c r="BNZ10" s="174"/>
      <c r="BOA10" s="174"/>
      <c r="BOB10" s="174"/>
      <c r="BOC10" s="174"/>
      <c r="BOD10" s="174"/>
      <c r="BOE10" s="174"/>
      <c r="BOF10" s="174"/>
      <c r="BOG10" s="174"/>
      <c r="BOH10" s="174"/>
      <c r="BOI10" s="174"/>
      <c r="BOJ10" s="174"/>
      <c r="BOK10" s="174"/>
      <c r="BOL10" s="174"/>
      <c r="BOM10" s="174"/>
      <c r="BON10" s="174"/>
      <c r="BOO10" s="174"/>
      <c r="BOP10" s="174"/>
      <c r="BOQ10" s="174"/>
      <c r="BOR10" s="174"/>
      <c r="BOS10" s="174"/>
      <c r="BOT10" s="174"/>
      <c r="BOU10" s="174"/>
      <c r="BOV10" s="174"/>
      <c r="BOW10" s="174"/>
      <c r="BOX10" s="174"/>
      <c r="BOY10" s="174"/>
      <c r="BOZ10" s="174"/>
      <c r="BPA10" s="174"/>
      <c r="BPB10" s="174"/>
      <c r="BPC10" s="174"/>
      <c r="BPD10" s="174"/>
      <c r="BPE10" s="174"/>
      <c r="BPF10" s="174"/>
      <c r="BPG10" s="174"/>
      <c r="BPH10" s="174"/>
      <c r="BPI10" s="174"/>
      <c r="BPJ10" s="174"/>
      <c r="BPK10" s="174"/>
      <c r="BPL10" s="174"/>
      <c r="BPM10" s="174"/>
      <c r="BPN10" s="174"/>
      <c r="BPO10" s="174"/>
      <c r="BPP10" s="174"/>
      <c r="BPQ10" s="174"/>
      <c r="BPR10" s="174"/>
      <c r="BPS10" s="174"/>
      <c r="BPT10" s="174"/>
      <c r="BPU10" s="174"/>
      <c r="BPV10" s="174"/>
      <c r="BPW10" s="174"/>
      <c r="BPX10" s="174"/>
      <c r="BPY10" s="174"/>
      <c r="BPZ10" s="174"/>
      <c r="BQA10" s="174"/>
      <c r="BQB10" s="174"/>
      <c r="BQC10" s="174"/>
      <c r="BQD10" s="174"/>
      <c r="BQE10" s="174"/>
      <c r="BQF10" s="174"/>
      <c r="BQG10" s="174"/>
      <c r="BQH10" s="174"/>
      <c r="BQI10" s="174"/>
      <c r="BQJ10" s="174"/>
      <c r="BQK10" s="174"/>
      <c r="BQL10" s="174"/>
      <c r="BQM10" s="174"/>
      <c r="BQN10" s="174"/>
      <c r="BQO10" s="174"/>
      <c r="BQP10" s="174"/>
      <c r="BQQ10" s="174"/>
      <c r="BQR10" s="174"/>
      <c r="BQS10" s="174"/>
      <c r="BQT10" s="174"/>
      <c r="BQU10" s="174"/>
      <c r="BQV10" s="174"/>
      <c r="BQW10" s="174"/>
      <c r="BQX10" s="174"/>
      <c r="BQY10" s="174"/>
      <c r="BQZ10" s="174"/>
      <c r="BRA10" s="174"/>
      <c r="BRB10" s="174"/>
      <c r="BRC10" s="174"/>
      <c r="BRD10" s="174"/>
      <c r="BRE10" s="174"/>
      <c r="BRF10" s="174"/>
      <c r="BRG10" s="174"/>
      <c r="BRH10" s="174"/>
      <c r="BRI10" s="174"/>
      <c r="BRJ10" s="174"/>
      <c r="BRK10" s="174"/>
      <c r="BRL10" s="174"/>
      <c r="BRM10" s="174"/>
      <c r="BRN10" s="174"/>
      <c r="BRO10" s="174"/>
      <c r="BRP10" s="174"/>
      <c r="BRQ10" s="174"/>
      <c r="BRR10" s="174"/>
      <c r="BRS10" s="174"/>
      <c r="BRT10" s="174"/>
      <c r="BRU10" s="174"/>
      <c r="BRV10" s="174"/>
      <c r="BRW10" s="174"/>
      <c r="BRX10" s="174"/>
      <c r="BRY10" s="174"/>
      <c r="BRZ10" s="174"/>
      <c r="BSA10" s="174"/>
      <c r="BSB10" s="174"/>
      <c r="BSC10" s="174"/>
      <c r="BSD10" s="174"/>
      <c r="BSE10" s="174"/>
      <c r="BSF10" s="174"/>
      <c r="BSG10" s="174"/>
      <c r="BSH10" s="174"/>
      <c r="BSI10" s="174"/>
      <c r="BSJ10" s="174"/>
      <c r="BSK10" s="174"/>
      <c r="BSL10" s="174"/>
      <c r="BSM10" s="174"/>
      <c r="BSN10" s="174"/>
      <c r="BSO10" s="174"/>
      <c r="BSP10" s="174"/>
      <c r="BSQ10" s="174"/>
      <c r="BSR10" s="174"/>
      <c r="BSS10" s="174"/>
      <c r="BST10" s="174"/>
      <c r="BSU10" s="174"/>
      <c r="BSV10" s="174"/>
      <c r="BSW10" s="174"/>
      <c r="BSX10" s="174"/>
      <c r="BSY10" s="174"/>
      <c r="BSZ10" s="174"/>
      <c r="BTA10" s="174"/>
      <c r="BTB10" s="174"/>
      <c r="BTC10" s="174"/>
      <c r="BTD10" s="174"/>
      <c r="BTE10" s="174"/>
      <c r="BTF10" s="174"/>
      <c r="BTG10" s="174"/>
      <c r="BTH10" s="174"/>
      <c r="BTI10" s="174"/>
      <c r="BTJ10" s="174"/>
      <c r="BTK10" s="174"/>
      <c r="BTL10" s="174"/>
      <c r="BTM10" s="174"/>
      <c r="BTN10" s="174"/>
      <c r="BTO10" s="174"/>
      <c r="BTP10" s="174"/>
      <c r="BTQ10" s="174"/>
      <c r="BTR10" s="174"/>
      <c r="BTS10" s="174"/>
      <c r="BTT10" s="174"/>
      <c r="BTU10" s="174"/>
      <c r="BTV10" s="174"/>
      <c r="BTW10" s="174"/>
      <c r="BTX10" s="174"/>
      <c r="BTY10" s="174"/>
      <c r="BTZ10" s="174"/>
      <c r="BUA10" s="174"/>
      <c r="BUB10" s="174"/>
      <c r="BUC10" s="174"/>
      <c r="BUD10" s="174"/>
      <c r="BUE10" s="174"/>
      <c r="BUF10" s="174"/>
      <c r="BUG10" s="174"/>
      <c r="BUH10" s="174"/>
      <c r="BUI10" s="174"/>
      <c r="BUJ10" s="174"/>
      <c r="BUK10" s="174"/>
      <c r="BUL10" s="174"/>
      <c r="BUM10" s="174"/>
      <c r="BUN10" s="174"/>
      <c r="BUO10" s="174"/>
      <c r="BUP10" s="174"/>
      <c r="BUQ10" s="174"/>
      <c r="BUR10" s="174"/>
      <c r="BUS10" s="174"/>
      <c r="BUT10" s="174"/>
      <c r="BUU10" s="174"/>
      <c r="BUV10" s="174"/>
      <c r="BUW10" s="174"/>
      <c r="BUX10" s="174"/>
      <c r="BUY10" s="174"/>
      <c r="BUZ10" s="174"/>
      <c r="BVA10" s="174"/>
      <c r="BVB10" s="75"/>
    </row>
    <row r="11" spans="1:1926" ht="20.100000000000001" customHeight="1" x14ac:dyDescent="0.25">
      <c r="B11" s="53"/>
      <c r="C11" s="192"/>
      <c r="D11" s="192"/>
      <c r="E11" s="192"/>
      <c r="F11" s="195" t="s">
        <v>69</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69</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75" t="s">
        <v>107</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107</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105</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102</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102</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99</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99</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96</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96</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94</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91</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91</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88</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88</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85</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85</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82</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82</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80</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77</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77</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74</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74</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71</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71</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175"/>
      <c r="BJO11" s="175"/>
      <c r="BJP11" s="175"/>
      <c r="BJQ11" s="175"/>
      <c r="BJR11" s="175"/>
      <c r="BJS11" s="175"/>
      <c r="BJT11" s="175"/>
      <c r="BJU11" s="175"/>
      <c r="BJV11" s="175"/>
      <c r="BJW11" s="175"/>
      <c r="BJX11" s="175"/>
      <c r="BJY11" s="175"/>
      <c r="BJZ11" s="175"/>
      <c r="BKA11" s="175"/>
      <c r="BKB11" s="175"/>
      <c r="BKC11" s="175"/>
      <c r="BKD11" s="175"/>
      <c r="BKE11" s="175"/>
      <c r="BKF11" s="175"/>
      <c r="BKG11" s="175"/>
      <c r="BKH11" s="175"/>
      <c r="BKI11" s="175"/>
      <c r="BKJ11" s="175"/>
      <c r="BKK11" s="175"/>
      <c r="BKL11" s="175"/>
      <c r="BKM11" s="175"/>
      <c r="BKN11" s="175"/>
      <c r="BKO11" s="175"/>
      <c r="BKP11" s="175"/>
      <c r="BKQ11" s="175"/>
      <c r="BKR11" s="175"/>
      <c r="BKS11" s="175"/>
      <c r="BKT11" s="175"/>
      <c r="BKU11" s="175"/>
      <c r="BKV11" s="175"/>
      <c r="BKW11" s="175"/>
      <c r="BKX11" s="175"/>
      <c r="BKY11" s="175"/>
      <c r="BKZ11" s="175"/>
      <c r="BLA11" s="175"/>
      <c r="BLB11" s="175"/>
      <c r="BLC11" s="175"/>
      <c r="BLD11" s="175"/>
      <c r="BLE11" s="175"/>
      <c r="BLF11" s="175"/>
      <c r="BLG11" s="175"/>
      <c r="BLH11" s="175"/>
      <c r="BLI11" s="175"/>
      <c r="BLJ11" s="175"/>
      <c r="BLK11" s="175"/>
      <c r="BLL11" s="175"/>
      <c r="BLM11" s="175"/>
      <c r="BLN11" s="175"/>
      <c r="BLO11" s="175"/>
      <c r="BLP11" s="175"/>
      <c r="BLQ11" s="175"/>
      <c r="BLR11" s="175"/>
      <c r="BLS11" s="175"/>
      <c r="BLT11" s="175"/>
      <c r="BLU11" s="175"/>
      <c r="BLV11" s="175"/>
      <c r="BLW11" s="175"/>
      <c r="BLX11" s="175"/>
      <c r="BLY11" s="175"/>
      <c r="BLZ11" s="175"/>
      <c r="BMA11" s="175"/>
      <c r="BMB11" s="175"/>
      <c r="BMC11" s="175"/>
      <c r="BMD11" s="175"/>
      <c r="BME11" s="175"/>
      <c r="BMF11" s="175"/>
      <c r="BMG11" s="175"/>
      <c r="BMH11" s="175"/>
      <c r="BMI11" s="175"/>
      <c r="BMJ11" s="175"/>
      <c r="BMK11" s="175"/>
      <c r="BML11" s="175"/>
      <c r="BMM11" s="175"/>
      <c r="BMN11" s="175"/>
      <c r="BMO11" s="175"/>
      <c r="BMP11" s="175"/>
      <c r="BMQ11" s="175"/>
      <c r="BMR11" s="175"/>
      <c r="BMS11" s="175"/>
      <c r="BMT11" s="175"/>
      <c r="BMU11" s="175"/>
      <c r="BMV11" s="175"/>
      <c r="BMW11" s="175"/>
      <c r="BMX11" s="175"/>
      <c r="BMY11" s="175"/>
      <c r="BMZ11" s="175"/>
      <c r="BNA11" s="175"/>
      <c r="BNB11" s="175"/>
      <c r="BNC11" s="175"/>
      <c r="BND11" s="175"/>
      <c r="BNE11" s="175"/>
      <c r="BNF11" s="175"/>
      <c r="BNG11" s="175"/>
      <c r="BNH11" s="175"/>
      <c r="BNI11" s="175"/>
      <c r="BNJ11" s="175"/>
      <c r="BNK11" s="175"/>
      <c r="BNL11" s="175"/>
      <c r="BNM11" s="175"/>
      <c r="BNN11" s="175"/>
      <c r="BNO11" s="175"/>
      <c r="BNP11" s="175"/>
      <c r="BNQ11" s="175"/>
      <c r="BNR11" s="175"/>
      <c r="BNS11" s="175"/>
      <c r="BNT11" s="175"/>
      <c r="BNU11" s="175"/>
      <c r="BNV11" s="175"/>
      <c r="BNW11" s="175"/>
      <c r="BNX11" s="175"/>
      <c r="BNY11" s="175"/>
      <c r="BNZ11" s="175"/>
      <c r="BOA11" s="175"/>
      <c r="BOB11" s="175"/>
      <c r="BOC11" s="175"/>
      <c r="BOD11" s="175"/>
      <c r="BOE11" s="175"/>
      <c r="BOF11" s="175"/>
      <c r="BOG11" s="175"/>
      <c r="BOH11" s="175"/>
      <c r="BOI11" s="175"/>
      <c r="BOJ11" s="175"/>
      <c r="BOK11" s="175"/>
      <c r="BOL11" s="175"/>
      <c r="BOM11" s="175"/>
      <c r="BON11" s="175"/>
      <c r="BOO11" s="175"/>
      <c r="BOP11" s="175"/>
      <c r="BOQ11" s="175"/>
      <c r="BOR11" s="175"/>
      <c r="BOS11" s="175"/>
      <c r="BOT11" s="175"/>
      <c r="BOU11" s="175"/>
      <c r="BOV11" s="175"/>
      <c r="BOW11" s="175"/>
      <c r="BOX11" s="175"/>
      <c r="BOY11" s="175"/>
      <c r="BOZ11" s="175"/>
      <c r="BPA11" s="175"/>
      <c r="BPB11" s="175"/>
      <c r="BPC11" s="175"/>
      <c r="BPD11" s="175"/>
      <c r="BPE11" s="175"/>
      <c r="BPF11" s="175"/>
      <c r="BPG11" s="175"/>
      <c r="BPH11" s="175"/>
      <c r="BPI11" s="175"/>
      <c r="BPJ11" s="175"/>
      <c r="BPK11" s="175"/>
      <c r="BPL11" s="175"/>
      <c r="BPM11" s="175"/>
      <c r="BPN11" s="175"/>
      <c r="BPO11" s="175"/>
      <c r="BPP11" s="175"/>
      <c r="BPQ11" s="175"/>
      <c r="BPR11" s="175"/>
      <c r="BPS11" s="175"/>
      <c r="BPT11" s="175"/>
      <c r="BPU11" s="175"/>
      <c r="BPV11" s="175"/>
      <c r="BPW11" s="175"/>
      <c r="BPX11" s="175"/>
      <c r="BPY11" s="175"/>
      <c r="BPZ11" s="175"/>
      <c r="BQA11" s="175"/>
      <c r="BQB11" s="175"/>
      <c r="BQC11" s="175"/>
      <c r="BQD11" s="175"/>
      <c r="BQE11" s="175"/>
      <c r="BQF11" s="175"/>
      <c r="BQG11" s="175"/>
      <c r="BQH11" s="175"/>
      <c r="BQI11" s="175"/>
      <c r="BQJ11" s="175"/>
      <c r="BQK11" s="175"/>
      <c r="BQL11" s="175"/>
      <c r="BQM11" s="175"/>
      <c r="BQN11" s="175"/>
      <c r="BQO11" s="175"/>
      <c r="BQP11" s="175"/>
      <c r="BQQ11" s="175"/>
      <c r="BQR11" s="175"/>
      <c r="BQS11" s="175"/>
      <c r="BQT11" s="175"/>
      <c r="BQU11" s="175"/>
      <c r="BQV11" s="175"/>
      <c r="BQW11" s="175"/>
      <c r="BQX11" s="175"/>
      <c r="BQY11" s="175"/>
      <c r="BQZ11" s="175"/>
      <c r="BRA11" s="175"/>
      <c r="BRB11" s="175"/>
      <c r="BRC11" s="175"/>
      <c r="BRD11" s="175"/>
      <c r="BRE11" s="175"/>
      <c r="BRF11" s="175"/>
      <c r="BRG11" s="175"/>
      <c r="BRH11" s="175"/>
      <c r="BRI11" s="175"/>
      <c r="BRJ11" s="175"/>
      <c r="BRK11" s="175"/>
      <c r="BRL11" s="175"/>
      <c r="BRM11" s="175"/>
      <c r="BRN11" s="175"/>
      <c r="BRO11" s="175"/>
      <c r="BRP11" s="175"/>
      <c r="BRQ11" s="175"/>
      <c r="BRR11" s="175"/>
      <c r="BRS11" s="175"/>
      <c r="BRT11" s="175"/>
      <c r="BRU11" s="175"/>
      <c r="BRV11" s="175"/>
      <c r="BRW11" s="175"/>
      <c r="BRX11" s="175"/>
      <c r="BRY11" s="175"/>
      <c r="BRZ11" s="175"/>
      <c r="BSA11" s="175"/>
      <c r="BSB11" s="175"/>
      <c r="BSC11" s="175"/>
      <c r="BSD11" s="175"/>
      <c r="BSE11" s="175"/>
      <c r="BSF11" s="175"/>
      <c r="BSG11" s="175"/>
      <c r="BSH11" s="175"/>
      <c r="BSI11" s="175"/>
      <c r="BSJ11" s="175"/>
      <c r="BSK11" s="175"/>
      <c r="BSL11" s="175"/>
      <c r="BSM11" s="175"/>
      <c r="BSN11" s="175"/>
      <c r="BSO11" s="175"/>
      <c r="BSP11" s="175"/>
      <c r="BSQ11" s="175"/>
      <c r="BSR11" s="175"/>
      <c r="BSS11" s="175"/>
      <c r="BST11" s="175"/>
      <c r="BSU11" s="175"/>
      <c r="BSV11" s="175"/>
      <c r="BSW11" s="175"/>
      <c r="BSX11" s="175"/>
      <c r="BSY11" s="175"/>
      <c r="BSZ11" s="175"/>
      <c r="BTA11" s="175"/>
      <c r="BTB11" s="175"/>
      <c r="BTC11" s="175"/>
      <c r="BTD11" s="175"/>
      <c r="BTE11" s="175"/>
      <c r="BTF11" s="175"/>
      <c r="BTG11" s="175"/>
      <c r="BTH11" s="175"/>
      <c r="BTI11" s="175"/>
      <c r="BTJ11" s="175"/>
      <c r="BTK11" s="175"/>
      <c r="BTL11" s="175"/>
      <c r="BTM11" s="175"/>
      <c r="BTN11" s="175"/>
      <c r="BTO11" s="175"/>
      <c r="BTP11" s="175"/>
      <c r="BTQ11" s="175"/>
      <c r="BTR11" s="175"/>
      <c r="BTS11" s="175"/>
      <c r="BTT11" s="175"/>
      <c r="BTU11" s="175"/>
      <c r="BTV11" s="175"/>
      <c r="BTW11" s="175"/>
      <c r="BTX11" s="175"/>
      <c r="BTY11" s="175"/>
      <c r="BTZ11" s="175"/>
      <c r="BUA11" s="175"/>
      <c r="BUB11" s="175"/>
      <c r="BUC11" s="175"/>
      <c r="BUD11" s="175"/>
      <c r="BUE11" s="175"/>
      <c r="BUF11" s="175"/>
      <c r="BUG11" s="175"/>
      <c r="BUH11" s="175"/>
      <c r="BUI11" s="175"/>
      <c r="BUJ11" s="175"/>
      <c r="BUK11" s="175"/>
      <c r="BUL11" s="175"/>
      <c r="BUM11" s="175"/>
      <c r="BUN11" s="175"/>
      <c r="BUO11" s="175"/>
      <c r="BUP11" s="175"/>
      <c r="BUQ11" s="175"/>
      <c r="BUR11" s="175"/>
      <c r="BUS11" s="175"/>
      <c r="BUT11" s="175"/>
      <c r="BUU11" s="175"/>
      <c r="BUV11" s="175"/>
      <c r="BUW11" s="175"/>
      <c r="BUX11" s="175"/>
      <c r="BUY11" s="175"/>
      <c r="BUZ11" s="175"/>
      <c r="BVA11" s="175"/>
      <c r="BVB11" s="75"/>
    </row>
    <row r="12" spans="1:1926" ht="15.75" customHeight="1" thickBot="1" x14ac:dyDescent="0.3">
      <c r="B12" s="81"/>
      <c r="C12" s="193"/>
      <c r="D12" s="193"/>
      <c r="E12" s="193"/>
      <c r="F12" s="194" t="s">
        <v>47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46</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176" t="s">
        <v>47</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t="s">
        <v>46</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47</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46</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47</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46</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47</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46</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47</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46</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46</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46</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46</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47</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46</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47</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46</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47</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46</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176"/>
      <c r="BJO12" s="176"/>
      <c r="BJP12" s="176"/>
      <c r="BJQ12" s="176"/>
      <c r="BJR12" s="176"/>
      <c r="BJS12" s="176"/>
      <c r="BJT12" s="176"/>
      <c r="BJU12" s="176"/>
      <c r="BJV12" s="176"/>
      <c r="BJW12" s="176"/>
      <c r="BJX12" s="176"/>
      <c r="BJY12" s="176"/>
      <c r="BJZ12" s="176"/>
      <c r="BKA12" s="176"/>
      <c r="BKB12" s="176"/>
      <c r="BKC12" s="176"/>
      <c r="BKD12" s="176"/>
      <c r="BKE12" s="176"/>
      <c r="BKF12" s="176"/>
      <c r="BKG12" s="176"/>
      <c r="BKH12" s="176"/>
      <c r="BKI12" s="176"/>
      <c r="BKJ12" s="176"/>
      <c r="BKK12" s="176"/>
      <c r="BKL12" s="176"/>
      <c r="BKM12" s="176"/>
      <c r="BKN12" s="176"/>
      <c r="BKO12" s="176"/>
      <c r="BKP12" s="176"/>
      <c r="BKQ12" s="176"/>
      <c r="BKR12" s="176"/>
      <c r="BKS12" s="176"/>
      <c r="BKT12" s="176"/>
      <c r="BKU12" s="176"/>
      <c r="BKV12" s="176"/>
      <c r="BKW12" s="176"/>
      <c r="BKX12" s="176"/>
      <c r="BKY12" s="176"/>
      <c r="BKZ12" s="176"/>
      <c r="BLA12" s="176"/>
      <c r="BLB12" s="176"/>
      <c r="BLC12" s="176"/>
      <c r="BLD12" s="176"/>
      <c r="BLE12" s="176"/>
      <c r="BLF12" s="176"/>
      <c r="BLG12" s="176"/>
      <c r="BLH12" s="176"/>
      <c r="BLI12" s="176"/>
      <c r="BLJ12" s="176"/>
      <c r="BLK12" s="176"/>
      <c r="BLL12" s="176"/>
      <c r="BLM12" s="176"/>
      <c r="BLN12" s="176"/>
      <c r="BLO12" s="176"/>
      <c r="BLP12" s="176"/>
      <c r="BLQ12" s="176"/>
      <c r="BLR12" s="176"/>
      <c r="BLS12" s="176"/>
      <c r="BLT12" s="176"/>
      <c r="BLU12" s="176"/>
      <c r="BLV12" s="176"/>
      <c r="BLW12" s="176"/>
      <c r="BLX12" s="176"/>
      <c r="BLY12" s="176"/>
      <c r="BLZ12" s="176"/>
      <c r="BMA12" s="176"/>
      <c r="BMB12" s="176"/>
      <c r="BMC12" s="176"/>
      <c r="BMD12" s="176"/>
      <c r="BME12" s="176"/>
      <c r="BMF12" s="176"/>
      <c r="BMG12" s="176"/>
      <c r="BMH12" s="176"/>
      <c r="BMI12" s="176"/>
      <c r="BMJ12" s="176"/>
      <c r="BMK12" s="176"/>
      <c r="BML12" s="176"/>
      <c r="BMM12" s="176"/>
      <c r="BMN12" s="176"/>
      <c r="BMO12" s="176"/>
      <c r="BMP12" s="176"/>
      <c r="BMQ12" s="176"/>
      <c r="BMR12" s="176"/>
      <c r="BMS12" s="176"/>
      <c r="BMT12" s="176"/>
      <c r="BMU12" s="176"/>
      <c r="BMV12" s="176"/>
      <c r="BMW12" s="176"/>
      <c r="BMX12" s="176"/>
      <c r="BMY12" s="176"/>
      <c r="BMZ12" s="176"/>
      <c r="BNA12" s="176"/>
      <c r="BNB12" s="176"/>
      <c r="BNC12" s="176"/>
      <c r="BND12" s="176"/>
      <c r="BNE12" s="176"/>
      <c r="BNF12" s="176"/>
      <c r="BNG12" s="176"/>
      <c r="BNH12" s="176"/>
      <c r="BNI12" s="176"/>
      <c r="BNJ12" s="176"/>
      <c r="BNK12" s="176"/>
      <c r="BNL12" s="176"/>
      <c r="BNM12" s="176"/>
      <c r="BNN12" s="176"/>
      <c r="BNO12" s="176"/>
      <c r="BNP12" s="176"/>
      <c r="BNQ12" s="176"/>
      <c r="BNR12" s="176"/>
      <c r="BNS12" s="176"/>
      <c r="BNT12" s="176"/>
      <c r="BNU12" s="176"/>
      <c r="BNV12" s="176"/>
      <c r="BNW12" s="176"/>
      <c r="BNX12" s="176"/>
      <c r="BNY12" s="176"/>
      <c r="BNZ12" s="176"/>
      <c r="BOA12" s="176"/>
      <c r="BOB12" s="176"/>
      <c r="BOC12" s="176"/>
      <c r="BOD12" s="176"/>
      <c r="BOE12" s="176"/>
      <c r="BOF12" s="176"/>
      <c r="BOG12" s="176"/>
      <c r="BOH12" s="176"/>
      <c r="BOI12" s="176"/>
      <c r="BOJ12" s="176"/>
      <c r="BOK12" s="176"/>
      <c r="BOL12" s="176"/>
      <c r="BOM12" s="176"/>
      <c r="BON12" s="176"/>
      <c r="BOO12" s="176"/>
      <c r="BOP12" s="176"/>
      <c r="BOQ12" s="176"/>
      <c r="BOR12" s="176"/>
      <c r="BOS12" s="176"/>
      <c r="BOT12" s="176"/>
      <c r="BOU12" s="176"/>
      <c r="BOV12" s="176"/>
      <c r="BOW12" s="176"/>
      <c r="BOX12" s="176"/>
      <c r="BOY12" s="176"/>
      <c r="BOZ12" s="176"/>
      <c r="BPA12" s="176"/>
      <c r="BPB12" s="176"/>
      <c r="BPC12" s="176"/>
      <c r="BPD12" s="176"/>
      <c r="BPE12" s="176"/>
      <c r="BPF12" s="176"/>
      <c r="BPG12" s="176"/>
      <c r="BPH12" s="176"/>
      <c r="BPI12" s="176"/>
      <c r="BPJ12" s="176"/>
      <c r="BPK12" s="176"/>
      <c r="BPL12" s="176"/>
      <c r="BPM12" s="176"/>
      <c r="BPN12" s="176"/>
      <c r="BPO12" s="176"/>
      <c r="BPP12" s="176"/>
      <c r="BPQ12" s="176"/>
      <c r="BPR12" s="176"/>
      <c r="BPS12" s="176"/>
      <c r="BPT12" s="176"/>
      <c r="BPU12" s="176"/>
      <c r="BPV12" s="176"/>
      <c r="BPW12" s="176"/>
      <c r="BPX12" s="176"/>
      <c r="BPY12" s="176"/>
      <c r="BPZ12" s="176"/>
      <c r="BQA12" s="176"/>
      <c r="BQB12" s="176"/>
      <c r="BQC12" s="176"/>
      <c r="BQD12" s="176"/>
      <c r="BQE12" s="176"/>
      <c r="BQF12" s="176"/>
      <c r="BQG12" s="176"/>
      <c r="BQH12" s="176"/>
      <c r="BQI12" s="176"/>
      <c r="BQJ12" s="176"/>
      <c r="BQK12" s="176"/>
      <c r="BQL12" s="176"/>
      <c r="BQM12" s="176"/>
      <c r="BQN12" s="176"/>
      <c r="BQO12" s="176"/>
      <c r="BQP12" s="176"/>
      <c r="BQQ12" s="176"/>
      <c r="BQR12" s="176"/>
      <c r="BQS12" s="176"/>
      <c r="BQT12" s="176"/>
      <c r="BQU12" s="176"/>
      <c r="BQV12" s="176"/>
      <c r="BQW12" s="176"/>
      <c r="BQX12" s="176"/>
      <c r="BQY12" s="176"/>
      <c r="BQZ12" s="176"/>
      <c r="BRA12" s="176"/>
      <c r="BRB12" s="176"/>
      <c r="BRC12" s="176"/>
      <c r="BRD12" s="176"/>
      <c r="BRE12" s="176"/>
      <c r="BRF12" s="176"/>
      <c r="BRG12" s="176"/>
      <c r="BRH12" s="176"/>
      <c r="BRI12" s="176"/>
      <c r="BRJ12" s="176"/>
      <c r="BRK12" s="176"/>
      <c r="BRL12" s="176"/>
      <c r="BRM12" s="176"/>
      <c r="BRN12" s="176"/>
      <c r="BRO12" s="176"/>
      <c r="BRP12" s="176"/>
      <c r="BRQ12" s="176"/>
      <c r="BRR12" s="176"/>
      <c r="BRS12" s="176"/>
      <c r="BRT12" s="176"/>
      <c r="BRU12" s="176"/>
      <c r="BRV12" s="176"/>
      <c r="BRW12" s="176"/>
      <c r="BRX12" s="176"/>
      <c r="BRY12" s="176"/>
      <c r="BRZ12" s="176"/>
      <c r="BSA12" s="176"/>
      <c r="BSB12" s="176"/>
      <c r="BSC12" s="176"/>
      <c r="BSD12" s="176"/>
      <c r="BSE12" s="176"/>
      <c r="BSF12" s="176"/>
      <c r="BSG12" s="176"/>
      <c r="BSH12" s="176"/>
      <c r="BSI12" s="176"/>
      <c r="BSJ12" s="176"/>
      <c r="BSK12" s="176"/>
      <c r="BSL12" s="176"/>
      <c r="BSM12" s="176"/>
      <c r="BSN12" s="176"/>
      <c r="BSO12" s="176"/>
      <c r="BSP12" s="176"/>
      <c r="BSQ12" s="176"/>
      <c r="BSR12" s="176"/>
      <c r="BSS12" s="176"/>
      <c r="BST12" s="176"/>
      <c r="BSU12" s="176"/>
      <c r="BSV12" s="176"/>
      <c r="BSW12" s="176"/>
      <c r="BSX12" s="176"/>
      <c r="BSY12" s="176"/>
      <c r="BSZ12" s="176"/>
      <c r="BTA12" s="176"/>
      <c r="BTB12" s="176"/>
      <c r="BTC12" s="176"/>
      <c r="BTD12" s="176"/>
      <c r="BTE12" s="176"/>
      <c r="BTF12" s="176"/>
      <c r="BTG12" s="176"/>
      <c r="BTH12" s="176"/>
      <c r="BTI12" s="176"/>
      <c r="BTJ12" s="176"/>
      <c r="BTK12" s="176"/>
      <c r="BTL12" s="176"/>
      <c r="BTM12" s="176"/>
      <c r="BTN12" s="176"/>
      <c r="BTO12" s="176"/>
      <c r="BTP12" s="176"/>
      <c r="BTQ12" s="176"/>
      <c r="BTR12" s="176"/>
      <c r="BTS12" s="176"/>
      <c r="BTT12" s="176"/>
      <c r="BTU12" s="176"/>
      <c r="BTV12" s="176"/>
      <c r="BTW12" s="176"/>
      <c r="BTX12" s="176"/>
      <c r="BTY12" s="176"/>
      <c r="BTZ12" s="176"/>
      <c r="BUA12" s="176"/>
      <c r="BUB12" s="176"/>
      <c r="BUC12" s="176"/>
      <c r="BUD12" s="176"/>
      <c r="BUE12" s="176"/>
      <c r="BUF12" s="176"/>
      <c r="BUG12" s="176"/>
      <c r="BUH12" s="176"/>
      <c r="BUI12" s="176"/>
      <c r="BUJ12" s="176"/>
      <c r="BUK12" s="176"/>
      <c r="BUL12" s="176"/>
      <c r="BUM12" s="176"/>
      <c r="BUN12" s="176"/>
      <c r="BUO12" s="176"/>
      <c r="BUP12" s="176"/>
      <c r="BUQ12" s="176"/>
      <c r="BUR12" s="176"/>
      <c r="BUS12" s="176"/>
      <c r="BUT12" s="176"/>
      <c r="BUU12" s="176"/>
      <c r="BUV12" s="176"/>
      <c r="BUW12" s="176"/>
      <c r="BUX12" s="176"/>
      <c r="BUY12" s="176"/>
      <c r="BUZ12" s="176"/>
      <c r="BVA12" s="176"/>
      <c r="BVB12" s="75"/>
    </row>
    <row r="13" spans="1:1926" ht="42.75" customHeight="1" thickBot="1" x14ac:dyDescent="0.3">
      <c r="B13" s="53"/>
      <c r="C13" s="188" t="s">
        <v>7</v>
      </c>
      <c r="D13" s="127"/>
      <c r="E13" s="190" t="s">
        <v>40</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28</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19</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106</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104</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103</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101</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100</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98</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97</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95</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93</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92</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90</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89</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87</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86</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84</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83</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81</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79</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78</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76</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75</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73</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72</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70</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177" t="s">
        <v>12</v>
      </c>
      <c r="BJO13" s="178"/>
      <c r="BJP13" s="178"/>
      <c r="BJQ13" s="178"/>
      <c r="BJR13" s="178"/>
      <c r="BJS13" s="178"/>
      <c r="BJT13" s="178"/>
      <c r="BJU13" s="178"/>
      <c r="BJV13" s="178"/>
      <c r="BJW13" s="178"/>
      <c r="BJX13" s="178"/>
      <c r="BJY13" s="178"/>
      <c r="BJZ13" s="178"/>
      <c r="BKA13" s="178"/>
      <c r="BKB13" s="178"/>
      <c r="BKC13" s="178"/>
      <c r="BKD13" s="178"/>
      <c r="BKE13" s="178"/>
      <c r="BKF13" s="178"/>
      <c r="BKG13" s="178"/>
      <c r="BKH13" s="178"/>
      <c r="BKI13" s="178"/>
      <c r="BKJ13" s="178"/>
      <c r="BKK13" s="178"/>
      <c r="BKL13" s="178"/>
      <c r="BKM13" s="178"/>
      <c r="BKN13" s="178"/>
      <c r="BKO13" s="178"/>
      <c r="BKP13" s="178"/>
      <c r="BKQ13" s="178"/>
      <c r="BKR13" s="178"/>
      <c r="BKS13" s="178"/>
      <c r="BKT13" s="178"/>
      <c r="BKU13" s="178"/>
      <c r="BKV13" s="178"/>
      <c r="BKW13" s="178"/>
      <c r="BKX13" s="178"/>
      <c r="BKY13" s="178"/>
      <c r="BKZ13" s="178"/>
      <c r="BLA13" s="178"/>
      <c r="BLB13" s="178"/>
      <c r="BLC13" s="178"/>
      <c r="BLD13" s="178"/>
      <c r="BLE13" s="178"/>
      <c r="BLF13" s="178"/>
      <c r="BLG13" s="178"/>
      <c r="BLH13" s="178"/>
      <c r="BLI13" s="178"/>
      <c r="BLJ13" s="178"/>
      <c r="BLK13" s="178"/>
      <c r="BLL13" s="178"/>
      <c r="BLM13" s="178"/>
      <c r="BLN13" s="178"/>
      <c r="BLO13" s="178"/>
      <c r="BLP13" s="178"/>
      <c r="BLQ13" s="178"/>
      <c r="BLR13" s="178"/>
      <c r="BLS13" s="178"/>
      <c r="BLT13" s="178"/>
      <c r="BLU13" s="179"/>
      <c r="BLV13" s="177" t="s">
        <v>12</v>
      </c>
      <c r="BLW13" s="178"/>
      <c r="BLX13" s="178"/>
      <c r="BLY13" s="178"/>
      <c r="BLZ13" s="178"/>
      <c r="BMA13" s="178"/>
      <c r="BMB13" s="178"/>
      <c r="BMC13" s="178"/>
      <c r="BMD13" s="178"/>
      <c r="BME13" s="178"/>
      <c r="BMF13" s="178"/>
      <c r="BMG13" s="178"/>
      <c r="BMH13" s="178"/>
      <c r="BMI13" s="178"/>
      <c r="BMJ13" s="178"/>
      <c r="BMK13" s="178"/>
      <c r="BML13" s="178"/>
      <c r="BMM13" s="178"/>
      <c r="BMN13" s="178"/>
      <c r="BMO13" s="178"/>
      <c r="BMP13" s="178"/>
      <c r="BMQ13" s="178"/>
      <c r="BMR13" s="178"/>
      <c r="BMS13" s="178"/>
      <c r="BMT13" s="178"/>
      <c r="BMU13" s="178"/>
      <c r="BMV13" s="178"/>
      <c r="BMW13" s="178"/>
      <c r="BMX13" s="178"/>
      <c r="BMY13" s="178"/>
      <c r="BMZ13" s="178"/>
      <c r="BNA13" s="178"/>
      <c r="BNB13" s="178"/>
      <c r="BNC13" s="178"/>
      <c r="BND13" s="178"/>
      <c r="BNE13" s="178"/>
      <c r="BNF13" s="178"/>
      <c r="BNG13" s="178"/>
      <c r="BNH13" s="178"/>
      <c r="BNI13" s="178"/>
      <c r="BNJ13" s="178"/>
      <c r="BNK13" s="178"/>
      <c r="BNL13" s="178"/>
      <c r="BNM13" s="178"/>
      <c r="BNN13" s="178"/>
      <c r="BNO13" s="178"/>
      <c r="BNP13" s="178"/>
      <c r="BNQ13" s="178"/>
      <c r="BNR13" s="178"/>
      <c r="BNS13" s="178"/>
      <c r="BNT13" s="178"/>
      <c r="BNU13" s="178"/>
      <c r="BNV13" s="178"/>
      <c r="BNW13" s="178"/>
      <c r="BNX13" s="178"/>
      <c r="BNY13" s="178"/>
      <c r="BNZ13" s="178"/>
      <c r="BOA13" s="178"/>
      <c r="BOB13" s="178"/>
      <c r="BOC13" s="179"/>
      <c r="BOD13" s="177" t="s">
        <v>12</v>
      </c>
      <c r="BOE13" s="178"/>
      <c r="BOF13" s="178"/>
      <c r="BOG13" s="178"/>
      <c r="BOH13" s="178"/>
      <c r="BOI13" s="178"/>
      <c r="BOJ13" s="178"/>
      <c r="BOK13" s="178"/>
      <c r="BOL13" s="178"/>
      <c r="BOM13" s="178"/>
      <c r="BON13" s="178"/>
      <c r="BOO13" s="178"/>
      <c r="BOP13" s="178"/>
      <c r="BOQ13" s="178"/>
      <c r="BOR13" s="178"/>
      <c r="BOS13" s="178"/>
      <c r="BOT13" s="178"/>
      <c r="BOU13" s="178"/>
      <c r="BOV13" s="178"/>
      <c r="BOW13" s="178"/>
      <c r="BOX13" s="178"/>
      <c r="BOY13" s="178"/>
      <c r="BOZ13" s="178"/>
      <c r="BPA13" s="178"/>
      <c r="BPB13" s="178"/>
      <c r="BPC13" s="178"/>
      <c r="BPD13" s="178"/>
      <c r="BPE13" s="178"/>
      <c r="BPF13" s="178"/>
      <c r="BPG13" s="178"/>
      <c r="BPH13" s="178"/>
      <c r="BPI13" s="178"/>
      <c r="BPJ13" s="178"/>
      <c r="BPK13" s="178"/>
      <c r="BPL13" s="178"/>
      <c r="BPM13" s="178"/>
      <c r="BPN13" s="178"/>
      <c r="BPO13" s="178"/>
      <c r="BPP13" s="178"/>
      <c r="BPQ13" s="178"/>
      <c r="BPR13" s="178"/>
      <c r="BPS13" s="178"/>
      <c r="BPT13" s="178"/>
      <c r="BPU13" s="178"/>
      <c r="BPV13" s="178"/>
      <c r="BPW13" s="178"/>
      <c r="BPX13" s="178"/>
      <c r="BPY13" s="178"/>
      <c r="BPZ13" s="178"/>
      <c r="BQA13" s="178"/>
      <c r="BQB13" s="178"/>
      <c r="BQC13" s="178"/>
      <c r="BQD13" s="178"/>
      <c r="BQE13" s="178"/>
      <c r="BQF13" s="178"/>
      <c r="BQG13" s="178"/>
      <c r="BQH13" s="178"/>
      <c r="BQI13" s="178"/>
      <c r="BQJ13" s="178"/>
      <c r="BQK13" s="179"/>
      <c r="BQL13" s="177" t="s">
        <v>12</v>
      </c>
      <c r="BQM13" s="178"/>
      <c r="BQN13" s="178"/>
      <c r="BQO13" s="178"/>
      <c r="BQP13" s="178"/>
      <c r="BQQ13" s="178"/>
      <c r="BQR13" s="178"/>
      <c r="BQS13" s="178"/>
      <c r="BQT13" s="178"/>
      <c r="BQU13" s="178"/>
      <c r="BQV13" s="178"/>
      <c r="BQW13" s="178"/>
      <c r="BQX13" s="178"/>
      <c r="BQY13" s="178"/>
      <c r="BQZ13" s="178"/>
      <c r="BRA13" s="178"/>
      <c r="BRB13" s="178"/>
      <c r="BRC13" s="178"/>
      <c r="BRD13" s="178"/>
      <c r="BRE13" s="178"/>
      <c r="BRF13" s="178"/>
      <c r="BRG13" s="178"/>
      <c r="BRH13" s="178"/>
      <c r="BRI13" s="178"/>
      <c r="BRJ13" s="178"/>
      <c r="BRK13" s="178"/>
      <c r="BRL13" s="178"/>
      <c r="BRM13" s="178"/>
      <c r="BRN13" s="178"/>
      <c r="BRO13" s="178"/>
      <c r="BRP13" s="178"/>
      <c r="BRQ13" s="178"/>
      <c r="BRR13" s="178"/>
      <c r="BRS13" s="178"/>
      <c r="BRT13" s="178"/>
      <c r="BRU13" s="178"/>
      <c r="BRV13" s="178"/>
      <c r="BRW13" s="178"/>
      <c r="BRX13" s="178"/>
      <c r="BRY13" s="178"/>
      <c r="BRZ13" s="178"/>
      <c r="BSA13" s="178"/>
      <c r="BSB13" s="178"/>
      <c r="BSC13" s="178"/>
      <c r="BSD13" s="178"/>
      <c r="BSE13" s="178"/>
      <c r="BSF13" s="178"/>
      <c r="BSG13" s="178"/>
      <c r="BSH13" s="178"/>
      <c r="BSI13" s="178"/>
      <c r="BSJ13" s="178"/>
      <c r="BSK13" s="178"/>
      <c r="BSL13" s="178"/>
      <c r="BSM13" s="178"/>
      <c r="BSN13" s="178"/>
      <c r="BSO13" s="178"/>
      <c r="BSP13" s="178"/>
      <c r="BSQ13" s="178"/>
      <c r="BSR13" s="178"/>
      <c r="BSS13" s="179"/>
      <c r="BST13" s="177" t="s">
        <v>12</v>
      </c>
      <c r="BSU13" s="178"/>
      <c r="BSV13" s="178"/>
      <c r="BSW13" s="178"/>
      <c r="BSX13" s="178"/>
      <c r="BSY13" s="178"/>
      <c r="BSZ13" s="178"/>
      <c r="BTA13" s="178"/>
      <c r="BTB13" s="178"/>
      <c r="BTC13" s="178"/>
      <c r="BTD13" s="178"/>
      <c r="BTE13" s="178"/>
      <c r="BTF13" s="178"/>
      <c r="BTG13" s="178"/>
      <c r="BTH13" s="178"/>
      <c r="BTI13" s="178"/>
      <c r="BTJ13" s="178"/>
      <c r="BTK13" s="178"/>
      <c r="BTL13" s="178"/>
      <c r="BTM13" s="178"/>
      <c r="BTN13" s="178"/>
      <c r="BTO13" s="178"/>
      <c r="BTP13" s="178"/>
      <c r="BTQ13" s="178"/>
      <c r="BTR13" s="178"/>
      <c r="BTS13" s="178"/>
      <c r="BTT13" s="178"/>
      <c r="BTU13" s="178"/>
      <c r="BTV13" s="178"/>
      <c r="BTW13" s="178"/>
      <c r="BTX13" s="178"/>
      <c r="BTY13" s="178"/>
      <c r="BTZ13" s="178"/>
      <c r="BUA13" s="178"/>
      <c r="BUB13" s="178"/>
      <c r="BUC13" s="178"/>
      <c r="BUD13" s="178"/>
      <c r="BUE13" s="178"/>
      <c r="BUF13" s="178"/>
      <c r="BUG13" s="178"/>
      <c r="BUH13" s="178"/>
      <c r="BUI13" s="178"/>
      <c r="BUJ13" s="178"/>
      <c r="BUK13" s="178"/>
      <c r="BUL13" s="178"/>
      <c r="BUM13" s="178"/>
      <c r="BUN13" s="178"/>
      <c r="BUO13" s="178"/>
      <c r="BUP13" s="178"/>
      <c r="BUQ13" s="178"/>
      <c r="BUR13" s="178"/>
      <c r="BUS13" s="178"/>
      <c r="BUT13" s="178"/>
      <c r="BUU13" s="178"/>
      <c r="BUV13" s="178"/>
      <c r="BUW13" s="178"/>
      <c r="BUX13" s="178"/>
      <c r="BUY13" s="178"/>
      <c r="BUZ13" s="178"/>
      <c r="BVA13" s="179"/>
      <c r="BVB13" s="75"/>
    </row>
    <row r="14" spans="1:1926" ht="12.75" customHeight="1" thickBot="1" x14ac:dyDescent="0.35">
      <c r="B14" s="53"/>
      <c r="C14" s="189"/>
      <c r="D14" s="128"/>
      <c r="E14" s="191"/>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8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5"/>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8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86"/>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8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86"/>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8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8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8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8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8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8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86"/>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8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5"/>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2" t="s">
        <v>9</v>
      </c>
      <c r="D95" s="203"/>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4"/>
      <c r="D96" s="205"/>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98" t="s">
        <v>10</v>
      </c>
      <c r="D97" s="19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0"/>
      <c r="D98" s="20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197" activePane="bottomLeft" state="frozen"/>
      <selection activeCell="BC13" sqref="BC13"/>
      <selection pane="bottomLeft" activeCell="D214" sqref="D21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6" t="s">
        <v>14</v>
      </c>
      <c r="F3" s="207"/>
      <c r="G3" s="39"/>
    </row>
    <row r="4" spans="1:7" s="44" customFormat="1" x14ac:dyDescent="0.3">
      <c r="A4" s="41" t="s">
        <v>16</v>
      </c>
      <c r="B4" s="42">
        <v>16</v>
      </c>
      <c r="C4" s="135" t="str">
        <f xml:space="preserve"> IF(B4="","",setValueToTime(B4))</f>
        <v>1h20min</v>
      </c>
      <c r="D4" s="43" t="s">
        <v>55</v>
      </c>
      <c r="E4" s="208"/>
      <c r="F4" s="209"/>
      <c r="G4" s="3"/>
    </row>
    <row r="5" spans="1:7" s="44" customFormat="1" x14ac:dyDescent="0.3">
      <c r="A5" s="45" t="s">
        <v>17</v>
      </c>
      <c r="B5" s="46">
        <v>6</v>
      </c>
      <c r="C5" s="136" t="str">
        <f t="shared" ref="C5:C11" si="0" xml:space="preserve"> IF(B5="","",setValueToTime(B5))</f>
        <v>0h30min</v>
      </c>
      <c r="D5" s="47" t="s">
        <v>53</v>
      </c>
      <c r="E5" s="210"/>
      <c r="F5" s="211"/>
      <c r="G5" s="3"/>
    </row>
    <row r="6" spans="1:7" s="44" customFormat="1" x14ac:dyDescent="0.3">
      <c r="A6" s="45" t="s">
        <v>111</v>
      </c>
      <c r="B6" s="46">
        <v>6</v>
      </c>
      <c r="C6" s="136" t="str">
        <f t="shared" si="0"/>
        <v>0h30min</v>
      </c>
      <c r="D6" s="47" t="s">
        <v>142</v>
      </c>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6" t="s">
        <v>14</v>
      </c>
      <c r="F15" s="207"/>
      <c r="G15" s="39"/>
    </row>
    <row r="16" spans="1:7" s="44" customFormat="1" x14ac:dyDescent="0.3">
      <c r="A16" s="41" t="s">
        <v>16</v>
      </c>
      <c r="B16" s="42">
        <v>47</v>
      </c>
      <c r="C16" s="135" t="str">
        <f xml:space="preserve"> IF(B16="","",setValueToTime(B16))</f>
        <v>3h55min</v>
      </c>
      <c r="D16" s="43" t="s">
        <v>55</v>
      </c>
      <c r="E16" s="208"/>
      <c r="F16" s="209"/>
      <c r="G16" s="3"/>
    </row>
    <row r="17" spans="1:7" s="44" customFormat="1" x14ac:dyDescent="0.3">
      <c r="A17" s="45" t="s">
        <v>17</v>
      </c>
      <c r="B17" s="46">
        <v>1</v>
      </c>
      <c r="C17" s="136" t="str">
        <f t="shared" ref="C17:C23" si="1" xml:space="preserve"> IF(B17="","",setValueToTime(B17))</f>
        <v>0h5min</v>
      </c>
      <c r="D17" s="47" t="s">
        <v>53</v>
      </c>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6" t="s">
        <v>14</v>
      </c>
      <c r="F27" s="207"/>
      <c r="G27" s="39"/>
    </row>
    <row r="28" spans="1:7" s="44" customFormat="1" x14ac:dyDescent="0.3">
      <c r="A28" s="41" t="s">
        <v>16</v>
      </c>
      <c r="B28" s="42">
        <v>37</v>
      </c>
      <c r="C28" s="135" t="str">
        <f xml:space="preserve"> IF(B28="","",setValueToTime(B28))</f>
        <v>3h5min</v>
      </c>
      <c r="D28" s="43" t="s">
        <v>55</v>
      </c>
      <c r="E28" s="208"/>
      <c r="F28" s="209"/>
      <c r="G28" s="3"/>
    </row>
    <row r="29" spans="1:7" s="44" customFormat="1" x14ac:dyDescent="0.3">
      <c r="A29" s="45" t="s">
        <v>17</v>
      </c>
      <c r="B29" s="46">
        <v>1</v>
      </c>
      <c r="C29" s="136" t="str">
        <f t="shared" ref="C29:C35" si="2" xml:space="preserve"> IF(B29="","",setValueToTime(B29))</f>
        <v>0h5min</v>
      </c>
      <c r="D29" s="47" t="s">
        <v>53</v>
      </c>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6" t="s">
        <v>14</v>
      </c>
      <c r="F39" s="207"/>
      <c r="G39" s="39"/>
    </row>
    <row r="40" spans="1:7" s="44" customFormat="1" x14ac:dyDescent="0.3">
      <c r="A40" s="41" t="s">
        <v>16</v>
      </c>
      <c r="B40" s="42">
        <v>47</v>
      </c>
      <c r="C40" s="135" t="str">
        <f xml:space="preserve"> IF(B40="","",setValueToTime(B40))</f>
        <v>3h55min</v>
      </c>
      <c r="D40" s="43" t="s">
        <v>55</v>
      </c>
      <c r="E40" s="208"/>
      <c r="F40" s="209"/>
      <c r="G40" s="3"/>
    </row>
    <row r="41" spans="1:7" s="44" customFormat="1" x14ac:dyDescent="0.3">
      <c r="A41" s="45" t="s">
        <v>17</v>
      </c>
      <c r="B41" s="46">
        <v>1</v>
      </c>
      <c r="C41" s="136" t="str">
        <f t="shared" ref="C41:C47" si="3" xml:space="preserve"> IF(B41="","",setValueToTime(B41))</f>
        <v>0h5min</v>
      </c>
      <c r="D41" s="47" t="s">
        <v>53</v>
      </c>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6" t="s">
        <v>14</v>
      </c>
      <c r="F51" s="207"/>
      <c r="G51" s="39"/>
    </row>
    <row r="52" spans="1:7" s="44" customFormat="1" x14ac:dyDescent="0.3">
      <c r="A52" s="41" t="s">
        <v>16</v>
      </c>
      <c r="B52" s="42">
        <v>37</v>
      </c>
      <c r="C52" s="135" t="str">
        <f xml:space="preserve"> IF(B52="","",setValueToTime(B52))</f>
        <v>3h5min</v>
      </c>
      <c r="D52" s="43" t="s">
        <v>55</v>
      </c>
      <c r="E52" s="208"/>
      <c r="F52" s="209"/>
      <c r="G52" s="3"/>
    </row>
    <row r="53" spans="1:7" s="44" customFormat="1" x14ac:dyDescent="0.3">
      <c r="A53" s="45" t="s">
        <v>17</v>
      </c>
      <c r="B53" s="46">
        <v>1</v>
      </c>
      <c r="C53" s="136" t="str">
        <f t="shared" ref="C53:C59" si="4" xml:space="preserve"> IF(B53="","",setValueToTime(B53))</f>
        <v>0h5min</v>
      </c>
      <c r="D53" s="47" t="s">
        <v>53</v>
      </c>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6" t="s">
        <v>14</v>
      </c>
      <c r="F63" s="207"/>
      <c r="G63" s="39"/>
    </row>
    <row r="64" spans="1:7" s="44" customFormat="1" x14ac:dyDescent="0.3">
      <c r="A64" s="41" t="s">
        <v>16</v>
      </c>
      <c r="B64" s="42">
        <v>47</v>
      </c>
      <c r="C64" s="135" t="str">
        <f xml:space="preserve"> IF(B64="","",setValueToTime(B64))</f>
        <v>3h55min</v>
      </c>
      <c r="D64" s="43" t="s">
        <v>55</v>
      </c>
      <c r="E64" s="208"/>
      <c r="F64" s="209"/>
      <c r="G64" s="3"/>
    </row>
    <row r="65" spans="1:7" s="44" customFormat="1" x14ac:dyDescent="0.3">
      <c r="A65" s="45" t="s">
        <v>17</v>
      </c>
      <c r="B65" s="46">
        <v>1</v>
      </c>
      <c r="C65" s="136" t="str">
        <f t="shared" ref="C65:C71" si="5" xml:space="preserve"> IF(B65="","",setValueToTime(B65))</f>
        <v>0h5min</v>
      </c>
      <c r="D65" s="47" t="s">
        <v>53</v>
      </c>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6" t="s">
        <v>14</v>
      </c>
      <c r="F75" s="207"/>
      <c r="G75" s="39"/>
    </row>
    <row r="76" spans="1:7" s="44" customFormat="1" x14ac:dyDescent="0.3">
      <c r="A76" s="41" t="s">
        <v>16</v>
      </c>
      <c r="B76" s="42">
        <v>27</v>
      </c>
      <c r="C76" s="135" t="str">
        <f xml:space="preserve"> IF(B76="","",setValueToTime(B76))</f>
        <v>2h15min</v>
      </c>
      <c r="D76" s="43" t="s">
        <v>55</v>
      </c>
      <c r="E76" s="208"/>
      <c r="F76" s="209"/>
      <c r="G76" s="3"/>
    </row>
    <row r="77" spans="1:7" s="44" customFormat="1" x14ac:dyDescent="0.3">
      <c r="A77" s="45" t="s">
        <v>17</v>
      </c>
      <c r="B77" s="46">
        <v>1</v>
      </c>
      <c r="C77" s="136" t="str">
        <f t="shared" ref="C77:C83" si="6" xml:space="preserve"> IF(B77="","",setValueToTime(B77))</f>
        <v>0h5min</v>
      </c>
      <c r="D77" s="47"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95" t="s">
        <v>29</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6" t="s">
        <v>14</v>
      </c>
      <c r="F87" s="207"/>
      <c r="G87" s="39"/>
    </row>
    <row r="88" spans="1:7" s="44" customFormat="1" x14ac:dyDescent="0.3">
      <c r="A88" s="41" t="s">
        <v>65</v>
      </c>
      <c r="B88" s="42">
        <v>27</v>
      </c>
      <c r="C88" s="135" t="str">
        <f xml:space="preserve"> IF(B88="","",setValueToTime(B88))</f>
        <v>2h15min</v>
      </c>
      <c r="D88" s="43" t="s">
        <v>139</v>
      </c>
      <c r="E88" s="208"/>
      <c r="F88" s="209"/>
      <c r="G88" s="3"/>
    </row>
    <row r="89" spans="1:7" s="44" customFormat="1" x14ac:dyDescent="0.3">
      <c r="A89" s="45" t="s">
        <v>17</v>
      </c>
      <c r="B89" s="46">
        <v>1</v>
      </c>
      <c r="C89" s="136" t="str">
        <f t="shared" ref="C89:C95" si="7" xml:space="preserve"> IF(B89="","",setValueToTime(B89))</f>
        <v>0h5min</v>
      </c>
      <c r="D89" s="47" t="s">
        <v>53</v>
      </c>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6" t="s">
        <v>14</v>
      </c>
      <c r="F99" s="207"/>
      <c r="G99" s="39"/>
    </row>
    <row r="100" spans="1:7" s="44" customFormat="1" ht="15" thickBot="1" x14ac:dyDescent="0.35">
      <c r="A100" s="41" t="s">
        <v>67</v>
      </c>
      <c r="B100" s="42">
        <v>21</v>
      </c>
      <c r="C100" s="135" t="str">
        <f xml:space="preserve"> IF(B100="","",setValueToTime(B100))</f>
        <v>1h45min</v>
      </c>
      <c r="D100" s="43" t="s">
        <v>141</v>
      </c>
      <c r="E100" s="208"/>
      <c r="F100" s="209"/>
      <c r="G100" s="3"/>
    </row>
    <row r="101" spans="1:7" s="44" customFormat="1" x14ac:dyDescent="0.3">
      <c r="A101" s="45" t="s">
        <v>65</v>
      </c>
      <c r="B101" s="42">
        <v>26</v>
      </c>
      <c r="C101" s="136" t="str">
        <f t="shared" ref="C101:C107" si="8" xml:space="preserve"> IF(B101="","",setValueToTime(B101))</f>
        <v>2h10min</v>
      </c>
      <c r="D101" s="43" t="s">
        <v>138</v>
      </c>
      <c r="E101" s="210"/>
      <c r="F101" s="211"/>
      <c r="G101" s="3"/>
    </row>
    <row r="102" spans="1:7" s="44" customFormat="1" x14ac:dyDescent="0.3">
      <c r="A102" s="45" t="s">
        <v>17</v>
      </c>
      <c r="B102" s="46">
        <v>1</v>
      </c>
      <c r="C102" s="136" t="str">
        <f t="shared" si="8"/>
        <v>0h5min</v>
      </c>
      <c r="D102" s="47" t="s">
        <v>53</v>
      </c>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95" t="s">
        <v>29</v>
      </c>
      <c r="B108" s="69">
        <f>SUM(B100:B107)</f>
        <v>48</v>
      </c>
      <c r="C108" s="95" t="str">
        <f xml:space="preserve"> setValueToTime(B108)</f>
        <v>4h</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6" t="s">
        <v>14</v>
      </c>
      <c r="F111" s="207"/>
      <c r="G111" s="39"/>
    </row>
    <row r="112" spans="1:7" s="44" customFormat="1" x14ac:dyDescent="0.3">
      <c r="A112" s="41" t="s">
        <v>65</v>
      </c>
      <c r="B112" s="42">
        <v>12</v>
      </c>
      <c r="C112" s="135" t="str">
        <f xml:space="preserve"> IF(B112="","",setValueToTime(B112))</f>
        <v>1h</v>
      </c>
      <c r="D112" s="43" t="s">
        <v>137</v>
      </c>
      <c r="E112" s="208"/>
      <c r="F112" s="209"/>
      <c r="G112" s="3"/>
    </row>
    <row r="113" spans="1:7" s="44" customFormat="1" x14ac:dyDescent="0.3">
      <c r="A113" s="45" t="s">
        <v>67</v>
      </c>
      <c r="B113" s="46">
        <v>15</v>
      </c>
      <c r="C113" s="136" t="str">
        <f t="shared" ref="C113:C119" si="9" xml:space="preserve"> IF(B113="","",setValueToTime(B113))</f>
        <v>1h15min</v>
      </c>
      <c r="D113" s="47" t="s">
        <v>140</v>
      </c>
      <c r="E113" s="210"/>
      <c r="F113" s="211"/>
      <c r="G113" s="3"/>
    </row>
    <row r="114" spans="1:7" s="44" customFormat="1" x14ac:dyDescent="0.3">
      <c r="A114" s="45" t="s">
        <v>17</v>
      </c>
      <c r="B114" s="46">
        <v>1</v>
      </c>
      <c r="C114" s="136" t="str">
        <f t="shared" si="9"/>
        <v>0h5min</v>
      </c>
      <c r="D114" s="47" t="s">
        <v>53</v>
      </c>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6" t="s">
        <v>14</v>
      </c>
      <c r="F123" s="207"/>
      <c r="G123" s="39"/>
    </row>
    <row r="124" spans="1:7" s="44" customFormat="1" ht="27" x14ac:dyDescent="0.3">
      <c r="A124" s="41" t="s">
        <v>64</v>
      </c>
      <c r="B124" s="42">
        <v>47</v>
      </c>
      <c r="C124" s="135" t="str">
        <f xml:space="preserve"> IF(B124="","",setValueToTime(B124))</f>
        <v>3h55min</v>
      </c>
      <c r="D124" s="43" t="s">
        <v>136</v>
      </c>
      <c r="E124" s="208"/>
      <c r="F124" s="209"/>
      <c r="G124" s="3"/>
    </row>
    <row r="125" spans="1:7" s="44" customFormat="1" x14ac:dyDescent="0.3">
      <c r="A125" s="45" t="s">
        <v>17</v>
      </c>
      <c r="B125" s="46">
        <v>1</v>
      </c>
      <c r="C125" s="136" t="str">
        <f t="shared" ref="C125:C131" si="10" xml:space="preserve"> IF(B125="","",setValueToTime(B125))</f>
        <v>0h5min</v>
      </c>
      <c r="D125" s="47" t="s">
        <v>53</v>
      </c>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6" t="s">
        <v>14</v>
      </c>
      <c r="F135" s="207"/>
      <c r="G135" s="39"/>
    </row>
    <row r="136" spans="1:7" s="44" customFormat="1" x14ac:dyDescent="0.3">
      <c r="A136" s="41" t="s">
        <v>67</v>
      </c>
      <c r="B136" s="42">
        <v>18</v>
      </c>
      <c r="C136" s="135" t="str">
        <f xml:space="preserve"> IF(B136="","",setValueToTime(B136))</f>
        <v>1h30min</v>
      </c>
      <c r="D136" s="47" t="s">
        <v>60</v>
      </c>
      <c r="E136" s="208"/>
      <c r="F136" s="209"/>
      <c r="G136" s="3"/>
    </row>
    <row r="137" spans="1:7" s="44" customFormat="1" x14ac:dyDescent="0.3">
      <c r="A137" s="45" t="s">
        <v>16</v>
      </c>
      <c r="B137" s="46">
        <v>19</v>
      </c>
      <c r="C137" s="136" t="str">
        <f t="shared" ref="C137:C143" si="11" xml:space="preserve"> IF(B137="","",setValueToTime(B137))</f>
        <v>1h35min</v>
      </c>
      <c r="D137" s="47" t="s">
        <v>56</v>
      </c>
      <c r="E137" s="210"/>
      <c r="F137" s="211"/>
      <c r="G137" s="3"/>
    </row>
    <row r="138" spans="1:7" s="44" customFormat="1" x14ac:dyDescent="0.3">
      <c r="A138" s="45" t="s">
        <v>17</v>
      </c>
      <c r="B138" s="46">
        <v>1</v>
      </c>
      <c r="C138" s="136" t="str">
        <f t="shared" si="11"/>
        <v>0h5min</v>
      </c>
      <c r="D138" s="47" t="s">
        <v>53</v>
      </c>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6" t="s">
        <v>14</v>
      </c>
      <c r="F147" s="207"/>
      <c r="G147" s="39"/>
    </row>
    <row r="148" spans="1:7" s="44" customFormat="1" ht="27" x14ac:dyDescent="0.3">
      <c r="A148" s="41" t="s">
        <v>64</v>
      </c>
      <c r="B148" s="42">
        <v>4</v>
      </c>
      <c r="C148" s="135" t="str">
        <f xml:space="preserve"> IF(B148="","",setValueToTime(B148))</f>
        <v>0h20min</v>
      </c>
      <c r="D148" s="47" t="s">
        <v>135</v>
      </c>
      <c r="E148" s="208"/>
      <c r="F148" s="209"/>
      <c r="G148" s="3"/>
    </row>
    <row r="149" spans="1:7" s="44" customFormat="1" x14ac:dyDescent="0.3">
      <c r="A149" s="45" t="s">
        <v>65</v>
      </c>
      <c r="B149" s="46">
        <v>8</v>
      </c>
      <c r="C149" s="136" t="str">
        <f t="shared" ref="C149:C155" si="12" xml:space="preserve"> IF(B149="","",setValueToTime(B149))</f>
        <v>0h40min</v>
      </c>
      <c r="D149" s="47" t="s">
        <v>127</v>
      </c>
      <c r="E149" s="210"/>
      <c r="F149" s="211"/>
      <c r="G149" s="3"/>
    </row>
    <row r="150" spans="1:7" s="44" customFormat="1" x14ac:dyDescent="0.3">
      <c r="A150" s="45" t="s">
        <v>16</v>
      </c>
      <c r="B150" s="46">
        <v>35</v>
      </c>
      <c r="C150" s="136" t="str">
        <f t="shared" si="12"/>
        <v>2h55min</v>
      </c>
      <c r="D150" s="47" t="s">
        <v>56</v>
      </c>
      <c r="E150" s="210"/>
      <c r="F150" s="211"/>
      <c r="G150" s="3"/>
    </row>
    <row r="151" spans="1:7" s="44" customFormat="1" x14ac:dyDescent="0.3">
      <c r="A151" s="45" t="s">
        <v>17</v>
      </c>
      <c r="B151" s="46">
        <v>1</v>
      </c>
      <c r="C151" s="136" t="str">
        <f t="shared" si="12"/>
        <v>0h5min</v>
      </c>
      <c r="D151" s="47" t="s">
        <v>53</v>
      </c>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6" t="s">
        <v>14</v>
      </c>
      <c r="F159" s="207"/>
      <c r="G159" s="39"/>
    </row>
    <row r="160" spans="1:7" s="44" customFormat="1" ht="27" x14ac:dyDescent="0.3">
      <c r="A160" s="41" t="s">
        <v>64</v>
      </c>
      <c r="B160" s="42">
        <v>3</v>
      </c>
      <c r="C160" s="135" t="str">
        <f xml:space="preserve"> IF(B160="","",setValueToTime(B160))</f>
        <v>0h15min</v>
      </c>
      <c r="D160" s="47" t="s">
        <v>133</v>
      </c>
      <c r="E160" s="208"/>
      <c r="F160" s="209"/>
      <c r="G160" s="3"/>
    </row>
    <row r="161" spans="1:7" s="44" customFormat="1" x14ac:dyDescent="0.3">
      <c r="A161" s="45" t="s">
        <v>65</v>
      </c>
      <c r="B161" s="46">
        <v>8</v>
      </c>
      <c r="C161" s="136" t="str">
        <f t="shared" ref="C161:C167" si="13" xml:space="preserve"> IF(B161="","",setValueToTime(B161))</f>
        <v>0h40min</v>
      </c>
      <c r="D161" s="47" t="s">
        <v>127</v>
      </c>
      <c r="E161" s="210"/>
      <c r="F161" s="211"/>
      <c r="G161" s="3"/>
    </row>
    <row r="162" spans="1:7" s="44" customFormat="1" ht="27" x14ac:dyDescent="0.3">
      <c r="A162" s="45" t="s">
        <v>64</v>
      </c>
      <c r="B162" s="46">
        <v>26</v>
      </c>
      <c r="C162" s="136" t="str">
        <f t="shared" si="13"/>
        <v>2h10min</v>
      </c>
      <c r="D162" s="47" t="s">
        <v>134</v>
      </c>
      <c r="E162" s="210"/>
      <c r="F162" s="211"/>
      <c r="G162" s="3"/>
    </row>
    <row r="163" spans="1:7" s="44" customFormat="1" x14ac:dyDescent="0.3">
      <c r="A163" s="45" t="s">
        <v>17</v>
      </c>
      <c r="B163" s="46">
        <v>1</v>
      </c>
      <c r="C163" s="136" t="str">
        <f t="shared" si="13"/>
        <v>0h5min</v>
      </c>
      <c r="D163" s="47" t="s">
        <v>53</v>
      </c>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6" t="s">
        <v>14</v>
      </c>
      <c r="F171" s="207"/>
      <c r="G171" s="39"/>
    </row>
    <row r="172" spans="1:7" s="44" customFormat="1" ht="27" x14ac:dyDescent="0.3">
      <c r="A172" s="41" t="s">
        <v>64</v>
      </c>
      <c r="B172" s="42">
        <v>18</v>
      </c>
      <c r="C172" s="135" t="str">
        <f xml:space="preserve"> IF(B172="","",setValueToTime(B172))</f>
        <v>1h30min</v>
      </c>
      <c r="D172" s="43" t="s">
        <v>130</v>
      </c>
      <c r="E172" s="208"/>
      <c r="F172" s="209"/>
      <c r="G172" s="3"/>
    </row>
    <row r="173" spans="1:7" s="44" customFormat="1" x14ac:dyDescent="0.3">
      <c r="A173" s="45" t="s">
        <v>63</v>
      </c>
      <c r="B173" s="46">
        <v>18</v>
      </c>
      <c r="C173" s="136" t="str">
        <f t="shared" ref="C173:C179" si="14" xml:space="preserve"> IF(B173="","",setValueToTime(B173))</f>
        <v>1h30min</v>
      </c>
      <c r="D173" s="47" t="s">
        <v>131</v>
      </c>
      <c r="E173" s="210"/>
      <c r="F173" s="211"/>
      <c r="G173" s="3"/>
    </row>
    <row r="174" spans="1:7" s="44" customFormat="1" ht="27" x14ac:dyDescent="0.3">
      <c r="A174" s="45" t="s">
        <v>64</v>
      </c>
      <c r="B174" s="46">
        <v>11</v>
      </c>
      <c r="C174" s="136" t="str">
        <f t="shared" si="14"/>
        <v>0h55min</v>
      </c>
      <c r="D174" s="47" t="s">
        <v>132</v>
      </c>
      <c r="E174" s="210"/>
      <c r="F174" s="211"/>
      <c r="G174" s="3"/>
    </row>
    <row r="175" spans="1:7" s="44" customFormat="1" x14ac:dyDescent="0.3">
      <c r="A175" s="45" t="s">
        <v>17</v>
      </c>
      <c r="B175" s="46">
        <v>1</v>
      </c>
      <c r="C175" s="136" t="str">
        <f t="shared" si="14"/>
        <v>0h5min</v>
      </c>
      <c r="D175" s="47" t="s">
        <v>53</v>
      </c>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6" t="s">
        <v>14</v>
      </c>
      <c r="F183" s="207"/>
      <c r="G183" s="39"/>
    </row>
    <row r="184" spans="1:7" s="44" customFormat="1" ht="15" thickBot="1" x14ac:dyDescent="0.35">
      <c r="A184" s="41" t="s">
        <v>65</v>
      </c>
      <c r="B184" s="42">
        <v>8</v>
      </c>
      <c r="C184" s="135" t="str">
        <f xml:space="preserve"> IF(B184="","",setValueToTime(B184))</f>
        <v>0h40min</v>
      </c>
      <c r="D184" s="43" t="s">
        <v>129</v>
      </c>
      <c r="E184" s="208"/>
      <c r="F184" s="209"/>
      <c r="G184" s="3"/>
    </row>
    <row r="185" spans="1:7" s="44" customFormat="1" x14ac:dyDescent="0.3">
      <c r="A185" s="45" t="s">
        <v>16</v>
      </c>
      <c r="B185" s="42">
        <v>19</v>
      </c>
      <c r="C185" s="136" t="str">
        <f t="shared" ref="C185:C191" si="15" xml:space="preserve"> IF(B185="","",setValueToTime(B185))</f>
        <v>1h35min</v>
      </c>
      <c r="D185" s="43" t="s">
        <v>55</v>
      </c>
      <c r="E185" s="210"/>
      <c r="F185" s="211"/>
      <c r="G185" s="3"/>
    </row>
    <row r="186" spans="1:7" s="44" customFormat="1" x14ac:dyDescent="0.3">
      <c r="A186" s="45" t="s">
        <v>17</v>
      </c>
      <c r="B186" s="46">
        <v>1</v>
      </c>
      <c r="C186" s="136" t="str">
        <f t="shared" si="15"/>
        <v>0h5min</v>
      </c>
      <c r="D186" s="47" t="s">
        <v>53</v>
      </c>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95" t="s">
        <v>29</v>
      </c>
      <c r="B192" s="69">
        <f>SUM(B184:B191)</f>
        <v>28</v>
      </c>
      <c r="C192" s="95" t="str">
        <f xml:space="preserve"> setValueToTime(B192)</f>
        <v>2h20min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6" t="s">
        <v>14</v>
      </c>
      <c r="F195" s="207"/>
      <c r="G195" s="39"/>
    </row>
    <row r="196" spans="1:7" s="44" customFormat="1" ht="27" x14ac:dyDescent="0.3">
      <c r="A196" s="41" t="s">
        <v>64</v>
      </c>
      <c r="B196" s="42">
        <v>27</v>
      </c>
      <c r="C196" s="135" t="str">
        <f xml:space="preserve"> IF(B196="","",setValueToTime(B196))</f>
        <v>2h15min</v>
      </c>
      <c r="D196" s="47" t="s">
        <v>126</v>
      </c>
      <c r="E196" s="208"/>
      <c r="F196" s="209"/>
      <c r="G196" s="3"/>
    </row>
    <row r="197" spans="1:7" s="44" customFormat="1" x14ac:dyDescent="0.3">
      <c r="A197" s="45" t="s">
        <v>17</v>
      </c>
      <c r="B197" s="46">
        <v>1</v>
      </c>
      <c r="C197" s="136" t="str">
        <f t="shared" ref="C197:C203" si="16" xml:space="preserve"> IF(B197="","",setValueToTime(B197))</f>
        <v>0h5min</v>
      </c>
      <c r="D197" s="47" t="s">
        <v>53</v>
      </c>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6" t="s">
        <v>14</v>
      </c>
      <c r="F207" s="207"/>
      <c r="G207" s="39"/>
    </row>
    <row r="208" spans="1:7" s="44" customFormat="1" ht="27" x14ac:dyDescent="0.3">
      <c r="A208" s="41" t="s">
        <v>64</v>
      </c>
      <c r="B208" s="42">
        <v>39</v>
      </c>
      <c r="C208" s="135" t="str">
        <f xml:space="preserve"> IF(B208="","",setValueToTime(B208))</f>
        <v>3h15min</v>
      </c>
      <c r="D208" s="47" t="s">
        <v>128</v>
      </c>
      <c r="E208" s="208"/>
      <c r="F208" s="209"/>
      <c r="G208" s="3"/>
    </row>
    <row r="209" spans="1:7" s="44" customFormat="1" x14ac:dyDescent="0.3">
      <c r="A209" s="45" t="s">
        <v>65</v>
      </c>
      <c r="B209" s="46">
        <v>8</v>
      </c>
      <c r="C209" s="136" t="str">
        <f t="shared" ref="C209:C215" si="17" xml:space="preserve"> IF(B209="","",setValueToTime(B209))</f>
        <v>0h40min</v>
      </c>
      <c r="D209" s="47" t="s">
        <v>61</v>
      </c>
      <c r="E209" s="210"/>
      <c r="F209" s="211"/>
      <c r="G209" s="3"/>
    </row>
    <row r="210" spans="1:7" s="44" customFormat="1" x14ac:dyDescent="0.3">
      <c r="A210" s="45" t="s">
        <v>17</v>
      </c>
      <c r="B210" s="46">
        <v>1</v>
      </c>
      <c r="C210" s="136" t="str">
        <f t="shared" si="17"/>
        <v>0h5min</v>
      </c>
      <c r="D210" s="47" t="s">
        <v>53</v>
      </c>
      <c r="E210" s="210"/>
      <c r="F210" s="211"/>
      <c r="G210" s="3"/>
    </row>
    <row r="211" spans="1:7" s="44" customFormat="1" x14ac:dyDescent="0.3">
      <c r="A211" s="45"/>
      <c r="B211" s="46"/>
      <c r="C211" s="136" t="str">
        <f t="shared" si="17"/>
        <v/>
      </c>
      <c r="D211" s="47"/>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6" t="s">
        <v>14</v>
      </c>
      <c r="F219" s="207"/>
      <c r="G219" s="39"/>
    </row>
    <row r="220" spans="1:7" s="44" customFormat="1" x14ac:dyDescent="0.3">
      <c r="A220" s="41" t="s">
        <v>67</v>
      </c>
      <c r="B220" s="42">
        <v>18</v>
      </c>
      <c r="C220" s="135" t="str">
        <f xml:space="preserve"> IF(B220="","",setValueToTime(B220))</f>
        <v>1h30min</v>
      </c>
      <c r="D220" s="47" t="s">
        <v>62</v>
      </c>
      <c r="E220" s="208"/>
      <c r="F220" s="209"/>
      <c r="G220" s="3"/>
    </row>
    <row r="221" spans="1:7" s="44" customFormat="1" ht="27" x14ac:dyDescent="0.3">
      <c r="A221" s="45" t="s">
        <v>64</v>
      </c>
      <c r="B221" s="46">
        <v>12</v>
      </c>
      <c r="C221" s="136" t="str">
        <f t="shared" ref="C221:C227" si="18" xml:space="preserve"> IF(B221="","",setValueToTime(B221))</f>
        <v>1h</v>
      </c>
      <c r="D221" s="47" t="s">
        <v>124</v>
      </c>
      <c r="E221" s="210"/>
      <c r="F221" s="211"/>
      <c r="G221" s="3"/>
    </row>
    <row r="222" spans="1:7" s="44" customFormat="1" x14ac:dyDescent="0.3">
      <c r="A222" s="45" t="s">
        <v>65</v>
      </c>
      <c r="B222" s="46">
        <v>7</v>
      </c>
      <c r="C222" s="136" t="str">
        <f t="shared" si="18"/>
        <v>0h35min</v>
      </c>
      <c r="D222" s="47" t="s">
        <v>125</v>
      </c>
      <c r="E222" s="210"/>
      <c r="F222" s="211"/>
      <c r="G222" s="3"/>
    </row>
    <row r="223" spans="1:7" s="44" customFormat="1" x14ac:dyDescent="0.3">
      <c r="A223" s="45" t="s">
        <v>17</v>
      </c>
      <c r="B223" s="46">
        <v>1</v>
      </c>
      <c r="C223" s="136" t="str">
        <f t="shared" si="18"/>
        <v>0h5min</v>
      </c>
      <c r="D223" s="47"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6" t="s">
        <v>14</v>
      </c>
      <c r="F231" s="207"/>
      <c r="G231" s="39"/>
    </row>
    <row r="232" spans="1:7" s="44" customFormat="1" x14ac:dyDescent="0.3">
      <c r="A232" s="41" t="s">
        <v>63</v>
      </c>
      <c r="B232" s="46">
        <v>24</v>
      </c>
      <c r="C232" s="135" t="str">
        <f xml:space="preserve"> IF(B232="","",setValueToTime(B232))</f>
        <v>2h</v>
      </c>
      <c r="D232" s="47" t="s">
        <v>123</v>
      </c>
      <c r="E232" s="208"/>
      <c r="F232" s="209"/>
      <c r="G232" s="3"/>
    </row>
    <row r="233" spans="1:7" s="44" customFormat="1" x14ac:dyDescent="0.3">
      <c r="A233" s="45" t="s">
        <v>16</v>
      </c>
      <c r="B233" s="46">
        <v>23</v>
      </c>
      <c r="C233" s="136" t="str">
        <f t="shared" ref="C233:C239" si="19" xml:space="preserve"> IF(B233="","",setValueToTime(B233))</f>
        <v>1h55min</v>
      </c>
      <c r="D233" s="47" t="s">
        <v>56</v>
      </c>
      <c r="E233" s="210"/>
      <c r="F233" s="211"/>
      <c r="G233" s="3"/>
    </row>
    <row r="234" spans="1:7" s="44" customFormat="1" x14ac:dyDescent="0.3">
      <c r="A234" s="46" t="s">
        <v>17</v>
      </c>
      <c r="B234" s="46">
        <v>1</v>
      </c>
      <c r="C234" s="136" t="str">
        <f t="shared" si="19"/>
        <v>0h5min</v>
      </c>
      <c r="D234" s="47" t="s">
        <v>53</v>
      </c>
      <c r="E234" s="210"/>
      <c r="F234" s="211"/>
      <c r="G234" s="3"/>
    </row>
    <row r="235" spans="1:7" s="44" customFormat="1" x14ac:dyDescent="0.3">
      <c r="A235" s="45"/>
      <c r="B235" s="46"/>
      <c r="C235" s="136" t="str">
        <f t="shared" si="19"/>
        <v/>
      </c>
      <c r="D235" s="47"/>
      <c r="E235" s="210"/>
      <c r="F235" s="211"/>
      <c r="G235" s="3"/>
    </row>
    <row r="236" spans="1:7" s="44" customFormat="1" x14ac:dyDescent="0.3">
      <c r="A236" s="46"/>
      <c r="B236" s="46"/>
      <c r="C236" s="137" t="str">
        <f t="shared" si="19"/>
        <v/>
      </c>
      <c r="D236" s="47"/>
      <c r="E236" s="210"/>
      <c r="F236" s="211"/>
      <c r="G236" s="3"/>
    </row>
    <row r="237" spans="1:7" s="44" customFormat="1" x14ac:dyDescent="0.3">
      <c r="A237" s="46"/>
      <c r="B237" s="46"/>
      <c r="C237" s="137" t="str">
        <f t="shared" si="19"/>
        <v/>
      </c>
      <c r="D237" s="47"/>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6"/>
      <c r="C239" s="138" t="str">
        <f t="shared" si="19"/>
        <v/>
      </c>
      <c r="D239" s="47"/>
      <c r="E239" s="214"/>
      <c r="F239" s="215"/>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6" t="s">
        <v>14</v>
      </c>
      <c r="F243" s="207"/>
      <c r="G243" s="39"/>
    </row>
    <row r="244" spans="1:7" s="44" customFormat="1" x14ac:dyDescent="0.3">
      <c r="A244" s="41" t="s">
        <v>4</v>
      </c>
      <c r="B244" s="42">
        <v>12</v>
      </c>
      <c r="C244" s="135" t="str">
        <f xml:space="preserve"> IF(B244="","",setValueToTime(B244))</f>
        <v>1h</v>
      </c>
      <c r="D244" s="43" t="s">
        <v>49</v>
      </c>
      <c r="E244" s="208"/>
      <c r="F244" s="209"/>
      <c r="G244" s="3"/>
    </row>
    <row r="245" spans="1:7" s="44" customFormat="1" x14ac:dyDescent="0.3">
      <c r="A245" s="45" t="s">
        <v>63</v>
      </c>
      <c r="B245" s="46">
        <v>9</v>
      </c>
      <c r="C245" s="136" t="str">
        <f t="shared" ref="C245:C251" si="20" xml:space="preserve"> IF(B245="","",setValueToTime(B245))</f>
        <v>0h45min</v>
      </c>
      <c r="D245" s="47" t="s">
        <v>58</v>
      </c>
      <c r="E245" s="210"/>
      <c r="F245" s="211"/>
      <c r="G245" s="3"/>
    </row>
    <row r="246" spans="1:7" s="44" customFormat="1" x14ac:dyDescent="0.3">
      <c r="A246" s="45" t="s">
        <v>65</v>
      </c>
      <c r="B246" s="46">
        <v>8</v>
      </c>
      <c r="C246" s="136" t="str">
        <f t="shared" si="20"/>
        <v>0h40min</v>
      </c>
      <c r="D246" s="47" t="s">
        <v>118</v>
      </c>
      <c r="E246" s="210"/>
      <c r="F246" s="211"/>
      <c r="G246" s="3"/>
    </row>
    <row r="247" spans="1:7" s="44" customFormat="1" x14ac:dyDescent="0.3">
      <c r="A247" s="45" t="s">
        <v>63</v>
      </c>
      <c r="B247" s="46">
        <v>8</v>
      </c>
      <c r="C247" s="136" t="str">
        <f t="shared" si="20"/>
        <v>0h40min</v>
      </c>
      <c r="D247" s="47" t="s">
        <v>119</v>
      </c>
      <c r="E247" s="210"/>
      <c r="F247" s="211"/>
      <c r="G247" s="3"/>
    </row>
    <row r="248" spans="1:7" s="44" customFormat="1" x14ac:dyDescent="0.3">
      <c r="A248" s="46" t="s">
        <v>17</v>
      </c>
      <c r="B248" s="46">
        <v>1</v>
      </c>
      <c r="C248" s="137" t="str">
        <f t="shared" si="20"/>
        <v>0h5min</v>
      </c>
      <c r="D248" s="47" t="s">
        <v>53</v>
      </c>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6" t="s">
        <v>14</v>
      </c>
      <c r="F255" s="207"/>
      <c r="G255" s="39"/>
    </row>
    <row r="256" spans="1:7" s="44" customFormat="1" ht="27" x14ac:dyDescent="0.3">
      <c r="A256" s="41" t="s">
        <v>64</v>
      </c>
      <c r="B256" s="42">
        <v>12</v>
      </c>
      <c r="C256" s="135" t="str">
        <f xml:space="preserve"> IF(B256="","",setValueToTime(B256))</f>
        <v>1h</v>
      </c>
      <c r="D256" s="47" t="s">
        <v>116</v>
      </c>
      <c r="E256" s="208"/>
      <c r="F256" s="209"/>
      <c r="G256" s="3"/>
    </row>
    <row r="257" spans="1:7" s="44" customFormat="1" ht="27" x14ac:dyDescent="0.3">
      <c r="A257" s="45" t="s">
        <v>64</v>
      </c>
      <c r="B257" s="46">
        <v>12</v>
      </c>
      <c r="C257" s="136" t="str">
        <f t="shared" ref="C257:C263" si="21" xml:space="preserve"> IF(B257="","",setValueToTime(B257))</f>
        <v>1h</v>
      </c>
      <c r="D257" s="47" t="s">
        <v>59</v>
      </c>
      <c r="E257" s="210"/>
      <c r="F257" s="211"/>
      <c r="G257" s="3"/>
    </row>
    <row r="258" spans="1:7" s="44" customFormat="1" x14ac:dyDescent="0.3">
      <c r="A258" s="45" t="s">
        <v>65</v>
      </c>
      <c r="B258" s="46">
        <v>8</v>
      </c>
      <c r="C258" s="136" t="str">
        <f t="shared" si="21"/>
        <v>0h40min</v>
      </c>
      <c r="D258" s="47" t="s">
        <v>117</v>
      </c>
      <c r="E258" s="210"/>
      <c r="F258" s="211"/>
      <c r="G258" s="3"/>
    </row>
    <row r="259" spans="1:7" s="44" customFormat="1" x14ac:dyDescent="0.3">
      <c r="A259" s="45" t="s">
        <v>63</v>
      </c>
      <c r="B259" s="46">
        <v>12</v>
      </c>
      <c r="C259" s="136" t="str">
        <f t="shared" si="21"/>
        <v>1h</v>
      </c>
      <c r="D259" s="47" t="s">
        <v>57</v>
      </c>
      <c r="E259" s="210"/>
      <c r="F259" s="211"/>
      <c r="G259" s="3"/>
    </row>
    <row r="260" spans="1:7" s="44" customFormat="1" ht="27" x14ac:dyDescent="0.3">
      <c r="A260" s="46" t="s">
        <v>64</v>
      </c>
      <c r="B260" s="46">
        <v>3</v>
      </c>
      <c r="C260" s="137" t="str">
        <f t="shared" si="21"/>
        <v>0h15min</v>
      </c>
      <c r="D260" s="47" t="s">
        <v>58</v>
      </c>
      <c r="E260" s="210"/>
      <c r="F260" s="211"/>
      <c r="G260" s="3"/>
    </row>
    <row r="261" spans="1:7" s="44" customFormat="1" x14ac:dyDescent="0.3">
      <c r="A261" s="46" t="s">
        <v>17</v>
      </c>
      <c r="B261" s="46">
        <v>1</v>
      </c>
      <c r="C261" s="137" t="str">
        <f t="shared" si="21"/>
        <v>0h5min</v>
      </c>
      <c r="D261" s="47"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6" t="s">
        <v>14</v>
      </c>
      <c r="F267" s="207"/>
      <c r="G267" s="39"/>
    </row>
    <row r="268" spans="1:7" s="44" customFormat="1" x14ac:dyDescent="0.3">
      <c r="A268" s="41" t="s">
        <v>16</v>
      </c>
      <c r="B268" s="46">
        <v>15</v>
      </c>
      <c r="C268" s="135" t="str">
        <f xml:space="preserve"> IF(B268="","",setValueToTime(B268))</f>
        <v>1h15min</v>
      </c>
      <c r="D268" s="47" t="s">
        <v>55</v>
      </c>
      <c r="E268" s="208"/>
      <c r="F268" s="209"/>
      <c r="G268" s="3"/>
    </row>
    <row r="269" spans="1:7" s="44" customFormat="1" x14ac:dyDescent="0.3">
      <c r="A269" s="45" t="s">
        <v>63</v>
      </c>
      <c r="B269" s="46">
        <v>12</v>
      </c>
      <c r="C269" s="136" t="str">
        <f t="shared" ref="C269:C275" si="22" xml:space="preserve"> IF(B269="","",setValueToTime(B269))</f>
        <v>1h</v>
      </c>
      <c r="D269" s="47" t="s">
        <v>115</v>
      </c>
      <c r="E269" s="210"/>
      <c r="F269" s="211"/>
      <c r="G269" s="3"/>
    </row>
    <row r="270" spans="1:7" s="44" customFormat="1" x14ac:dyDescent="0.3">
      <c r="A270" s="45" t="s">
        <v>17</v>
      </c>
      <c r="B270" s="46">
        <v>1</v>
      </c>
      <c r="C270" s="136" t="str">
        <f t="shared" si="22"/>
        <v>0h5min</v>
      </c>
      <c r="D270" s="47" t="s">
        <v>122</v>
      </c>
      <c r="E270" s="210"/>
      <c r="F270" s="211"/>
      <c r="G270" s="3"/>
    </row>
    <row r="271" spans="1:7" s="44" customFormat="1" x14ac:dyDescent="0.3">
      <c r="A271" s="45"/>
      <c r="B271" s="46"/>
      <c r="C271" s="136" t="str">
        <f t="shared" si="22"/>
        <v/>
      </c>
      <c r="D271" s="47"/>
      <c r="E271" s="210"/>
      <c r="F271" s="211"/>
      <c r="G271" s="3"/>
    </row>
    <row r="272" spans="1:7" s="44" customFormat="1" x14ac:dyDescent="0.3">
      <c r="A272" s="46"/>
      <c r="B272" s="46"/>
      <c r="C272" s="137" t="str">
        <f t="shared" si="22"/>
        <v/>
      </c>
      <c r="D272" s="47"/>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7"/>
      <c r="B275" s="48"/>
      <c r="C275" s="138" t="str">
        <f t="shared" si="22"/>
        <v/>
      </c>
      <c r="D275" s="49"/>
      <c r="E275" s="214"/>
      <c r="F275" s="215"/>
      <c r="G275" s="3"/>
    </row>
    <row r="276" spans="1:7" s="44" customFormat="1" ht="15" thickBot="1" x14ac:dyDescent="0.35">
      <c r="A276" s="95" t="s">
        <v>29</v>
      </c>
      <c r="B276" s="69">
        <f>SUM(B268:B275)</f>
        <v>28</v>
      </c>
      <c r="C276" s="95" t="str">
        <f xml:space="preserve"> setValueToTime(B276)</f>
        <v>2h20min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6" t="s">
        <v>14</v>
      </c>
      <c r="F279" s="207"/>
      <c r="G279" s="39"/>
    </row>
    <row r="280" spans="1:7" s="44" customFormat="1" x14ac:dyDescent="0.3">
      <c r="A280" s="41" t="s">
        <v>4</v>
      </c>
      <c r="B280" s="42">
        <v>12</v>
      </c>
      <c r="C280" s="135" t="str">
        <f xml:space="preserve"> IF(B280="","",setValueToTime(B280))</f>
        <v>1h</v>
      </c>
      <c r="D280" s="43" t="s">
        <v>48</v>
      </c>
      <c r="E280" s="208"/>
      <c r="F280" s="209"/>
      <c r="G280" s="3"/>
    </row>
    <row r="281" spans="1:7" s="44" customFormat="1" ht="27" x14ac:dyDescent="0.3">
      <c r="A281" s="45" t="s">
        <v>114</v>
      </c>
      <c r="B281" s="46">
        <v>15</v>
      </c>
      <c r="C281" s="136" t="str">
        <f t="shared" ref="C281:C287" si="23" xml:space="preserve"> IF(B281="","",setValueToTime(B281))</f>
        <v>1h15min</v>
      </c>
      <c r="D281" s="47" t="s">
        <v>113</v>
      </c>
      <c r="E281" s="210"/>
      <c r="F281" s="211"/>
      <c r="G281" s="3"/>
    </row>
    <row r="282" spans="1:7" s="44" customFormat="1" x14ac:dyDescent="0.3">
      <c r="A282" s="45" t="s">
        <v>17</v>
      </c>
      <c r="B282" s="46">
        <v>1</v>
      </c>
      <c r="C282" s="136" t="str">
        <f t="shared" si="23"/>
        <v>0h5min</v>
      </c>
      <c r="D282" s="47" t="s">
        <v>53</v>
      </c>
      <c r="E282" s="210"/>
      <c r="F282" s="211"/>
      <c r="G282" s="3"/>
    </row>
    <row r="283" spans="1:7" s="44" customFormat="1" x14ac:dyDescent="0.3">
      <c r="A283" s="45"/>
      <c r="B283" s="46"/>
      <c r="C283" s="136" t="str">
        <f t="shared" si="23"/>
        <v/>
      </c>
      <c r="D283" s="47"/>
      <c r="E283" s="210"/>
      <c r="F283" s="211"/>
      <c r="G283" s="3"/>
    </row>
    <row r="284" spans="1:7" s="44" customFormat="1" x14ac:dyDescent="0.3">
      <c r="A284" s="46"/>
      <c r="B284" s="46"/>
      <c r="C284" s="137" t="str">
        <f t="shared" si="23"/>
        <v/>
      </c>
      <c r="D284" s="47"/>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6"/>
      <c r="C287" s="138" t="str">
        <f t="shared" si="23"/>
        <v/>
      </c>
      <c r="D287" s="47"/>
      <c r="E287" s="214"/>
      <c r="F287" s="215"/>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6" t="s">
        <v>14</v>
      </c>
      <c r="F291" s="207"/>
      <c r="G291" s="39"/>
    </row>
    <row r="292" spans="1:7" s="44" customFormat="1" ht="27" x14ac:dyDescent="0.3">
      <c r="A292" s="41" t="s">
        <v>68</v>
      </c>
      <c r="B292" s="42">
        <v>24</v>
      </c>
      <c r="C292" s="135" t="str">
        <f xml:space="preserve"> IF(B292="","",setValueToTime(B292))</f>
        <v>2h</v>
      </c>
      <c r="D292" s="47" t="s">
        <v>120</v>
      </c>
      <c r="E292" s="208"/>
      <c r="F292" s="209"/>
      <c r="G292" s="3"/>
    </row>
    <row r="293" spans="1:7" s="44" customFormat="1" x14ac:dyDescent="0.3">
      <c r="A293" s="45" t="s">
        <v>16</v>
      </c>
      <c r="B293" s="46">
        <v>23</v>
      </c>
      <c r="C293" s="136" t="str">
        <f t="shared" ref="C293:C299" si="24" xml:space="preserve"> IF(B293="","",setValueToTime(B293))</f>
        <v>1h55min</v>
      </c>
      <c r="D293" s="47" t="s">
        <v>121</v>
      </c>
      <c r="E293" s="210"/>
      <c r="F293" s="211"/>
      <c r="G293" s="3"/>
    </row>
    <row r="294" spans="1:7" s="44" customFormat="1" x14ac:dyDescent="0.3">
      <c r="A294" s="45" t="s">
        <v>17</v>
      </c>
      <c r="B294" s="46">
        <v>1</v>
      </c>
      <c r="C294" s="136" t="str">
        <f t="shared" si="24"/>
        <v>0h5min</v>
      </c>
      <c r="D294" s="47" t="s">
        <v>53</v>
      </c>
      <c r="E294" s="210"/>
      <c r="F294" s="211"/>
      <c r="G294" s="3"/>
    </row>
    <row r="295" spans="1:7" s="44" customFormat="1" x14ac:dyDescent="0.3">
      <c r="A295" s="45"/>
      <c r="B295" s="46"/>
      <c r="C295" s="136" t="str">
        <f t="shared" si="24"/>
        <v/>
      </c>
      <c r="D295" s="47"/>
      <c r="E295" s="210"/>
      <c r="F295" s="211"/>
      <c r="G295" s="3"/>
    </row>
    <row r="296" spans="1:7" s="44" customFormat="1" x14ac:dyDescent="0.3">
      <c r="A296" s="46"/>
      <c r="B296" s="46"/>
      <c r="C296" s="137" t="str">
        <f t="shared" si="24"/>
        <v/>
      </c>
      <c r="D296" s="47"/>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6"/>
      <c r="C299" s="138" t="str">
        <f t="shared" si="24"/>
        <v/>
      </c>
      <c r="D299" s="47"/>
      <c r="E299" s="214"/>
      <c r="F299" s="215"/>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6" t="s">
        <v>14</v>
      </c>
      <c r="F303" s="207"/>
      <c r="G303" s="39"/>
    </row>
    <row r="304" spans="1:7" s="44" customFormat="1" x14ac:dyDescent="0.3">
      <c r="A304" s="41" t="s">
        <v>32</v>
      </c>
      <c r="B304" s="42">
        <v>27</v>
      </c>
      <c r="C304" s="135" t="str">
        <f xml:space="preserve"> IF(B304="","",setValueToTime(B304))</f>
        <v>2h15min</v>
      </c>
      <c r="D304" s="43" t="s">
        <v>52</v>
      </c>
      <c r="E304" s="208"/>
      <c r="F304" s="209"/>
      <c r="G304" s="3"/>
    </row>
    <row r="305" spans="1:7" s="44" customFormat="1" x14ac:dyDescent="0.3">
      <c r="A305" s="45" t="s">
        <v>17</v>
      </c>
      <c r="B305" s="46">
        <v>1</v>
      </c>
      <c r="C305" s="136" t="str">
        <f t="shared" ref="C305:C311" si="25" xml:space="preserve"> IF(B305="","",setValueToTime(B305))</f>
        <v>0h5min</v>
      </c>
      <c r="D305" s="47" t="s">
        <v>53</v>
      </c>
      <c r="E305" s="210"/>
      <c r="F305" s="211"/>
      <c r="G305" s="3"/>
    </row>
    <row r="306" spans="1:7" s="44" customFormat="1" x14ac:dyDescent="0.3">
      <c r="A306" s="45"/>
      <c r="B306" s="46"/>
      <c r="C306" s="136" t="str">
        <f t="shared" si="25"/>
        <v/>
      </c>
      <c r="D306" s="47"/>
      <c r="E306" s="210"/>
      <c r="F306" s="211"/>
      <c r="G306" s="3"/>
    </row>
    <row r="307" spans="1:7" s="44" customFormat="1" x14ac:dyDescent="0.3">
      <c r="A307" s="45"/>
      <c r="B307" s="46"/>
      <c r="C307" s="136" t="str">
        <f t="shared" si="25"/>
        <v/>
      </c>
      <c r="D307" s="47"/>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6" t="s">
        <v>14</v>
      </c>
      <c r="F315" s="207"/>
      <c r="G315" s="39"/>
    </row>
    <row r="316" spans="1:7" s="44" customFormat="1" x14ac:dyDescent="0.3">
      <c r="A316" s="41" t="s">
        <v>66</v>
      </c>
      <c r="B316" s="42">
        <v>3</v>
      </c>
      <c r="C316" s="135" t="str">
        <f xml:space="preserve"> IF(B316="","",setValueToTime(B316))</f>
        <v>0h15min</v>
      </c>
      <c r="D316" s="43" t="s">
        <v>50</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8</v>
      </c>
      <c r="C318" s="136" t="str">
        <f xml:space="preserve"> IF(B318="","",setValueToTime(B318))</f>
        <v>0h40min</v>
      </c>
      <c r="D318" s="47" t="s">
        <v>54</v>
      </c>
      <c r="E318" s="210"/>
      <c r="F318" s="211"/>
      <c r="G318" s="3"/>
    </row>
    <row r="319" spans="1:7" s="44" customFormat="1" x14ac:dyDescent="0.3">
      <c r="A319" s="45" t="s">
        <v>32</v>
      </c>
      <c r="B319" s="46">
        <v>30</v>
      </c>
      <c r="C319" s="136" t="str">
        <f t="shared" si="26"/>
        <v>2h30min</v>
      </c>
      <c r="D319" s="47" t="s">
        <v>52</v>
      </c>
      <c r="E319" s="210"/>
      <c r="F319" s="211"/>
      <c r="G319" s="3"/>
    </row>
    <row r="320" spans="1:7" s="44" customFormat="1" x14ac:dyDescent="0.3">
      <c r="A320" s="46" t="s">
        <v>17</v>
      </c>
      <c r="B320" s="46">
        <v>2</v>
      </c>
      <c r="C320" s="137" t="str">
        <f t="shared" si="26"/>
        <v>0h10min</v>
      </c>
      <c r="D320" s="47" t="s">
        <v>53</v>
      </c>
      <c r="E320" s="210"/>
      <c r="F320" s="211"/>
      <c r="G320" s="3"/>
    </row>
    <row r="321" spans="1:7" s="44" customFormat="1" x14ac:dyDescent="0.3">
      <c r="A321" s="46"/>
      <c r="B321" s="46"/>
      <c r="C321" s="137" t="str">
        <f t="shared" si="26"/>
        <v/>
      </c>
      <c r="D321" s="47"/>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205" activePane="bottomLeft" state="frozen"/>
      <selection pane="bottomLeft" activeCell="D214" sqref="D21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70"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6" t="s">
        <v>14</v>
      </c>
      <c r="F3" s="217"/>
      <c r="G3" s="39"/>
    </row>
    <row r="4" spans="1:7" s="44" customFormat="1" x14ac:dyDescent="0.3">
      <c r="A4" s="41"/>
      <c r="B4" s="42"/>
      <c r="C4" s="135" t="str">
        <f xml:space="preserve"> IF(B4="","",setValueToTime(B4))</f>
        <v/>
      </c>
      <c r="D4" s="43"/>
      <c r="E4" s="208"/>
      <c r="F4" s="209"/>
      <c r="G4" s="3"/>
    </row>
    <row r="5" spans="1:7" s="44" customFormat="1" x14ac:dyDescent="0.3">
      <c r="A5" s="45"/>
      <c r="B5" s="46"/>
      <c r="C5" s="136" t="str">
        <f t="shared" ref="C5:C11" si="0" xml:space="preserve"> IF(B5="","",setValueToTime(B5))</f>
        <v/>
      </c>
      <c r="D5" s="47"/>
      <c r="E5" s="210"/>
      <c r="F5" s="211"/>
      <c r="G5" s="3"/>
    </row>
    <row r="6" spans="1:7" s="44" customFormat="1" x14ac:dyDescent="0.3">
      <c r="A6" s="45"/>
      <c r="B6" s="46"/>
      <c r="C6" s="136" t="str">
        <f t="shared" si="0"/>
        <v/>
      </c>
      <c r="D6" s="47"/>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6" t="s">
        <v>14</v>
      </c>
      <c r="F15" s="217"/>
      <c r="G15" s="39"/>
    </row>
    <row r="16" spans="1:7" s="44" customFormat="1" x14ac:dyDescent="0.3">
      <c r="A16" s="41"/>
      <c r="B16" s="42"/>
      <c r="C16" s="135" t="str">
        <f xml:space="preserve"> IF(B16="","",setValueToTime(B16))</f>
        <v/>
      </c>
      <c r="D16" s="43"/>
      <c r="E16" s="208"/>
      <c r="F16" s="209"/>
      <c r="G16" s="3"/>
    </row>
    <row r="17" spans="1:7" s="44" customFormat="1" x14ac:dyDescent="0.3">
      <c r="A17" s="45"/>
      <c r="B17" s="46"/>
      <c r="C17" s="136" t="str">
        <f t="shared" ref="C17:C23" si="1" xml:space="preserve"> IF(B17="","",setValueToTime(B17))</f>
        <v/>
      </c>
      <c r="D17" s="47"/>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6" t="s">
        <v>14</v>
      </c>
      <c r="F27" s="217"/>
      <c r="G27" s="39"/>
    </row>
    <row r="28" spans="1:7" s="44" customFormat="1" x14ac:dyDescent="0.3">
      <c r="A28" s="41"/>
      <c r="B28" s="42"/>
      <c r="C28" s="135" t="str">
        <f xml:space="preserve"> IF(B28="","",setValueToTime(B28))</f>
        <v/>
      </c>
      <c r="D28" s="43"/>
      <c r="E28" s="208"/>
      <c r="F28" s="209"/>
      <c r="G28" s="3"/>
    </row>
    <row r="29" spans="1:7" s="44" customFormat="1" x14ac:dyDescent="0.3">
      <c r="A29" s="45"/>
      <c r="B29" s="46"/>
      <c r="C29" s="136" t="str">
        <f t="shared" ref="C29:C35" si="2" xml:space="preserve"> IF(B29="","",setValueToTime(B29))</f>
        <v/>
      </c>
      <c r="D29" s="47"/>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6" t="s">
        <v>14</v>
      </c>
      <c r="F39" s="217"/>
      <c r="G39" s="39"/>
    </row>
    <row r="40" spans="1:7" s="44" customFormat="1" x14ac:dyDescent="0.3">
      <c r="A40" s="41"/>
      <c r="B40" s="42"/>
      <c r="C40" s="135" t="str">
        <f xml:space="preserve"> IF(B40="","",setValueToTime(B40))</f>
        <v/>
      </c>
      <c r="D40" s="43"/>
      <c r="E40" s="208"/>
      <c r="F40" s="209"/>
      <c r="G40" s="3"/>
    </row>
    <row r="41" spans="1:7" s="44" customFormat="1" x14ac:dyDescent="0.3">
      <c r="A41" s="45"/>
      <c r="B41" s="46"/>
      <c r="C41" s="136" t="str">
        <f t="shared" ref="C41:C47" si="3" xml:space="preserve"> IF(B41="","",setValueToTime(B41))</f>
        <v/>
      </c>
      <c r="D41" s="47"/>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145" t="s">
        <v>29</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6" t="s">
        <v>14</v>
      </c>
      <c r="F51" s="217"/>
      <c r="G51" s="39"/>
    </row>
    <row r="52" spans="1:7" s="44" customFormat="1" x14ac:dyDescent="0.3">
      <c r="A52" s="41"/>
      <c r="B52" s="42"/>
      <c r="C52" s="135" t="str">
        <f xml:space="preserve"> IF(B52="","",setValueToTime(B52))</f>
        <v/>
      </c>
      <c r="D52" s="43"/>
      <c r="E52" s="208"/>
      <c r="F52" s="209"/>
      <c r="G52" s="3"/>
    </row>
    <row r="53" spans="1:7" s="44" customFormat="1" x14ac:dyDescent="0.3">
      <c r="A53" s="45"/>
      <c r="B53" s="46"/>
      <c r="C53" s="136" t="str">
        <f t="shared" ref="C53:C59" si="4" xml:space="preserve"> IF(B53="","",setValueToTime(B53))</f>
        <v/>
      </c>
      <c r="D53" s="47"/>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145" t="s">
        <v>29</v>
      </c>
      <c r="B60" s="68">
        <f>SUM(B52:B59)</f>
        <v>0</v>
      </c>
      <c r="C60" s="145" t="str">
        <f xml:space="preserve"> setValueToTime(B60)</f>
        <v>0h</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6" t="s">
        <v>14</v>
      </c>
      <c r="F63" s="217"/>
      <c r="G63" s="39"/>
    </row>
    <row r="64" spans="1:7" s="44" customFormat="1" x14ac:dyDescent="0.3">
      <c r="A64" s="41"/>
      <c r="B64" s="42"/>
      <c r="C64" s="135" t="str">
        <f xml:space="preserve"> IF(B64="","",setValueToTime(B64))</f>
        <v/>
      </c>
      <c r="D64" s="43"/>
      <c r="E64" s="208"/>
      <c r="F64" s="209"/>
      <c r="G64" s="3"/>
    </row>
    <row r="65" spans="1:7" s="44" customFormat="1" x14ac:dyDescent="0.3">
      <c r="A65" s="45"/>
      <c r="B65" s="46"/>
      <c r="C65" s="136" t="str">
        <f t="shared" ref="C65:C71" si="5" xml:space="preserve"> IF(B65="","",setValueToTime(B65))</f>
        <v/>
      </c>
      <c r="D65" s="47"/>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145" t="s">
        <v>29</v>
      </c>
      <c r="B72" s="68">
        <f>SUM(B64:B71)</f>
        <v>0</v>
      </c>
      <c r="C72" s="145" t="str">
        <f xml:space="preserve"> setValueToTime(B72)</f>
        <v>0h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6" t="s">
        <v>14</v>
      </c>
      <c r="F75" s="217"/>
      <c r="G75" s="39"/>
    </row>
    <row r="76" spans="1:7" s="44" customFormat="1" x14ac:dyDescent="0.3">
      <c r="A76" s="41"/>
      <c r="B76" s="42"/>
      <c r="C76" s="135" t="str">
        <f xml:space="preserve"> IF(B76="","",setValueToTime(B76))</f>
        <v/>
      </c>
      <c r="D76" s="43"/>
      <c r="E76" s="208"/>
      <c r="F76" s="209"/>
      <c r="G76" s="3"/>
    </row>
    <row r="77" spans="1:7" s="44" customFormat="1" x14ac:dyDescent="0.3">
      <c r="A77" s="45"/>
      <c r="B77" s="46"/>
      <c r="C77" s="136" t="str">
        <f t="shared" ref="C77:C83" si="6" xml:space="preserve"> IF(B77="","",setValueToTime(B77))</f>
        <v/>
      </c>
      <c r="D77" s="47"/>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145" t="s">
        <v>29</v>
      </c>
      <c r="B84" s="68">
        <f>SUM(B76:B83)</f>
        <v>0</v>
      </c>
      <c r="C84" s="145" t="str">
        <f xml:space="preserve"> setValueToTime(B84)</f>
        <v>0h</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6" t="s">
        <v>14</v>
      </c>
      <c r="F87" s="217"/>
      <c r="G87" s="39"/>
    </row>
    <row r="88" spans="1:7" s="44" customFormat="1" x14ac:dyDescent="0.3">
      <c r="A88" s="41"/>
      <c r="B88" s="42"/>
      <c r="C88" s="135" t="str">
        <f xml:space="preserve"> IF(B88="","",setValueToTime(B88))</f>
        <v/>
      </c>
      <c r="D88" s="43"/>
      <c r="E88" s="208"/>
      <c r="F88" s="209"/>
      <c r="G88" s="3"/>
    </row>
    <row r="89" spans="1:7" s="44" customFormat="1" x14ac:dyDescent="0.3">
      <c r="A89" s="45"/>
      <c r="B89" s="46"/>
      <c r="C89" s="136" t="str">
        <f t="shared" ref="C89:C95" si="7" xml:space="preserve"> IF(B89="","",setValueToTime(B89))</f>
        <v/>
      </c>
      <c r="D89" s="47"/>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145" t="s">
        <v>29</v>
      </c>
      <c r="B96" s="68">
        <f>SUM(B88:B95)</f>
        <v>0</v>
      </c>
      <c r="C96" s="145" t="str">
        <f xml:space="preserve"> setValueToTime(B96)</f>
        <v>0h</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6" t="s">
        <v>14</v>
      </c>
      <c r="F99" s="217"/>
      <c r="G99" s="39"/>
    </row>
    <row r="100" spans="1:7" s="44" customFormat="1" x14ac:dyDescent="0.3">
      <c r="A100" s="41"/>
      <c r="B100" s="42"/>
      <c r="C100" s="135" t="str">
        <f xml:space="preserve"> IF(B100="","",setValueToTime(B100))</f>
        <v/>
      </c>
      <c r="D100" s="43"/>
      <c r="E100" s="208"/>
      <c r="F100" s="209"/>
      <c r="G100" s="3"/>
    </row>
    <row r="101" spans="1:7" s="44" customFormat="1" x14ac:dyDescent="0.3">
      <c r="A101" s="45"/>
      <c r="B101" s="46"/>
      <c r="C101" s="136" t="str">
        <f t="shared" ref="C101:C107" si="8" xml:space="preserve"> IF(B101="","",setValueToTime(B101))</f>
        <v/>
      </c>
      <c r="D101" s="47"/>
      <c r="E101" s="210"/>
      <c r="F101" s="211"/>
      <c r="G101" s="3"/>
    </row>
    <row r="102" spans="1:7" s="44" customFormat="1" x14ac:dyDescent="0.3">
      <c r="A102" s="45"/>
      <c r="B102" s="46"/>
      <c r="C102" s="136" t="str">
        <f t="shared" si="8"/>
        <v/>
      </c>
      <c r="D102" s="47"/>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145" t="s">
        <v>29</v>
      </c>
      <c r="B108" s="68">
        <f>SUM(B100:B107)</f>
        <v>0</v>
      </c>
      <c r="C108" s="145" t="str">
        <f xml:space="preserve"> setValueToTime(B108)</f>
        <v>0h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6" t="s">
        <v>14</v>
      </c>
      <c r="F111" s="217"/>
      <c r="G111" s="39"/>
    </row>
    <row r="112" spans="1:7" s="44" customFormat="1" x14ac:dyDescent="0.3">
      <c r="A112" s="41"/>
      <c r="B112" s="42"/>
      <c r="C112" s="135" t="str">
        <f xml:space="preserve"> IF(B112="","",setValueToTime(B112))</f>
        <v/>
      </c>
      <c r="D112" s="43"/>
      <c r="E112" s="208"/>
      <c r="F112" s="209"/>
      <c r="G112" s="3"/>
    </row>
    <row r="113" spans="1:7" s="44" customFormat="1" x14ac:dyDescent="0.3">
      <c r="A113" s="45"/>
      <c r="B113" s="46"/>
      <c r="C113" s="136" t="str">
        <f t="shared" ref="C113:C119" si="9" xml:space="preserve"> IF(B113="","",setValueToTime(B113))</f>
        <v/>
      </c>
      <c r="D113" s="47"/>
      <c r="E113" s="210"/>
      <c r="F113" s="211"/>
      <c r="G113" s="3"/>
    </row>
    <row r="114" spans="1:7" s="44" customFormat="1" x14ac:dyDescent="0.3">
      <c r="A114" s="45"/>
      <c r="B114" s="46"/>
      <c r="C114" s="136" t="str">
        <f t="shared" si="9"/>
        <v/>
      </c>
      <c r="D114" s="47"/>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145" t="s">
        <v>29</v>
      </c>
      <c r="B120" s="68">
        <f>SUM(B112:B119)</f>
        <v>0</v>
      </c>
      <c r="C120" s="145" t="str">
        <f xml:space="preserve"> setValueToTime(B120)</f>
        <v>0h</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6" t="s">
        <v>14</v>
      </c>
      <c r="F123" s="217"/>
      <c r="G123" s="39"/>
    </row>
    <row r="124" spans="1:7" s="44" customFormat="1" x14ac:dyDescent="0.3">
      <c r="A124" s="41"/>
      <c r="B124" s="42"/>
      <c r="C124" s="135" t="str">
        <f xml:space="preserve"> IF(B124="","",setValueToTime(B124))</f>
        <v/>
      </c>
      <c r="D124" s="43"/>
      <c r="E124" s="208"/>
      <c r="F124" s="209"/>
      <c r="G124" s="3"/>
    </row>
    <row r="125" spans="1:7" s="44" customFormat="1" x14ac:dyDescent="0.3">
      <c r="A125" s="45"/>
      <c r="B125" s="46"/>
      <c r="C125" s="136" t="str">
        <f t="shared" ref="C125:C131" si="10" xml:space="preserve"> IF(B125="","",setValueToTime(B125))</f>
        <v/>
      </c>
      <c r="D125" s="47"/>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145" t="s">
        <v>29</v>
      </c>
      <c r="B132" s="68">
        <f>SUM(B124:B131)</f>
        <v>0</v>
      </c>
      <c r="C132" s="145" t="str">
        <f xml:space="preserve"> setValueToTime(B132)</f>
        <v>0h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6" t="s">
        <v>14</v>
      </c>
      <c r="F135" s="217"/>
      <c r="G135" s="39"/>
    </row>
    <row r="136" spans="1:7" s="44" customFormat="1" x14ac:dyDescent="0.3">
      <c r="A136" s="41"/>
      <c r="B136" s="42"/>
      <c r="C136" s="135" t="str">
        <f xml:space="preserve"> IF(B136="","",setValueToTime(B136))</f>
        <v/>
      </c>
      <c r="D136" s="43"/>
      <c r="E136" s="208"/>
      <c r="F136" s="209"/>
      <c r="G136" s="3"/>
    </row>
    <row r="137" spans="1:7" s="44" customFormat="1" x14ac:dyDescent="0.3">
      <c r="A137" s="45"/>
      <c r="B137" s="46"/>
      <c r="C137" s="136" t="str">
        <f t="shared" ref="C137:C143" si="11" xml:space="preserve"> IF(B137="","",setValueToTime(B137))</f>
        <v/>
      </c>
      <c r="D137" s="47"/>
      <c r="E137" s="210"/>
      <c r="F137" s="211"/>
      <c r="G137" s="3"/>
    </row>
    <row r="138" spans="1:7" s="44" customFormat="1" x14ac:dyDescent="0.3">
      <c r="A138" s="45"/>
      <c r="B138" s="46"/>
      <c r="C138" s="136" t="str">
        <f t="shared" si="11"/>
        <v/>
      </c>
      <c r="D138" s="47"/>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145" t="s">
        <v>29</v>
      </c>
      <c r="B144" s="68">
        <f>SUM(B136:B143)</f>
        <v>0</v>
      </c>
      <c r="C144" s="145" t="str">
        <f xml:space="preserve"> setValueToTime(B144)</f>
        <v>0h</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6" t="s">
        <v>14</v>
      </c>
      <c r="F147" s="217"/>
      <c r="G147" s="39"/>
    </row>
    <row r="148" spans="1:7" s="44" customFormat="1" x14ac:dyDescent="0.3">
      <c r="A148" s="41"/>
      <c r="B148" s="42"/>
      <c r="C148" s="135" t="str">
        <f xml:space="preserve"> IF(B148="","",setValueToTime(B148))</f>
        <v/>
      </c>
      <c r="D148" s="43"/>
      <c r="E148" s="208"/>
      <c r="F148" s="209"/>
      <c r="G148" s="3"/>
    </row>
    <row r="149" spans="1:7" s="44" customFormat="1" x14ac:dyDescent="0.3">
      <c r="A149" s="45"/>
      <c r="B149" s="46"/>
      <c r="C149" s="136" t="str">
        <f t="shared" ref="C149:C155" si="12" xml:space="preserve"> IF(B149="","",setValueToTime(B149))</f>
        <v/>
      </c>
      <c r="D149" s="47"/>
      <c r="E149" s="210"/>
      <c r="F149" s="211"/>
      <c r="G149" s="3"/>
    </row>
    <row r="150" spans="1:7" s="44" customFormat="1" x14ac:dyDescent="0.3">
      <c r="A150" s="45"/>
      <c r="B150" s="46"/>
      <c r="C150" s="136" t="str">
        <f t="shared" si="12"/>
        <v/>
      </c>
      <c r="D150" s="47"/>
      <c r="E150" s="210"/>
      <c r="F150" s="211"/>
      <c r="G150" s="3"/>
    </row>
    <row r="151" spans="1:7" s="44" customFormat="1" x14ac:dyDescent="0.3">
      <c r="A151" s="45"/>
      <c r="B151" s="46"/>
      <c r="C151" s="136" t="str">
        <f t="shared" si="12"/>
        <v/>
      </c>
      <c r="D151" s="47"/>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145" t="s">
        <v>29</v>
      </c>
      <c r="B156" s="68">
        <f>SUM(B148:B155)</f>
        <v>0</v>
      </c>
      <c r="C156" s="145" t="str">
        <f xml:space="preserve"> setValueToTime(B156)</f>
        <v>0h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6" t="s">
        <v>14</v>
      </c>
      <c r="F159" s="217"/>
      <c r="G159" s="39"/>
    </row>
    <row r="160" spans="1:7" s="44" customFormat="1" x14ac:dyDescent="0.3">
      <c r="A160" s="41"/>
      <c r="B160" s="42"/>
      <c r="C160" s="135" t="str">
        <f xml:space="preserve"> IF(B160="","",setValueToTime(B160))</f>
        <v/>
      </c>
      <c r="D160" s="43"/>
      <c r="E160" s="208"/>
      <c r="F160" s="209"/>
      <c r="G160" s="3"/>
    </row>
    <row r="161" spans="1:7" s="44" customFormat="1" x14ac:dyDescent="0.3">
      <c r="A161" s="45"/>
      <c r="B161" s="46"/>
      <c r="C161" s="136" t="str">
        <f t="shared" ref="C161:C167" si="13" xml:space="preserve"> IF(B161="","",setValueToTime(B161))</f>
        <v/>
      </c>
      <c r="D161" s="47"/>
      <c r="E161" s="210"/>
      <c r="F161" s="211"/>
      <c r="G161" s="3"/>
    </row>
    <row r="162" spans="1:7" s="44" customFormat="1" x14ac:dyDescent="0.3">
      <c r="A162" s="45"/>
      <c r="B162" s="46"/>
      <c r="C162" s="136" t="str">
        <f t="shared" si="13"/>
        <v/>
      </c>
      <c r="D162" s="47"/>
      <c r="E162" s="210"/>
      <c r="F162" s="211"/>
      <c r="G162" s="3"/>
    </row>
    <row r="163" spans="1:7" s="44" customFormat="1" x14ac:dyDescent="0.3">
      <c r="A163" s="45"/>
      <c r="B163" s="46"/>
      <c r="C163" s="136" t="str">
        <f t="shared" si="13"/>
        <v/>
      </c>
      <c r="D163" s="47"/>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145" t="s">
        <v>29</v>
      </c>
      <c r="B168" s="68">
        <f>SUM(B160:B167)</f>
        <v>0</v>
      </c>
      <c r="C168" s="145" t="str">
        <f xml:space="preserve"> setValueToTime(B168)</f>
        <v>0h</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6" t="s">
        <v>14</v>
      </c>
      <c r="F171" s="217"/>
      <c r="G171" s="39"/>
    </row>
    <row r="172" spans="1:7" s="44" customFormat="1" x14ac:dyDescent="0.3">
      <c r="A172" s="41"/>
      <c r="B172" s="42"/>
      <c r="C172" s="135" t="str">
        <f xml:space="preserve"> IF(B172="","",setValueToTime(B172))</f>
        <v/>
      </c>
      <c r="D172" s="43"/>
      <c r="E172" s="208"/>
      <c r="F172" s="209"/>
      <c r="G172" s="3"/>
    </row>
    <row r="173" spans="1:7" s="44" customFormat="1" x14ac:dyDescent="0.3">
      <c r="A173" s="45"/>
      <c r="B173" s="46"/>
      <c r="C173" s="136" t="str">
        <f t="shared" ref="C173:C179" si="14" xml:space="preserve"> IF(B173="","",setValueToTime(B173))</f>
        <v/>
      </c>
      <c r="D173" s="47"/>
      <c r="E173" s="210"/>
      <c r="F173" s="211"/>
      <c r="G173" s="3"/>
    </row>
    <row r="174" spans="1:7" s="44" customFormat="1" x14ac:dyDescent="0.3">
      <c r="A174" s="45"/>
      <c r="B174" s="46"/>
      <c r="C174" s="136" t="str">
        <f t="shared" si="14"/>
        <v/>
      </c>
      <c r="D174" s="47"/>
      <c r="E174" s="210"/>
      <c r="F174" s="211"/>
      <c r="G174" s="3"/>
    </row>
    <row r="175" spans="1:7" s="44" customFormat="1" x14ac:dyDescent="0.3">
      <c r="A175" s="45"/>
      <c r="B175" s="46"/>
      <c r="C175" s="136" t="str">
        <f t="shared" si="14"/>
        <v/>
      </c>
      <c r="D175" s="47"/>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145" t="s">
        <v>29</v>
      </c>
      <c r="B180" s="68">
        <f>SUM(B172:B179)</f>
        <v>0</v>
      </c>
      <c r="C180" s="145" t="str">
        <f xml:space="preserve"> setValueToTime(B180)</f>
        <v>0h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6" t="s">
        <v>14</v>
      </c>
      <c r="F183" s="217"/>
      <c r="G183" s="39"/>
    </row>
    <row r="184" spans="1:7" s="44" customFormat="1" x14ac:dyDescent="0.3">
      <c r="A184" s="41"/>
      <c r="B184" s="42"/>
      <c r="C184" s="135" t="str">
        <f xml:space="preserve"> IF(B184="","",setValueToTime(B184))</f>
        <v/>
      </c>
      <c r="D184" s="43"/>
      <c r="E184" s="208"/>
      <c r="F184" s="209"/>
      <c r="G184" s="3"/>
    </row>
    <row r="185" spans="1:7" s="44" customFormat="1" x14ac:dyDescent="0.3">
      <c r="A185" s="45"/>
      <c r="B185" s="46"/>
      <c r="C185" s="136" t="str">
        <f t="shared" ref="C185:C191" si="15" xml:space="preserve"> IF(B185="","",setValueToTime(B185))</f>
        <v/>
      </c>
      <c r="D185" s="47"/>
      <c r="E185" s="210"/>
      <c r="F185" s="211"/>
      <c r="G185" s="3"/>
    </row>
    <row r="186" spans="1:7" s="44" customFormat="1" x14ac:dyDescent="0.3">
      <c r="A186" s="45"/>
      <c r="B186" s="46"/>
      <c r="C186" s="136" t="str">
        <f t="shared" si="15"/>
        <v/>
      </c>
      <c r="D186" s="47"/>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145" t="s">
        <v>29</v>
      </c>
      <c r="B192" s="68">
        <f>SUM(B184:B191)</f>
        <v>0</v>
      </c>
      <c r="C192" s="145" t="str">
        <f xml:space="preserve"> setValueToTime(B192)</f>
        <v>0h</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6" t="s">
        <v>14</v>
      </c>
      <c r="F195" s="217"/>
      <c r="G195" s="39"/>
    </row>
    <row r="196" spans="1:7" s="44" customFormat="1" x14ac:dyDescent="0.3">
      <c r="A196" s="41"/>
      <c r="B196" s="42"/>
      <c r="C196" s="135" t="str">
        <f xml:space="preserve"> IF(B196="","",setValueToTime(B196))</f>
        <v/>
      </c>
      <c r="D196" s="43"/>
      <c r="E196" s="208"/>
      <c r="F196" s="209"/>
      <c r="G196" s="3"/>
    </row>
    <row r="197" spans="1:7" s="44" customFormat="1" x14ac:dyDescent="0.3">
      <c r="A197" s="45"/>
      <c r="B197" s="46"/>
      <c r="C197" s="136" t="str">
        <f t="shared" ref="C197:C203" si="16" xml:space="preserve"> IF(B197="","",setValueToTime(B197))</f>
        <v/>
      </c>
      <c r="D197" s="47"/>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145" t="s">
        <v>29</v>
      </c>
      <c r="B204" s="68">
        <f>SUM(B196:B203)</f>
        <v>0</v>
      </c>
      <c r="C204" s="145" t="str">
        <f xml:space="preserve"> setValueToTime(B204)</f>
        <v>0h</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6" t="s">
        <v>14</v>
      </c>
      <c r="F207" s="217"/>
      <c r="G207" s="39"/>
    </row>
    <row r="208" spans="1:7" s="44" customFormat="1" x14ac:dyDescent="0.3">
      <c r="A208" s="41"/>
      <c r="B208" s="42">
        <v>9</v>
      </c>
      <c r="C208" s="135" t="str">
        <f xml:space="preserve"> IF(B208="","",setValueToTime(B208))</f>
        <v>0h45min</v>
      </c>
      <c r="D208" s="170" t="s">
        <v>176</v>
      </c>
      <c r="E208" s="208"/>
      <c r="F208" s="209"/>
      <c r="G208" s="3"/>
    </row>
    <row r="209" spans="1:7" s="44" customFormat="1" x14ac:dyDescent="0.3">
      <c r="A209" s="45"/>
      <c r="B209" s="46">
        <v>5</v>
      </c>
      <c r="C209" s="136" t="str">
        <f t="shared" ref="C209:C215" si="17" xml:space="preserve"> IF(B209="","",setValueToTime(B209))</f>
        <v>0h25min</v>
      </c>
      <c r="D209" s="171" t="s">
        <v>177</v>
      </c>
      <c r="E209" s="210"/>
      <c r="F209" s="211"/>
      <c r="G209" s="3"/>
    </row>
    <row r="210" spans="1:7" s="44" customFormat="1" ht="81" x14ac:dyDescent="0.3">
      <c r="A210" s="45" t="s">
        <v>64</v>
      </c>
      <c r="B210" s="46">
        <v>18</v>
      </c>
      <c r="C210" s="136" t="str">
        <f t="shared" si="17"/>
        <v>1h30min</v>
      </c>
      <c r="D210" s="171" t="s">
        <v>178</v>
      </c>
      <c r="E210" s="210"/>
      <c r="F210" s="211"/>
      <c r="G210" s="3"/>
    </row>
    <row r="211" spans="1:7" s="44" customFormat="1" ht="27" x14ac:dyDescent="0.3">
      <c r="A211" s="45" t="s">
        <v>63</v>
      </c>
      <c r="B211" s="46">
        <v>14</v>
      </c>
      <c r="C211" s="136" t="str">
        <f t="shared" si="17"/>
        <v>1h10min</v>
      </c>
      <c r="D211" s="171" t="s">
        <v>179</v>
      </c>
      <c r="E211" s="210"/>
      <c r="F211" s="211"/>
      <c r="G211" s="3"/>
    </row>
    <row r="212" spans="1:7" s="44" customFormat="1" ht="27" x14ac:dyDescent="0.3">
      <c r="A212" s="46" t="s">
        <v>17</v>
      </c>
      <c r="B212" s="46">
        <v>2</v>
      </c>
      <c r="C212" s="137" t="str">
        <f t="shared" si="17"/>
        <v>0h10min</v>
      </c>
      <c r="D212" s="171" t="s">
        <v>53</v>
      </c>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145" t="s">
        <v>29</v>
      </c>
      <c r="B216" s="68">
        <f>SUM(B208:B215)</f>
        <v>48</v>
      </c>
      <c r="C216" s="145" t="str">
        <f xml:space="preserve"> setValueToTime(B216)</f>
        <v>4h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6" t="s">
        <v>14</v>
      </c>
      <c r="F219" s="217"/>
      <c r="G219" s="39"/>
    </row>
    <row r="220" spans="1:7" s="44" customFormat="1" x14ac:dyDescent="0.3">
      <c r="A220" s="41" t="s">
        <v>16</v>
      </c>
      <c r="B220" s="42">
        <v>32</v>
      </c>
      <c r="C220" s="135" t="str">
        <f xml:space="preserve"> IF(B220="","",setValueToTime(B220))</f>
        <v>2h40min</v>
      </c>
      <c r="D220" s="170" t="s">
        <v>56</v>
      </c>
      <c r="E220" s="208"/>
      <c r="F220" s="209"/>
      <c r="G220" s="3"/>
    </row>
    <row r="221" spans="1:7" s="44" customFormat="1" ht="27" x14ac:dyDescent="0.3">
      <c r="A221" s="45" t="s">
        <v>68</v>
      </c>
      <c r="B221" s="46">
        <v>4</v>
      </c>
      <c r="C221" s="136" t="str">
        <f t="shared" ref="C221:C227" si="18" xml:space="preserve"> IF(B221="","",setValueToTime(B221))</f>
        <v>0h20min</v>
      </c>
      <c r="D221" s="171" t="s">
        <v>174</v>
      </c>
      <c r="E221" s="210"/>
      <c r="F221" s="211"/>
      <c r="G221" s="3"/>
    </row>
    <row r="222" spans="1:7" s="44" customFormat="1" x14ac:dyDescent="0.3">
      <c r="A222" s="45" t="s">
        <v>111</v>
      </c>
      <c r="B222" s="46">
        <v>2</v>
      </c>
      <c r="C222" s="136" t="str">
        <f t="shared" si="18"/>
        <v>0h10min</v>
      </c>
      <c r="D222" s="171" t="s">
        <v>175</v>
      </c>
      <c r="E222" s="210"/>
      <c r="F222" s="211"/>
      <c r="G222" s="3"/>
    </row>
    <row r="223" spans="1:7" s="44" customFormat="1" x14ac:dyDescent="0.3">
      <c r="A223" s="45"/>
      <c r="B223" s="46"/>
      <c r="C223" s="136" t="str">
        <f t="shared" si="18"/>
        <v/>
      </c>
      <c r="D223" s="171"/>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145" t="s">
        <v>29</v>
      </c>
      <c r="B228" s="68">
        <f>SUM(B220:B227)</f>
        <v>38</v>
      </c>
      <c r="C228" s="145" t="str">
        <f xml:space="preserve"> setValueToTime(B228)</f>
        <v>3h10min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6" t="s">
        <v>14</v>
      </c>
      <c r="F231" s="217"/>
      <c r="G231" s="39"/>
    </row>
    <row r="232" spans="1:7" s="44" customFormat="1" ht="27" x14ac:dyDescent="0.3">
      <c r="A232" s="41" t="s">
        <v>63</v>
      </c>
      <c r="B232" s="42">
        <v>3</v>
      </c>
      <c r="C232" s="135" t="str">
        <f xml:space="preserve"> IF(B232="","",setValueToTime(B232))</f>
        <v>0h15min</v>
      </c>
      <c r="D232" s="170" t="s">
        <v>172</v>
      </c>
      <c r="E232" s="208"/>
      <c r="F232" s="209"/>
      <c r="G232" s="3"/>
    </row>
    <row r="233" spans="1:7" s="44" customFormat="1" ht="27" x14ac:dyDescent="0.3">
      <c r="A233" s="45" t="s">
        <v>64</v>
      </c>
      <c r="B233" s="46">
        <v>18</v>
      </c>
      <c r="C233" s="136" t="str">
        <f t="shared" ref="C233:C239" si="19" xml:space="preserve"> IF(B233="","",setValueToTime(B233))</f>
        <v>1h30min</v>
      </c>
      <c r="D233" s="171" t="s">
        <v>173</v>
      </c>
      <c r="E233" s="210"/>
      <c r="F233" s="211"/>
      <c r="G233" s="3"/>
    </row>
    <row r="234" spans="1:7" s="44" customFormat="1" ht="27" x14ac:dyDescent="0.3">
      <c r="A234" s="45" t="s">
        <v>68</v>
      </c>
      <c r="B234" s="46">
        <v>8</v>
      </c>
      <c r="C234" s="136" t="str">
        <f t="shared" si="19"/>
        <v>0h40min</v>
      </c>
      <c r="D234" s="171" t="s">
        <v>171</v>
      </c>
      <c r="E234" s="210"/>
      <c r="F234" s="211"/>
      <c r="G234" s="3"/>
    </row>
    <row r="235" spans="1:7" s="44" customFormat="1" x14ac:dyDescent="0.3">
      <c r="A235" s="45" t="s">
        <v>16</v>
      </c>
      <c r="B235" s="46">
        <v>15</v>
      </c>
      <c r="C235" s="136" t="str">
        <f t="shared" si="19"/>
        <v>1h15min</v>
      </c>
      <c r="D235" s="171" t="s">
        <v>55</v>
      </c>
      <c r="E235" s="210"/>
      <c r="F235" s="211"/>
      <c r="G235" s="3"/>
    </row>
    <row r="236" spans="1:7" s="44" customFormat="1" x14ac:dyDescent="0.3">
      <c r="A236" s="46" t="s">
        <v>111</v>
      </c>
      <c r="B236" s="46">
        <v>2</v>
      </c>
      <c r="C236" s="137" t="str">
        <f t="shared" si="19"/>
        <v>0h10min</v>
      </c>
      <c r="D236" s="171" t="s">
        <v>170</v>
      </c>
      <c r="E236" s="210"/>
      <c r="F236" s="211"/>
      <c r="G236" s="3"/>
    </row>
    <row r="237" spans="1:7" s="44" customFormat="1" ht="27" x14ac:dyDescent="0.3">
      <c r="A237" s="46" t="s">
        <v>17</v>
      </c>
      <c r="B237" s="46">
        <v>2</v>
      </c>
      <c r="C237" s="137" t="str">
        <f t="shared" si="19"/>
        <v>0h10min</v>
      </c>
      <c r="D237" s="171" t="s">
        <v>53</v>
      </c>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8"/>
      <c r="C239" s="138" t="str">
        <f t="shared" si="19"/>
        <v/>
      </c>
      <c r="D239" s="49"/>
      <c r="E239" s="214"/>
      <c r="F239" s="215"/>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6" t="s">
        <v>14</v>
      </c>
      <c r="F243" s="217"/>
      <c r="G243" s="39"/>
    </row>
    <row r="244" spans="1:7" s="44" customFormat="1" x14ac:dyDescent="0.3">
      <c r="A244" s="41"/>
      <c r="B244" s="42">
        <v>13</v>
      </c>
      <c r="C244" s="135" t="str">
        <f xml:space="preserve"> IF(B244="","",setValueToTime(B244))</f>
        <v>1h5min</v>
      </c>
      <c r="D244" s="170" t="s">
        <v>49</v>
      </c>
      <c r="E244" s="208"/>
      <c r="F244" s="209"/>
      <c r="G244" s="3"/>
    </row>
    <row r="245" spans="1:7" s="44" customFormat="1" ht="67.5" x14ac:dyDescent="0.3">
      <c r="A245" s="45"/>
      <c r="B245" s="46">
        <v>22</v>
      </c>
      <c r="C245" s="136" t="str">
        <f t="shared" ref="C245:C251" si="20" xml:space="preserve"> IF(B245="","",setValueToTime(B245))</f>
        <v>1h50min</v>
      </c>
      <c r="D245" s="171" t="s">
        <v>167</v>
      </c>
      <c r="E245" s="220" t="s">
        <v>168</v>
      </c>
      <c r="F245" s="211"/>
      <c r="G245" s="3"/>
    </row>
    <row r="246" spans="1:7" s="44" customFormat="1" x14ac:dyDescent="0.3">
      <c r="A246" s="45"/>
      <c r="B246" s="46"/>
      <c r="C246" s="136" t="str">
        <f t="shared" si="20"/>
        <v/>
      </c>
      <c r="D246" s="171"/>
      <c r="E246" s="210"/>
      <c r="F246" s="211"/>
      <c r="G246" s="3"/>
    </row>
    <row r="247" spans="1:7" s="44" customFormat="1" x14ac:dyDescent="0.3">
      <c r="A247" s="45"/>
      <c r="B247" s="46">
        <v>3</v>
      </c>
      <c r="C247" s="136" t="str">
        <f t="shared" si="20"/>
        <v>0h15min</v>
      </c>
      <c r="D247" s="171" t="s">
        <v>53</v>
      </c>
      <c r="E247" s="210"/>
      <c r="F247" s="211"/>
      <c r="G247" s="3"/>
    </row>
    <row r="248" spans="1:7" s="44" customFormat="1" x14ac:dyDescent="0.3">
      <c r="A248" s="46"/>
      <c r="B248" s="46"/>
      <c r="C248" s="137" t="str">
        <f t="shared" si="20"/>
        <v/>
      </c>
      <c r="D248" s="47"/>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6" t="s">
        <v>14</v>
      </c>
      <c r="F255" s="217"/>
      <c r="G255" s="39"/>
    </row>
    <row r="256" spans="1:7" s="44" customFormat="1" x14ac:dyDescent="0.3">
      <c r="A256" s="41"/>
      <c r="B256" s="42">
        <v>2</v>
      </c>
      <c r="C256" s="135" t="str">
        <f xml:space="preserve"> IF(B256="","",setValueToTime(B256))</f>
        <v>0h10min</v>
      </c>
      <c r="D256" s="170" t="s">
        <v>162</v>
      </c>
      <c r="E256" s="208"/>
      <c r="F256" s="209"/>
      <c r="G256" s="3"/>
    </row>
    <row r="257" spans="1:7" s="44" customFormat="1" ht="27" x14ac:dyDescent="0.3">
      <c r="A257" s="45"/>
      <c r="B257" s="46">
        <v>8</v>
      </c>
      <c r="C257" s="136" t="str">
        <f t="shared" ref="C257:C263" si="21" xml:space="preserve"> IF(B257="","",setValueToTime(B257))</f>
        <v>0h40min</v>
      </c>
      <c r="D257" s="171" t="s">
        <v>169</v>
      </c>
      <c r="E257" s="210"/>
      <c r="F257" s="211"/>
      <c r="G257" s="3"/>
    </row>
    <row r="258" spans="1:7" s="44" customFormat="1" x14ac:dyDescent="0.3">
      <c r="A258" s="45"/>
      <c r="B258" s="46">
        <v>15</v>
      </c>
      <c r="C258" s="136" t="str">
        <f t="shared" si="21"/>
        <v>1h15min</v>
      </c>
      <c r="D258" s="171" t="s">
        <v>163</v>
      </c>
      <c r="E258" s="210"/>
      <c r="F258" s="211"/>
      <c r="G258" s="3"/>
    </row>
    <row r="259" spans="1:7" s="44" customFormat="1" x14ac:dyDescent="0.3">
      <c r="A259" s="45"/>
      <c r="B259" s="46">
        <v>9</v>
      </c>
      <c r="C259" s="136" t="str">
        <f t="shared" si="21"/>
        <v>0h45min</v>
      </c>
      <c r="D259" s="47" t="s">
        <v>115</v>
      </c>
      <c r="E259" s="210"/>
      <c r="F259" s="211"/>
      <c r="G259" s="3"/>
    </row>
    <row r="260" spans="1:7" s="44" customFormat="1" x14ac:dyDescent="0.3">
      <c r="A260" s="46"/>
      <c r="B260" s="46">
        <v>5</v>
      </c>
      <c r="C260" s="137" t="str">
        <f t="shared" si="21"/>
        <v>0h25min</v>
      </c>
      <c r="D260" s="171" t="s">
        <v>164</v>
      </c>
      <c r="E260" s="210"/>
      <c r="F260" s="211"/>
      <c r="G260" s="3"/>
    </row>
    <row r="261" spans="1:7" s="44" customFormat="1" ht="27" x14ac:dyDescent="0.3">
      <c r="A261" s="46"/>
      <c r="B261" s="46">
        <v>5</v>
      </c>
      <c r="C261" s="137" t="str">
        <f t="shared" si="21"/>
        <v>0h25min</v>
      </c>
      <c r="D261" s="171" t="s">
        <v>165</v>
      </c>
      <c r="E261" s="210"/>
      <c r="F261" s="211"/>
      <c r="G261" s="3"/>
    </row>
    <row r="262" spans="1:7" s="44" customFormat="1" x14ac:dyDescent="0.3">
      <c r="A262" s="46"/>
      <c r="B262" s="46">
        <v>4</v>
      </c>
      <c r="C262" s="137" t="str">
        <f t="shared" si="21"/>
        <v>0h20min</v>
      </c>
      <c r="D262" s="171" t="s">
        <v>166</v>
      </c>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6" t="s">
        <v>14</v>
      </c>
      <c r="F267" s="217"/>
      <c r="G267" s="39"/>
    </row>
    <row r="268" spans="1:7" s="44" customFormat="1" x14ac:dyDescent="0.3">
      <c r="A268" s="41" t="s">
        <v>16</v>
      </c>
      <c r="B268" s="42">
        <v>10</v>
      </c>
      <c r="C268" s="135" t="str">
        <f xml:space="preserve"> IF(B268="","",setValueToTime(B268))</f>
        <v>0h50min</v>
      </c>
      <c r="D268" s="170" t="s">
        <v>158</v>
      </c>
      <c r="E268" s="208"/>
      <c r="F268" s="209"/>
      <c r="G268" s="3"/>
    </row>
    <row r="269" spans="1:7" s="44" customFormat="1" ht="27" x14ac:dyDescent="0.3">
      <c r="A269" s="45" t="s">
        <v>114</v>
      </c>
      <c r="B269" s="46">
        <v>11</v>
      </c>
      <c r="C269" s="136" t="str">
        <f t="shared" ref="C269:C275" si="22" xml:space="preserve"> IF(B269="","",setValueToTime(B269))</f>
        <v>0h55min</v>
      </c>
      <c r="D269" s="171" t="s">
        <v>159</v>
      </c>
      <c r="E269" s="210"/>
      <c r="F269" s="211"/>
      <c r="G269" s="3"/>
    </row>
    <row r="270" spans="1:7" s="44" customFormat="1" x14ac:dyDescent="0.3">
      <c r="A270" s="45" t="s">
        <v>16</v>
      </c>
      <c r="B270" s="46">
        <v>4</v>
      </c>
      <c r="C270" s="136" t="str">
        <f t="shared" si="22"/>
        <v>0h20min</v>
      </c>
      <c r="D270" s="171" t="s">
        <v>56</v>
      </c>
      <c r="E270" s="210"/>
      <c r="F270" s="211"/>
      <c r="G270" s="3"/>
    </row>
    <row r="271" spans="1:7" s="44" customFormat="1" ht="27" x14ac:dyDescent="0.3">
      <c r="A271" s="45" t="s">
        <v>17</v>
      </c>
      <c r="B271" s="46">
        <v>2</v>
      </c>
      <c r="C271" s="136" t="str">
        <f t="shared" si="22"/>
        <v>0h10min</v>
      </c>
      <c r="D271" s="171" t="s">
        <v>160</v>
      </c>
      <c r="E271" s="210"/>
      <c r="F271" s="211"/>
      <c r="G271" s="3"/>
    </row>
    <row r="272" spans="1:7" s="44" customFormat="1" x14ac:dyDescent="0.3">
      <c r="A272" s="46" t="s">
        <v>111</v>
      </c>
      <c r="B272" s="46">
        <v>1</v>
      </c>
      <c r="C272" s="137" t="str">
        <f t="shared" si="22"/>
        <v>0h5min</v>
      </c>
      <c r="D272" s="171" t="s">
        <v>161</v>
      </c>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8"/>
      <c r="B275" s="48"/>
      <c r="C275" s="138" t="str">
        <f t="shared" si="22"/>
        <v/>
      </c>
      <c r="D275" s="49"/>
      <c r="E275" s="214"/>
      <c r="F275" s="215"/>
      <c r="G275" s="3"/>
    </row>
    <row r="276" spans="1:7" s="44" customFormat="1" ht="15" thickBot="1" x14ac:dyDescent="0.35">
      <c r="A276" s="145" t="s">
        <v>29</v>
      </c>
      <c r="B276" s="68">
        <f>SUM(B268:B275)</f>
        <v>28</v>
      </c>
      <c r="C276" s="145" t="str">
        <f xml:space="preserve"> setValueToTime(B276)</f>
        <v>2h20min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6" t="s">
        <v>14</v>
      </c>
      <c r="F279" s="217"/>
      <c r="G279" s="39"/>
    </row>
    <row r="280" spans="1:7" s="44" customFormat="1" x14ac:dyDescent="0.3">
      <c r="A280" s="41" t="s">
        <v>4</v>
      </c>
      <c r="B280" s="46">
        <v>12</v>
      </c>
      <c r="C280" s="135" t="str">
        <f xml:space="preserve"> IF(B280="","",setValueToTime(B280))</f>
        <v>1h</v>
      </c>
      <c r="D280" s="170" t="s">
        <v>156</v>
      </c>
      <c r="E280" s="208"/>
      <c r="F280" s="209"/>
      <c r="G280" s="3"/>
    </row>
    <row r="281" spans="1:7" s="44" customFormat="1" x14ac:dyDescent="0.3">
      <c r="A281" s="45" t="s">
        <v>4</v>
      </c>
      <c r="B281" s="46">
        <v>3</v>
      </c>
      <c r="C281" s="136" t="str">
        <f t="shared" ref="C281:C287" si="23" xml:space="preserve"> IF(B281="","",setValueToTime(B281))</f>
        <v>0h15min</v>
      </c>
      <c r="D281" s="47" t="s">
        <v>150</v>
      </c>
      <c r="E281" s="210"/>
      <c r="F281" s="211"/>
      <c r="G281" s="3"/>
    </row>
    <row r="282" spans="1:7" s="44" customFormat="1" ht="27" x14ac:dyDescent="0.3">
      <c r="A282" s="45" t="s">
        <v>68</v>
      </c>
      <c r="B282" s="46">
        <v>6</v>
      </c>
      <c r="C282" s="136" t="str">
        <f t="shared" si="23"/>
        <v>0h30min</v>
      </c>
      <c r="D282" s="171" t="s">
        <v>151</v>
      </c>
      <c r="E282" s="210"/>
      <c r="F282" s="211"/>
      <c r="G282" s="3"/>
    </row>
    <row r="283" spans="1:7" s="44" customFormat="1" x14ac:dyDescent="0.3">
      <c r="A283" s="45" t="s">
        <v>16</v>
      </c>
      <c r="B283" s="46">
        <v>5</v>
      </c>
      <c r="C283" s="136" t="str">
        <f t="shared" si="23"/>
        <v>0h25min</v>
      </c>
      <c r="D283" s="171" t="s">
        <v>152</v>
      </c>
      <c r="E283" s="221" t="s">
        <v>153</v>
      </c>
      <c r="F283" s="222"/>
      <c r="G283" s="3"/>
    </row>
    <row r="284" spans="1:7" s="44" customFormat="1" ht="27" x14ac:dyDescent="0.3">
      <c r="A284" s="46" t="s">
        <v>17</v>
      </c>
      <c r="B284" s="46">
        <v>2</v>
      </c>
      <c r="C284" s="137" t="str">
        <f t="shared" si="23"/>
        <v>0h10min</v>
      </c>
      <c r="D284" s="171" t="s">
        <v>53</v>
      </c>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8"/>
      <c r="C287" s="138" t="str">
        <f t="shared" si="23"/>
        <v/>
      </c>
      <c r="D287" s="49"/>
      <c r="E287" s="214"/>
      <c r="F287" s="215"/>
      <c r="G287" s="3"/>
    </row>
    <row r="288" spans="1:7" s="44" customFormat="1" ht="15" thickBot="1" x14ac:dyDescent="0.35">
      <c r="A288" s="145" t="s">
        <v>29</v>
      </c>
      <c r="B288" s="68">
        <f>SUM(B280:B287)</f>
        <v>28</v>
      </c>
      <c r="C288" s="145" t="str">
        <f xml:space="preserve"> setValueToTime(B288)</f>
        <v>2h20min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6" t="s">
        <v>14</v>
      </c>
      <c r="F291" s="217"/>
      <c r="G291" s="39"/>
    </row>
    <row r="292" spans="1:7" s="44" customFormat="1" ht="40.5" x14ac:dyDescent="0.3">
      <c r="A292" s="41" t="s">
        <v>32</v>
      </c>
      <c r="B292" s="42">
        <v>18</v>
      </c>
      <c r="C292" s="135" t="str">
        <f xml:space="preserve"> IF(B292="","",setValueToTime(B292))</f>
        <v>1h30min</v>
      </c>
      <c r="D292" s="170" t="s">
        <v>154</v>
      </c>
      <c r="E292" s="208"/>
      <c r="F292" s="209"/>
      <c r="G292" s="3"/>
    </row>
    <row r="293" spans="1:7" s="44" customFormat="1" ht="40.5" x14ac:dyDescent="0.3">
      <c r="A293" s="45" t="s">
        <v>68</v>
      </c>
      <c r="B293" s="46">
        <v>13</v>
      </c>
      <c r="C293" s="136" t="str">
        <f t="shared" ref="C293:C299" si="24" xml:space="preserve"> IF(B293="","",setValueToTime(B293))</f>
        <v>1h5min</v>
      </c>
      <c r="D293" s="171" t="s">
        <v>157</v>
      </c>
      <c r="E293" s="210"/>
      <c r="F293" s="211"/>
      <c r="G293" s="3"/>
    </row>
    <row r="294" spans="1:7" s="44" customFormat="1" ht="27" x14ac:dyDescent="0.3">
      <c r="A294" s="45" t="s">
        <v>16</v>
      </c>
      <c r="B294" s="46">
        <v>12</v>
      </c>
      <c r="C294" s="136" t="str">
        <f t="shared" si="24"/>
        <v>1h</v>
      </c>
      <c r="D294" s="171" t="s">
        <v>149</v>
      </c>
      <c r="E294" s="210"/>
      <c r="F294" s="211"/>
      <c r="G294" s="3"/>
    </row>
    <row r="295" spans="1:7" s="44" customFormat="1" x14ac:dyDescent="0.3">
      <c r="A295" s="45" t="s">
        <v>66</v>
      </c>
      <c r="B295" s="46">
        <v>1</v>
      </c>
      <c r="C295" s="136" t="str">
        <f t="shared" si="24"/>
        <v>0h5min</v>
      </c>
      <c r="D295" s="171" t="s">
        <v>147</v>
      </c>
      <c r="E295" s="210"/>
      <c r="F295" s="211"/>
      <c r="G295" s="3"/>
    </row>
    <row r="296" spans="1:7" s="44" customFormat="1" x14ac:dyDescent="0.3">
      <c r="A296" s="46" t="s">
        <v>111</v>
      </c>
      <c r="B296" s="46">
        <v>2</v>
      </c>
      <c r="C296" s="137" t="str">
        <f t="shared" si="24"/>
        <v>0h10min</v>
      </c>
      <c r="D296" s="171" t="s">
        <v>148</v>
      </c>
      <c r="E296" s="210"/>
      <c r="F296" s="211"/>
      <c r="G296" s="3"/>
    </row>
    <row r="297" spans="1:7" s="44" customFormat="1" ht="27" x14ac:dyDescent="0.3">
      <c r="A297" s="46" t="s">
        <v>17</v>
      </c>
      <c r="B297" s="46">
        <v>2</v>
      </c>
      <c r="C297" s="137" t="str">
        <f t="shared" si="24"/>
        <v>0h10min</v>
      </c>
      <c r="D297" s="171" t="s">
        <v>53</v>
      </c>
      <c r="E297" s="210"/>
      <c r="F297" s="211"/>
      <c r="G297" s="3"/>
    </row>
    <row r="298" spans="1:7" s="44" customFormat="1" x14ac:dyDescent="0.3">
      <c r="A298" s="46"/>
      <c r="B298" s="46"/>
      <c r="C298" s="137" t="str">
        <f t="shared" si="24"/>
        <v/>
      </c>
      <c r="D298" s="171"/>
      <c r="E298" s="210"/>
      <c r="F298" s="211"/>
      <c r="G298" s="3"/>
    </row>
    <row r="299" spans="1:7" s="44" customFormat="1" ht="15" thickBot="1" x14ac:dyDescent="0.35">
      <c r="A299" s="48"/>
      <c r="B299" s="48"/>
      <c r="C299" s="138" t="str">
        <f t="shared" si="24"/>
        <v/>
      </c>
      <c r="D299" s="49"/>
      <c r="E299" s="214"/>
      <c r="F299" s="215"/>
      <c r="G299" s="3"/>
    </row>
    <row r="300" spans="1:7" s="44" customFormat="1" ht="15" thickBot="1" x14ac:dyDescent="0.35">
      <c r="A300" s="145" t="s">
        <v>29</v>
      </c>
      <c r="B300" s="68">
        <f>SUM(B292:B299)</f>
        <v>48</v>
      </c>
      <c r="C300" s="145" t="str">
        <f xml:space="preserve"> setValueToTime(B300)</f>
        <v>4h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6" t="s">
        <v>14</v>
      </c>
      <c r="F303" s="217"/>
      <c r="G303" s="39"/>
    </row>
    <row r="304" spans="1:7" s="44" customFormat="1" x14ac:dyDescent="0.3">
      <c r="A304" s="41" t="s">
        <v>16</v>
      </c>
      <c r="B304" s="42">
        <v>2</v>
      </c>
      <c r="C304" s="135" t="str">
        <f xml:space="preserve"> IF(B304="","",setValueToTime(B304))</f>
        <v>0h10min</v>
      </c>
      <c r="D304" s="170" t="s">
        <v>146</v>
      </c>
      <c r="E304" s="208"/>
      <c r="F304" s="209"/>
      <c r="G304" s="3"/>
    </row>
    <row r="305" spans="1:7" s="44" customFormat="1" ht="27" x14ac:dyDescent="0.3">
      <c r="A305" s="45" t="s">
        <v>32</v>
      </c>
      <c r="B305" s="46">
        <v>24</v>
      </c>
      <c r="C305" s="136" t="str">
        <f t="shared" ref="C305:C311" si="25" xml:space="preserve"> IF(B305="","",setValueToTime(B305))</f>
        <v>2h</v>
      </c>
      <c r="D305" s="47" t="s">
        <v>52</v>
      </c>
      <c r="E305" s="210"/>
      <c r="F305" s="211"/>
      <c r="G305" s="3"/>
    </row>
    <row r="306" spans="1:7" s="44" customFormat="1" ht="27" x14ac:dyDescent="0.3">
      <c r="A306" s="45" t="s">
        <v>17</v>
      </c>
      <c r="B306" s="46">
        <v>2</v>
      </c>
      <c r="C306" s="136" t="str">
        <f t="shared" si="25"/>
        <v>0h10min</v>
      </c>
      <c r="D306" s="47" t="s">
        <v>53</v>
      </c>
      <c r="E306" s="210"/>
      <c r="F306" s="211"/>
      <c r="G306" s="3"/>
    </row>
    <row r="307" spans="1:7" s="44" customFormat="1" ht="27" x14ac:dyDescent="0.3">
      <c r="A307" s="45" t="s">
        <v>32</v>
      </c>
      <c r="B307" s="46">
        <v>14</v>
      </c>
      <c r="C307" s="136" t="str">
        <f t="shared" si="25"/>
        <v>1h10min</v>
      </c>
      <c r="D307" s="171" t="s">
        <v>155</v>
      </c>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145" t="s">
        <v>29</v>
      </c>
      <c r="B312" s="68">
        <f>SUM(B304:B311)</f>
        <v>42</v>
      </c>
      <c r="C312" s="145" t="str">
        <f xml:space="preserve"> setValueToTime(B312)</f>
        <v>3h30min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6" t="s">
        <v>14</v>
      </c>
      <c r="F315" s="217"/>
      <c r="G315" s="39"/>
    </row>
    <row r="316" spans="1:7" s="44" customFormat="1" x14ac:dyDescent="0.3">
      <c r="A316" s="41" t="s">
        <v>66</v>
      </c>
      <c r="B316" s="42">
        <v>3</v>
      </c>
      <c r="C316" s="135" t="str">
        <f xml:space="preserve"> IF(B316="","",setValueToTime(B316))</f>
        <v>0h15min</v>
      </c>
      <c r="D316" s="43" t="s">
        <v>108</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6</v>
      </c>
      <c r="C318" s="136" t="str">
        <f t="shared" si="26"/>
        <v>0h30min</v>
      </c>
      <c r="D318" s="47" t="s">
        <v>109</v>
      </c>
      <c r="E318" s="210"/>
      <c r="F318" s="211"/>
      <c r="G318" s="3"/>
    </row>
    <row r="319" spans="1:7" s="44" customFormat="1" x14ac:dyDescent="0.3">
      <c r="A319" s="46" t="s">
        <v>111</v>
      </c>
      <c r="B319" s="46">
        <v>1</v>
      </c>
      <c r="C319" s="136" t="str">
        <f t="shared" si="26"/>
        <v>0h5min</v>
      </c>
      <c r="D319" s="47" t="s">
        <v>110</v>
      </c>
      <c r="E319" s="210"/>
      <c r="F319" s="211"/>
      <c r="G319" s="3"/>
    </row>
    <row r="320" spans="1:7" s="44" customFormat="1" ht="27" x14ac:dyDescent="0.3">
      <c r="A320" s="46" t="s">
        <v>32</v>
      </c>
      <c r="B320" s="46">
        <v>31</v>
      </c>
      <c r="C320" s="137" t="str">
        <f t="shared" si="26"/>
        <v>2h35min</v>
      </c>
      <c r="D320" s="47" t="s">
        <v>112</v>
      </c>
      <c r="E320" s="210"/>
      <c r="F320" s="211"/>
      <c r="G320" s="3"/>
    </row>
    <row r="321" spans="1:7" s="44" customFormat="1" ht="27" x14ac:dyDescent="0.3">
      <c r="A321" s="46" t="s">
        <v>17</v>
      </c>
      <c r="B321" s="46">
        <v>2</v>
      </c>
      <c r="C321" s="137" t="str">
        <f t="shared" si="26"/>
        <v>0h10min</v>
      </c>
      <c r="D321" s="47" t="s">
        <v>53</v>
      </c>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12</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6" t="s">
        <v>14</v>
      </c>
      <c r="F2" s="20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6" t="s">
        <v>14</v>
      </c>
      <c r="F2" s="21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2024-05-21T10:13:37Z</dcterms:modified>
</cp:coreProperties>
</file>