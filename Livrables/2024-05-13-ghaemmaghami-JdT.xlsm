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B3D2BDDA-2F51-4071-A6A1-517FC0A05BE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2" l="1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7" i="12"/>
  <c r="C16" i="12"/>
  <c r="C12" i="12"/>
  <c r="C24" i="12"/>
  <c r="B12" i="10" l="1"/>
  <c r="C11" i="10"/>
  <c r="C10" i="10"/>
  <c r="C9" i="10"/>
  <c r="C8" i="10"/>
  <c r="C7" i="10"/>
  <c r="C6" i="10"/>
  <c r="C5" i="10"/>
  <c r="C4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9" i="10"/>
  <c r="C28" i="10"/>
  <c r="B48" i="10"/>
  <c r="C47" i="10"/>
  <c r="C46" i="10"/>
  <c r="C45" i="10"/>
  <c r="C44" i="10"/>
  <c r="C43" i="10"/>
  <c r="C42" i="10"/>
  <c r="C41" i="10"/>
  <c r="C4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2" i="10"/>
  <c r="C24" i="10"/>
  <c r="C36" i="10"/>
  <c r="C48" i="10"/>
  <c r="D88" i="1"/>
  <c r="D37" i="1"/>
  <c r="D39" i="1"/>
  <c r="D80" i="1"/>
  <c r="D46" i="1"/>
  <c r="D85" i="1"/>
  <c r="D27" i="1"/>
  <c r="D68" i="1"/>
  <c r="D92" i="1"/>
  <c r="D31" i="1"/>
  <c r="D57" i="1"/>
  <c r="D67" i="1"/>
  <c r="C11" i="15"/>
  <c r="D26" i="1"/>
  <c r="D22" i="1"/>
  <c r="D49" i="1"/>
  <c r="D73" i="1"/>
  <c r="D44" i="1"/>
  <c r="D60" i="1"/>
  <c r="D70" i="1"/>
  <c r="D82" i="1"/>
  <c r="D93" i="1"/>
  <c r="D30" i="1"/>
  <c r="D34" i="1"/>
  <c r="D83" i="1"/>
  <c r="D72" i="1"/>
  <c r="D21" i="1"/>
  <c r="D15" i="1"/>
  <c r="D20" i="1"/>
  <c r="D65" i="1"/>
  <c r="D79" i="1"/>
  <c r="D63" i="1"/>
  <c r="D89" i="1"/>
  <c r="D87" i="1"/>
  <c r="D58" i="1"/>
  <c r="D69" i="1"/>
  <c r="D81" i="1"/>
  <c r="D48" i="1"/>
  <c r="D76" i="1"/>
  <c r="D53" i="1"/>
  <c r="D55" i="1"/>
  <c r="D19" i="1"/>
  <c r="D41" i="1"/>
  <c r="D51" i="1"/>
  <c r="D40" i="1"/>
  <c r="D24" i="1"/>
  <c r="D33" i="1"/>
  <c r="D74" i="1"/>
  <c r="D35" i="1"/>
  <c r="D17" i="1"/>
  <c r="D91" i="1"/>
  <c r="D32" i="1"/>
  <c r="C11" i="16"/>
  <c r="D54" i="1"/>
  <c r="D66" i="1"/>
  <c r="D77" i="1"/>
  <c r="D71" i="1"/>
  <c r="D47" i="1"/>
  <c r="D28" i="1"/>
  <c r="D42" i="1"/>
  <c r="D29" i="1"/>
  <c r="D50" i="1"/>
  <c r="D90" i="1"/>
  <c r="D36" i="1"/>
  <c r="D43" i="1"/>
  <c r="D59" i="1"/>
  <c r="D18" i="1"/>
  <c r="D45" i="1"/>
  <c r="D94" i="1"/>
  <c r="D62" i="1"/>
  <c r="D75" i="1"/>
  <c r="D16" i="1"/>
  <c r="D25" i="1"/>
  <c r="D56" i="1"/>
  <c r="D84" i="1"/>
  <c r="D23" i="1"/>
  <c r="D38" i="1"/>
  <c r="D52" i="1"/>
  <c r="D61" i="1"/>
  <c r="D64" i="1"/>
  <c r="D78" i="1"/>
  <c r="D8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<sst xmlns="http://schemas.openxmlformats.org/spreadsheetml/2006/main" count="226" uniqueCount="59">
  <si>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</si>
  <si>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</si>
  <si>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</si>
  <si>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</si>
  <si>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</si>
  <si>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</si>
  <si>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</si>
  <si>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</si>
  <si>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</si>
  <si>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</si>
  <si>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</si>
  <si>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</si>
  <si>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</si>
  <si>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</si>
  <si>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</si>
  <si>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</si>
  <si>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</si>
  <si>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</si>
  <si>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</si>
  <si>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</si>
  <si>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</si>
  <si>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</si>
  <si>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</si>
  <si>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</si>
  <si>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</si>
  <si>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</si>
  <si>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</si>
  <si>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</si>
  <si>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</si>
  <si>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</si>
  <si>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</si>
  <si>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</si>
  <si>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</si>
  <si>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</si>
  <si>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</si>
  <si>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</si>
  <si>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</si>
  <si>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</si>
  <si>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</si>
  <si>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</si>
  <si>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</si>
  <si>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</si>
  <si>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</si>
  <si>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</si>
  <si>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</si>
  <si>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</si>
  <si>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TPI</t>
  </si>
  <si>
    <t>Théo Ghaemmaghami</t>
  </si>
  <si>
    <t>FIN2</t>
  </si>
  <si>
    <t>Du 13.05.2024 au 03.06.2024</t>
  </si>
  <si>
    <t>Matin</t>
  </si>
  <si>
    <t>Après-midi</t>
  </si>
  <si>
    <t>lundi, 13 mai 2024</t>
  </si>
  <si>
    <t>Discussion avec Monsieur Wenger (expert)</t>
  </si>
  <si>
    <t>Mise en place du projet : création du GitHub, fichiers (JdT, planif, ...), …</t>
  </si>
  <si>
    <t>Rédaction du journal de travail</t>
  </si>
  <si>
    <t>Planification initiale</t>
  </si>
  <si>
    <t>Rédaction d'un mail concernant les absences prévues au chef de projet et aux experts</t>
  </si>
  <si>
    <t>Découverte et validation du 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</si>
</sst>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34</v>
      </c>
      <c r="C35" s="166"/>
      <c r="D35" s="166"/>
      <c r="E35" s="107" t="s">
        <v>43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35</v>
      </c>
      <c r="C37" s="167"/>
      <c r="D37" s="167"/>
      <c r="E37" s="109" t="s">
        <v>43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40" t="s">
        <v>43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zoomScale="70" zoomScaleNormal="70" zoomScaleSheetLayoutView="43" workbookViewId="0">
      <selection activeCell="E8" sqref="E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31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46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47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48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49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18</v>
      </c>
      <c r="D9" s="142"/>
      <c r="E9" s="13" t="s">
        <v>22</v>
      </c>
      <c r="F9" s="14"/>
      <c r="G9" s="189" t="str">
        <f>E96</f>
        <v>0h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23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0h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96"/>
      <c r="D11" s="196"/>
      <c r="E11" s="196"/>
      <c r="F11" s="187" t="s">
        <v>44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44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44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90"/>
    </row>
    <row r="12" spans="1:186" ht="15.75" customHeight="1" thickBot="1" x14ac:dyDescent="0.3">
      <c r="B12" s="97"/>
      <c r="C12" s="197"/>
      <c r="D12" s="197"/>
      <c r="E12" s="197"/>
      <c r="F12" s="186" t="s">
        <v>45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45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45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90"/>
    </row>
    <row r="13" spans="1:186" ht="42.75" customHeight="1" thickBot="1" x14ac:dyDescent="0.3">
      <c r="B13" s="96"/>
      <c r="C13" s="192" t="s">
        <v>7</v>
      </c>
      <c r="D13" s="145"/>
      <c r="E13" s="194" t="s">
        <v>41</v>
      </c>
      <c r="F13" s="169" t="s">
        <v>8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28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19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2" t="s">
        <v>36</v>
      </c>
      <c r="K14" s="172"/>
      <c r="L14" s="172"/>
      <c r="M14" s="172"/>
      <c r="N14" s="104"/>
      <c r="O14" s="104"/>
      <c r="P14" s="168" t="s">
        <v>24</v>
      </c>
      <c r="Q14" s="168"/>
      <c r="R14" s="168"/>
      <c r="S14" s="168"/>
      <c r="T14" s="129"/>
      <c r="U14" s="129"/>
      <c r="V14" s="172" t="s">
        <v>37</v>
      </c>
      <c r="W14" s="172"/>
      <c r="X14" s="172"/>
      <c r="Y14" s="172"/>
      <c r="Z14" s="104"/>
      <c r="AA14" s="104"/>
      <c r="AB14" s="168" t="s">
        <v>25</v>
      </c>
      <c r="AC14" s="168"/>
      <c r="AD14" s="168"/>
      <c r="AE14" s="168"/>
      <c r="AF14" s="129"/>
      <c r="AG14" s="129"/>
      <c r="AH14" s="172" t="s">
        <v>38</v>
      </c>
      <c r="AI14" s="172"/>
      <c r="AJ14" s="172"/>
      <c r="AK14" s="172"/>
      <c r="AL14" s="104"/>
      <c r="AM14" s="104"/>
      <c r="AN14" s="168" t="s">
        <v>26</v>
      </c>
      <c r="AO14" s="168"/>
      <c r="AP14" s="168"/>
      <c r="AQ14" s="168"/>
      <c r="AR14" s="129"/>
      <c r="AS14" s="129"/>
      <c r="AT14" s="172" t="s">
        <v>39</v>
      </c>
      <c r="AU14" s="172"/>
      <c r="AV14" s="172"/>
      <c r="AW14" s="172"/>
      <c r="AX14" s="104"/>
      <c r="AY14" s="104"/>
      <c r="AZ14" s="168" t="s">
        <v>27</v>
      </c>
      <c r="BA14" s="168"/>
      <c r="BB14" s="168"/>
      <c r="BC14" s="168"/>
      <c r="BD14" s="129"/>
      <c r="BE14" s="129"/>
      <c r="BF14" s="172" t="s">
        <v>40</v>
      </c>
      <c r="BG14" s="172"/>
      <c r="BH14" s="172"/>
      <c r="BI14" s="172"/>
      <c r="BJ14" s="104"/>
      <c r="BK14" s="104"/>
      <c r="BL14" s="104"/>
      <c r="BM14" s="105"/>
      <c r="BN14" s="103"/>
      <c r="BO14" s="104"/>
      <c r="BP14" s="104"/>
      <c r="BQ14" s="104"/>
      <c r="BR14" s="172" t="s">
        <v>36</v>
      </c>
      <c r="BS14" s="172"/>
      <c r="BT14" s="172"/>
      <c r="BU14" s="172"/>
      <c r="BV14" s="104"/>
      <c r="BW14" s="104"/>
      <c r="BX14" s="168" t="s">
        <v>24</v>
      </c>
      <c r="BY14" s="168"/>
      <c r="BZ14" s="168"/>
      <c r="CA14" s="168"/>
      <c r="CB14" s="129"/>
      <c r="CC14" s="129"/>
      <c r="CD14" s="172" t="s">
        <v>37</v>
      </c>
      <c r="CE14" s="172"/>
      <c r="CF14" s="172"/>
      <c r="CG14" s="172"/>
      <c r="CH14" s="104"/>
      <c r="CI14" s="104"/>
      <c r="CJ14" s="168" t="s">
        <v>25</v>
      </c>
      <c r="CK14" s="168"/>
      <c r="CL14" s="168"/>
      <c r="CM14" s="168"/>
      <c r="CN14" s="129"/>
      <c r="CO14" s="129"/>
      <c r="CP14" s="172" t="s">
        <v>38</v>
      </c>
      <c r="CQ14" s="172"/>
      <c r="CR14" s="172"/>
      <c r="CS14" s="172"/>
      <c r="CT14" s="104"/>
      <c r="CU14" s="104"/>
      <c r="CV14" s="168" t="s">
        <v>26</v>
      </c>
      <c r="CW14" s="168"/>
      <c r="CX14" s="168"/>
      <c r="CY14" s="168"/>
      <c r="CZ14" s="129"/>
      <c r="DA14" s="129"/>
      <c r="DB14" s="172" t="s">
        <v>39</v>
      </c>
      <c r="DC14" s="172"/>
      <c r="DD14" s="172"/>
      <c r="DE14" s="172"/>
      <c r="DF14" s="104"/>
      <c r="DG14" s="104"/>
      <c r="DH14" s="168" t="s">
        <v>27</v>
      </c>
      <c r="DI14" s="168"/>
      <c r="DJ14" s="168"/>
      <c r="DK14" s="168"/>
      <c r="DL14" s="129"/>
      <c r="DM14" s="129"/>
      <c r="DN14" s="172" t="s">
        <v>40</v>
      </c>
      <c r="DO14" s="172"/>
      <c r="DP14" s="172"/>
      <c r="DQ14" s="172"/>
      <c r="DR14" s="104"/>
      <c r="DS14" s="104"/>
      <c r="DT14" s="104"/>
      <c r="DU14" s="105"/>
      <c r="DV14" s="103"/>
      <c r="DW14" s="104"/>
      <c r="DX14" s="104"/>
      <c r="DY14" s="104"/>
      <c r="DZ14" s="172" t="s">
        <v>36</v>
      </c>
      <c r="EA14" s="172"/>
      <c r="EB14" s="172"/>
      <c r="EC14" s="172"/>
      <c r="ED14" s="104"/>
      <c r="EE14" s="104"/>
      <c r="EF14" s="168" t="s">
        <v>24</v>
      </c>
      <c r="EG14" s="168"/>
      <c r="EH14" s="168"/>
      <c r="EI14" s="168"/>
      <c r="EJ14" s="129"/>
      <c r="EK14" s="129"/>
      <c r="EL14" s="172" t="s">
        <v>37</v>
      </c>
      <c r="EM14" s="172"/>
      <c r="EN14" s="172"/>
      <c r="EO14" s="172"/>
      <c r="EP14" s="104"/>
      <c r="EQ14" s="104"/>
      <c r="ER14" s="168" t="s">
        <v>25</v>
      </c>
      <c r="ES14" s="168"/>
      <c r="ET14" s="168"/>
      <c r="EU14" s="168"/>
      <c r="EV14" s="129"/>
      <c r="EW14" s="129"/>
      <c r="EX14" s="172" t="s">
        <v>38</v>
      </c>
      <c r="EY14" s="172"/>
      <c r="EZ14" s="172"/>
      <c r="FA14" s="172"/>
      <c r="FB14" s="104"/>
      <c r="FC14" s="104"/>
      <c r="FD14" s="168" t="s">
        <v>26</v>
      </c>
      <c r="FE14" s="168"/>
      <c r="FF14" s="168"/>
      <c r="FG14" s="168"/>
      <c r="FH14" s="129"/>
      <c r="FI14" s="129"/>
      <c r="FJ14" s="172" t="s">
        <v>39</v>
      </c>
      <c r="FK14" s="172"/>
      <c r="FL14" s="172"/>
      <c r="FM14" s="172"/>
      <c r="FN14" s="104"/>
      <c r="FO14" s="104"/>
      <c r="FP14" s="168" t="s">
        <v>27</v>
      </c>
      <c r="FQ14" s="168"/>
      <c r="FR14" s="168"/>
      <c r="FS14" s="168"/>
      <c r="FT14" s="129"/>
      <c r="FU14" s="129"/>
      <c r="FV14" s="172" t="s">
        <v>40</v>
      </c>
      <c r="FW14" s="172"/>
      <c r="FX14" s="172"/>
      <c r="FY14" s="17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20</v>
      </c>
      <c r="B17" s="63" t="str">
        <f>IF(LEN(C19)=0,"",C19)</f>
        <v>Réalisation - Interfaces</v>
      </c>
      <c r="C17" s="181" t="s">
        <v>32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21</v>
      </c>
      <c r="B18" s="63" t="str">
        <f>IF(LEN(C21)=0,"",C21)</f>
        <v>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20</v>
      </c>
      <c r="B19" s="63" t="str">
        <f>IF(LEN(C23)=0,"",C23)</f>
        <v>Doc - Rapport</v>
      </c>
      <c r="C19" s="181" t="s">
        <v>33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21</v>
      </c>
      <c r="B20" s="63" t="str">
        <f>IF(LEN(C25)=0,"",C25)</f>
        <v/>
      </c>
      <c r="C20" s="19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20</v>
      </c>
      <c r="B21" s="63" t="str">
        <f>IF(LEN(C27)=0,"",C27)</f>
        <v/>
      </c>
      <c r="C21" s="181" t="s">
        <v>17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21</v>
      </c>
      <c r="B22" s="63" t="str">
        <f>IF(LEN(C29)=0,"",C29)</f>
        <v/>
      </c>
      <c r="C22" s="19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20</v>
      </c>
      <c r="B23" s="63" t="str">
        <f>IF(LEN(C31)=0,"",C31)</f>
        <v/>
      </c>
      <c r="C23" s="181" t="s">
        <v>16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21</v>
      </c>
      <c r="B24" s="63" t="str">
        <f>IF(LEN(C33)=0,"",C33)</f>
        <v/>
      </c>
      <c r="C24" s="19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20</v>
      </c>
      <c r="B25" s="63" t="str">
        <f>IF(LEN(C35)=0,"",C35)</f>
        <v/>
      </c>
      <c r="C25" s="181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21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20</v>
      </c>
      <c r="B27" s="63" t="str">
        <f>IF(LEN(C39)=0,"",C39)</f>
        <v/>
      </c>
      <c r="C27" s="181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21</v>
      </c>
      <c r="B28" s="63" t="str">
        <f>IF(LEN(C41)=0,"",C41)</f>
        <v/>
      </c>
      <c r="C28" s="18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20</v>
      </c>
      <c r="B29" s="63" t="str">
        <f>IF(LEN(C43)=0,"",C43)</f>
        <v/>
      </c>
      <c r="C29" s="181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21</v>
      </c>
      <c r="B30" s="63" t="str">
        <f>IF(LEN(C45)=0,"",C45)</f>
        <v/>
      </c>
      <c r="C30" s="18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20</v>
      </c>
      <c r="B31" s="63" t="str">
        <f>IF(LEN(C47)=0,"",C47)</f>
        <v/>
      </c>
      <c r="C31" s="181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21</v>
      </c>
      <c r="B32" s="63" t="str">
        <f>IF(LEN(C49)=0,"",C49)</f>
        <v/>
      </c>
      <c r="C32" s="18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20</v>
      </c>
      <c r="B33" s="63" t="str">
        <f>IF(LEN(C51)=0,"",C51)</f>
        <v/>
      </c>
      <c r="C33" s="181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21</v>
      </c>
      <c r="B34" s="63" t="str">
        <f>IF(LEN(C53)=0,"",C53)</f>
        <v/>
      </c>
      <c r="C34" s="18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20</v>
      </c>
      <c r="B35" s="63" t="str">
        <f>IF(LEN(C55)=0,"",C55)</f>
        <v/>
      </c>
      <c r="C35" s="18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21</v>
      </c>
      <c r="B36" s="63" t="str">
        <f>IF(LEN(C57)=0,"",C57)</f>
        <v/>
      </c>
      <c r="C36" s="19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20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21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20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21</v>
      </c>
      <c r="B40" s="63" t="str">
        <f>IF(LEN(C65)=0,"",C65)</f>
        <v/>
      </c>
      <c r="C40" s="19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20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21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20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21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20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21</v>
      </c>
      <c r="B46" s="63" t="str">
        <f>IF(LEN(C77)=0,"",C77)</f>
        <v/>
      </c>
      <c r="C46" s="19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20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21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20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21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20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21</v>
      </c>
      <c r="B52" s="63" t="str">
        <f>IF(LEN(C89)=0,"",C89)</f>
        <v/>
      </c>
      <c r="C52" s="19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20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21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20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21</v>
      </c>
      <c r="B56" s="63"/>
      <c r="C56" s="19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20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21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20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21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20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21</v>
      </c>
      <c r="B62" s="63"/>
      <c r="C62" s="19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20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21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20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21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20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21</v>
      </c>
      <c r="B68" s="63"/>
      <c r="C68" s="19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20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21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20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21</v>
      </c>
      <c r="B72" s="63"/>
      <c r="C72" s="19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20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21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20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21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20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21</v>
      </c>
      <c r="B78" s="63"/>
      <c r="C78" s="19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20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21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20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21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20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21</v>
      </c>
      <c r="B84" s="63"/>
      <c r="C84" s="19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20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21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20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21</v>
      </c>
      <c r="B88" s="63"/>
      <c r="C88" s="19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20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21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20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21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20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21</v>
      </c>
      <c r="B94" s="63"/>
      <c r="C94" s="19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9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7" t="s">
        <v>10</v>
      </c>
      <c r="D97" s="178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9"/>
      <c r="D98" s="180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49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49" sqref="G49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4">
        <v>4</v>
      </c>
      <c r="C2" s="164"/>
      <c r="D2" s="82" t="s">
        <v>15</v>
      </c>
      <c r="E2" s="94">
        <v>45426</v>
      </c>
      <c r="F2" s="126" t="s">
        <v>51</v>
      </c>
      <c r="G2" s="46"/>
    </row>
    <row r="3" spans="1:7" s="47" customFormat="1" ht="30" customHeight="1" thickBot="1" x14ac:dyDescent="0.3">
      <c r="A3" s="80" t="s">
        <v>5</v>
      </c>
      <c r="B3" s="151" t="s">
        <v>42</v>
      </c>
      <c r="C3" s="152"/>
      <c r="D3" s="80" t="s">
        <v>13</v>
      </c>
      <c r="E3" s="208" t="s">
        <v>14</v>
      </c>
      <c r="F3" s="209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6"/>
      <c r="F4" s="207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11" t="s">
        <v>29</v>
      </c>
      <c r="B12" s="84">
        <f>SUM(B4:B11)</f>
        <v>0</v>
      </c>
      <c r="C12" s="111" t="str">
        <f xml:space="preserve"> setValueToTime(B12)</f>
        <v>0h</v>
      </c>
      <c r="D12" s="120"/>
      <c r="E12" s="204"/>
      <c r="F12" s="20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4">
        <v>3</v>
      </c>
      <c r="C14" s="164"/>
      <c r="D14" s="82" t="s">
        <v>15</v>
      </c>
      <c r="E14" s="94">
        <v>45426</v>
      </c>
      <c r="F14" s="126" t="s">
        <v>50</v>
      </c>
      <c r="G14" s="46"/>
    </row>
    <row r="15" spans="1:7" s="47" customFormat="1" ht="30" customHeight="1" thickBot="1" x14ac:dyDescent="0.3">
      <c r="A15" s="80" t="s">
        <v>5</v>
      </c>
      <c r="B15" s="151" t="s">
        <v>42</v>
      </c>
      <c r="C15" s="152"/>
      <c r="D15" s="80" t="s">
        <v>13</v>
      </c>
      <c r="E15" s="208" t="s">
        <v>14</v>
      </c>
      <c r="F15" s="209"/>
      <c r="G15" s="46"/>
    </row>
    <row r="16" spans="1:7" s="52" customFormat="1" x14ac:dyDescent="0.3">
      <c r="A16" s="48"/>
      <c r="B16" s="49"/>
      <c r="C16" s="153" t="str">
        <f xml:space="preserve"> IF(B16="","",setValueToTime(B16))</f>
        <v/>
      </c>
      <c r="D16" s="50"/>
      <c r="E16" s="206"/>
      <c r="F16" s="207"/>
      <c r="G16" s="51"/>
    </row>
    <row r="17" spans="1:7" s="52" customFormat="1" x14ac:dyDescent="0.3">
      <c r="A17" s="53"/>
      <c r="B17" s="54"/>
      <c r="C17" s="154" t="str">
        <f t="shared" ref="C17:C23" si="1" xml:space="preserve"> IF(B17="","",setValueToTime(B17))</f>
        <v/>
      </c>
      <c r="D17" s="55"/>
      <c r="E17" s="200"/>
      <c r="F17" s="201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0"/>
      <c r="F18" s="201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0"/>
      <c r="F19" s="201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0"/>
      <c r="F20" s="201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0"/>
      <c r="F21" s="201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0"/>
      <c r="F22" s="201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2"/>
      <c r="F23" s="203"/>
      <c r="G23" s="51"/>
    </row>
    <row r="24" spans="1:7" s="52" customFormat="1" ht="15" thickBot="1" x14ac:dyDescent="0.35">
      <c r="A24" s="111" t="s">
        <v>29</v>
      </c>
      <c r="B24" s="84">
        <f>SUM(B16:B23)</f>
        <v>0</v>
      </c>
      <c r="C24" s="111" t="str">
        <f xml:space="preserve"> setValueToTime(B24)</f>
        <v>0h</v>
      </c>
      <c r="D24" s="120"/>
      <c r="E24" s="204"/>
      <c r="F24" s="20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4">
        <v>2</v>
      </c>
      <c r="C26" s="164"/>
      <c r="D26" s="82" t="s">
        <v>15</v>
      </c>
      <c r="E26" s="94">
        <v>45425</v>
      </c>
      <c r="F26" s="126" t="s">
        <v>51</v>
      </c>
      <c r="G26" s="46"/>
    </row>
    <row r="27" spans="1:7" s="47" customFormat="1" ht="30" customHeight="1" thickBot="1" x14ac:dyDescent="0.3">
      <c r="A27" s="80" t="s">
        <v>5</v>
      </c>
      <c r="B27" s="151" t="s">
        <v>42</v>
      </c>
      <c r="C27" s="152"/>
      <c r="D27" s="80" t="s">
        <v>13</v>
      </c>
      <c r="E27" s="208" t="s">
        <v>14</v>
      </c>
      <c r="F27" s="209"/>
      <c r="G27" s="46"/>
    </row>
    <row r="28" spans="1:7" s="52" customFormat="1" x14ac:dyDescent="0.3">
      <c r="A28" s="48"/>
      <c r="B28" s="49"/>
      <c r="C28" s="153" t="str">
        <f xml:space="preserve"> IF(B28="","",setValueToTime(B28))</f>
        <v/>
      </c>
      <c r="D28" s="50"/>
      <c r="E28" s="206"/>
      <c r="F28" s="207"/>
      <c r="G28" s="51"/>
    </row>
    <row r="29" spans="1:7" s="52" customFormat="1" x14ac:dyDescent="0.3">
      <c r="A29" s="53"/>
      <c r="B29" s="54"/>
      <c r="C29" s="154" t="str">
        <f t="shared" ref="C29:C35" si="2" xml:space="preserve"> IF(B29="","",setValueToTime(B29))</f>
        <v/>
      </c>
      <c r="D29" s="55"/>
      <c r="E29" s="200"/>
      <c r="F29" s="201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0"/>
      <c r="F30" s="201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0"/>
      <c r="F31" s="201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0"/>
      <c r="F32" s="201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0"/>
      <c r="F33" s="201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0"/>
      <c r="F34" s="201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2"/>
      <c r="F35" s="203"/>
      <c r="G35" s="51"/>
    </row>
    <row r="36" spans="1:7" s="52" customFormat="1" ht="15" thickBot="1" x14ac:dyDescent="0.35">
      <c r="A36" s="111" t="s">
        <v>29</v>
      </c>
      <c r="B36" s="84">
        <f>SUM(B28:B35)</f>
        <v>0</v>
      </c>
      <c r="C36" s="111" t="str">
        <f xml:space="preserve"> setValueToTime(B36)</f>
        <v>0h</v>
      </c>
      <c r="D36" s="120"/>
      <c r="E36" s="204"/>
      <c r="F36" s="20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4">
        <v>1</v>
      </c>
      <c r="C38" s="164"/>
      <c r="D38" s="82" t="s">
        <v>15</v>
      </c>
      <c r="E38" s="94">
        <v>45425</v>
      </c>
      <c r="F38" s="126" t="s">
        <v>50</v>
      </c>
      <c r="G38" s="46"/>
    </row>
    <row r="39" spans="1:7" s="47" customFormat="1" ht="30" customHeight="1" thickBot="1" x14ac:dyDescent="0.3">
      <c r="A39" s="80" t="s">
        <v>5</v>
      </c>
      <c r="B39" s="151" t="s">
        <v>42</v>
      </c>
      <c r="C39" s="152"/>
      <c r="D39" s="80" t="s">
        <v>13</v>
      </c>
      <c r="E39" s="208" t="s">
        <v>14</v>
      </c>
      <c r="F39" s="209"/>
      <c r="G39" s="46"/>
    </row>
    <row r="40" spans="1:7" s="52" customFormat="1" x14ac:dyDescent="0.3">
      <c r="A40" s="48"/>
      <c r="B40" s="49"/>
      <c r="C40" s="153" t="str">
        <f xml:space="preserve"> IF(B40="","",setValueToTime(B40))</f>
        <v/>
      </c>
      <c r="D40" s="50"/>
      <c r="E40" s="206"/>
      <c r="F40" s="207"/>
      <c r="G40" s="51"/>
    </row>
    <row r="41" spans="1:7" s="52" customFormat="1" x14ac:dyDescent="0.3">
      <c r="A41" s="53"/>
      <c r="B41" s="54"/>
      <c r="C41" s="154" t="str">
        <f t="shared" ref="C41:C47" si="3" xml:space="preserve"> IF(B41="","",setValueToTime(B41))</f>
        <v/>
      </c>
      <c r="D41" s="55"/>
      <c r="E41" s="200"/>
      <c r="F41" s="201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0"/>
      <c r="F42" s="201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0"/>
      <c r="F43" s="201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0"/>
      <c r="F44" s="201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0"/>
      <c r="F45" s="201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0"/>
      <c r="F46" s="201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2"/>
      <c r="F47" s="203"/>
      <c r="G47" s="51"/>
    </row>
    <row r="48" spans="1:7" s="52" customFormat="1" ht="15" thickBot="1" x14ac:dyDescent="0.35">
      <c r="A48" s="111" t="s">
        <v>29</v>
      </c>
      <c r="B48" s="84">
        <f>SUM(B40:B47)</f>
        <v>0</v>
      </c>
      <c r="C48" s="111" t="str">
        <f xml:space="preserve"> setValueToTime(B48)</f>
        <v>0h</v>
      </c>
      <c r="D48" s="120"/>
      <c r="E48" s="204"/>
      <c r="F48" s="205"/>
      <c r="G48" s="51"/>
    </row>
    <row r="49" spans="1:7" s="59" customFormat="1" x14ac:dyDescent="0.3">
      <c r="A49" s="79"/>
      <c r="B49" s="79"/>
      <c r="C49" s="79"/>
      <c r="D49" s="79"/>
      <c r="E49" s="79"/>
      <c r="F49" s="79"/>
      <c r="G49" s="58"/>
    </row>
  </sheetData>
  <sheetProtection formatRows="0" insertRows="0" insertHyperlinks="0" deleteRows="0" selectLockedCells="1"/>
  <mergeCells count="4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</mergeCells>
  <phoneticPr fontId="0" type="noConversion"/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DDDE3C7F-69CA-4375-ACA3-53D555E9806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28:B35 B16:B23 B4:B11" xr:uid="{FF2A32A6-FE0E-400E-95DD-7D5E0AF2E050}">
      <formula1>0</formula1>
    </dataValidation>
    <dataValidation type="list" allowBlank="1" showInputMessage="1" showErrorMessage="1" sqref="A40:A47 A28:A35 A16:A23 A4:A11" xr:uid="{118BA540-03EC-4D05-B641-0953F63E99B0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5" activePane="bottomLeft" state="frozen"/>
      <selection pane="bottomLeft" activeCell="D11" sqref="D11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12</v>
      </c>
      <c r="B2" s="165">
        <v>2</v>
      </c>
      <c r="C2" s="165"/>
      <c r="D2" s="158" t="s">
        <v>15</v>
      </c>
      <c r="E2" s="159" t="s">
        <v>52</v>
      </c>
      <c r="F2" s="160" t="s">
        <v>51</v>
      </c>
      <c r="G2" s="46"/>
    </row>
    <row r="3" spans="1:7" s="47" customFormat="1" ht="30" customHeight="1" thickBot="1" x14ac:dyDescent="0.3">
      <c r="A3" s="78" t="s">
        <v>5</v>
      </c>
      <c r="B3" s="162" t="s">
        <v>42</v>
      </c>
      <c r="C3" s="161"/>
      <c r="D3" s="78" t="s">
        <v>13</v>
      </c>
      <c r="E3" s="212" t="s">
        <v>14</v>
      </c>
      <c r="F3" s="213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6"/>
      <c r="F4" s="207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29</v>
      </c>
      <c r="B12" s="83">
        <f>SUM(B4:B11)</f>
        <v>0</v>
      </c>
      <c r="C12" s="163" t="str">
        <f xml:space="preserve"> setValueToTime(B12)</f>
        <v>0h</v>
      </c>
      <c r="D12" s="121"/>
      <c r="E12" s="210"/>
      <c r="F12" s="21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12</v>
      </c>
      <c r="B14" s="165">
        <v>1</v>
      </c>
      <c r="C14" s="165"/>
      <c r="D14" s="158" t="s">
        <v>15</v>
      </c>
      <c r="E14" s="159" t="s">
        <v>52</v>
      </c>
      <c r="F14" s="160" t="s">
        <v>50</v>
      </c>
      <c r="G14" s="46"/>
    </row>
    <row r="15" spans="1:7" s="47" customFormat="1" ht="30" customHeight="1" thickBot="1" x14ac:dyDescent="0.3">
      <c r="A15" s="78" t="s">
        <v>5</v>
      </c>
      <c r="B15" s="162" t="s">
        <v>42</v>
      </c>
      <c r="C15" s="161"/>
      <c r="D15" s="78" t="s">
        <v>13</v>
      </c>
      <c r="E15" s="212" t="s">
        <v>14</v>
      </c>
      <c r="F15" s="213"/>
      <c r="G15" s="46"/>
    </row>
    <row r="16" spans="1:7" s="52" customFormat="1" x14ac:dyDescent="0.3">
      <c r="A16" s="48"/>
      <c r="B16" s="49">
        <v>3</v>
      </c>
      <c r="C16" s="153" t="str">
        <f xml:space="preserve"> IF(B16="","",setValueToTime(B16))</f>
        <v>0h15min</v>
      </c>
      <c r="D16" s="50" t="s">
        <v>58</v>
      </c>
      <c r="E16" s="206"/>
      <c r="F16" s="207"/>
      <c r="G16" s="51"/>
    </row>
    <row r="17" spans="1:7" s="52" customFormat="1" x14ac:dyDescent="0.3">
      <c r="A17" s="53"/>
      <c r="B17" s="54">
        <v>5</v>
      </c>
      <c r="C17" s="154" t="str">
        <f t="shared" ref="C17:C23" si="1" xml:space="preserve"> IF(B17="","",setValueToTime(B17))</f>
        <v>0h25min</v>
      </c>
      <c r="D17" s="55" t="s">
        <v>53</v>
      </c>
      <c r="E17" s="200"/>
      <c r="F17" s="201"/>
      <c r="G17" s="51"/>
    </row>
    <row r="18" spans="1:7" s="52" customFormat="1" x14ac:dyDescent="0.3">
      <c r="A18" s="53"/>
      <c r="B18" s="54">
        <v>6</v>
      </c>
      <c r="C18" s="154" t="str">
        <f t="shared" si="1"/>
        <v>0h30min</v>
      </c>
      <c r="D18" s="55" t="s">
        <v>54</v>
      </c>
      <c r="E18" s="200"/>
      <c r="F18" s="201"/>
      <c r="G18" s="51"/>
    </row>
    <row r="19" spans="1:7" s="52" customFormat="1" ht="27" x14ac:dyDescent="0.3">
      <c r="A19" s="53" t="s">
        <v>17</v>
      </c>
      <c r="B19" s="54">
        <v>1</v>
      </c>
      <c r="C19" s="154" t="str">
        <f t="shared" si="1"/>
        <v>0h5min</v>
      </c>
      <c r="D19" s="55" t="s">
        <v>55</v>
      </c>
      <c r="E19" s="200"/>
      <c r="F19" s="201"/>
      <c r="G19" s="51"/>
    </row>
    <row r="20" spans="1:7" s="52" customFormat="1" x14ac:dyDescent="0.3">
      <c r="A20" s="54"/>
      <c r="B20" s="54">
        <v>4</v>
      </c>
      <c r="C20" s="155" t="str">
        <f t="shared" si="1"/>
        <v>0h20min</v>
      </c>
      <c r="D20" s="55" t="s">
        <v>56</v>
      </c>
      <c r="E20" s="200"/>
      <c r="F20" s="201"/>
      <c r="G20" s="51"/>
    </row>
    <row r="21" spans="1:7" s="52" customFormat="1" x14ac:dyDescent="0.3">
      <c r="A21" s="54"/>
      <c r="B21" s="54">
        <v>1</v>
      </c>
      <c r="C21" s="155" t="str">
        <f t="shared" si="1"/>
        <v>0h5min</v>
      </c>
      <c r="D21" s="55" t="s">
        <v>57</v>
      </c>
      <c r="E21" s="200"/>
      <c r="F21" s="201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0"/>
      <c r="F22" s="201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2"/>
      <c r="F23" s="203"/>
      <c r="G23" s="51"/>
    </row>
    <row r="24" spans="1:7" s="52" customFormat="1" ht="15" thickBot="1" x14ac:dyDescent="0.35">
      <c r="A24" s="163" t="s">
        <v>29</v>
      </c>
      <c r="B24" s="83">
        <f>SUM(B16:B23)</f>
        <v>20</v>
      </c>
      <c r="C24" s="163" t="str">
        <f xml:space="preserve"> setValueToTime(B24)</f>
        <v>1h40min</v>
      </c>
      <c r="D24" s="121"/>
      <c r="E24" s="210"/>
      <c r="F24" s="211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1E99FAE7-189B-4AD8-B6CB-17D7315BCD7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AF7A1AF6-0C79-41FC-AFDA-F4610A44D1E0}">
      <formula1>0</formula1>
      <formula2>60</formula2>
    </dataValidation>
    <dataValidation type="list" allowBlank="1" showInputMessage="1" showErrorMessage="1" sqref="A16:A23 A4:A11" xr:uid="{1459A7EB-486D-4189-8407-3EB10453E8B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9" t="s">
        <v>12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90"/>
    </row>
    <row r="14" spans="1:61" ht="15.75" thickBot="1" x14ac:dyDescent="0.35">
      <c r="A14" s="103"/>
      <c r="B14" s="104"/>
      <c r="C14" s="104"/>
      <c r="D14" s="104"/>
      <c r="E14" s="172" t="s">
        <v>36</v>
      </c>
      <c r="F14" s="172"/>
      <c r="G14" s="172"/>
      <c r="H14" s="172"/>
      <c r="I14" s="104"/>
      <c r="J14" s="104"/>
      <c r="K14" s="168" t="s">
        <v>24</v>
      </c>
      <c r="L14" s="168"/>
      <c r="M14" s="168"/>
      <c r="N14" s="168"/>
      <c r="O14" s="129"/>
      <c r="P14" s="129"/>
      <c r="Q14" s="172" t="s">
        <v>37</v>
      </c>
      <c r="R14" s="172"/>
      <c r="S14" s="172"/>
      <c r="T14" s="172"/>
      <c r="U14" s="104"/>
      <c r="V14" s="104"/>
      <c r="W14" s="168" t="s">
        <v>25</v>
      </c>
      <c r="X14" s="168"/>
      <c r="Y14" s="168"/>
      <c r="Z14" s="168"/>
      <c r="AA14" s="129"/>
      <c r="AB14" s="129"/>
      <c r="AC14" s="172" t="s">
        <v>38</v>
      </c>
      <c r="AD14" s="172"/>
      <c r="AE14" s="172"/>
      <c r="AF14" s="172"/>
      <c r="AG14" s="104"/>
      <c r="AH14" s="104"/>
      <c r="AI14" s="168" t="s">
        <v>26</v>
      </c>
      <c r="AJ14" s="168"/>
      <c r="AK14" s="168"/>
      <c r="AL14" s="168"/>
      <c r="AM14" s="129"/>
      <c r="AN14" s="129"/>
      <c r="AO14" s="172" t="s">
        <v>39</v>
      </c>
      <c r="AP14" s="172"/>
      <c r="AQ14" s="172"/>
      <c r="AR14" s="172"/>
      <c r="AS14" s="104"/>
      <c r="AT14" s="104"/>
      <c r="AU14" s="168" t="s">
        <v>27</v>
      </c>
      <c r="AV14" s="168"/>
      <c r="AW14" s="168"/>
      <c r="AX14" s="168"/>
      <c r="AY14" s="129"/>
      <c r="AZ14" s="129"/>
      <c r="BA14" s="172" t="s">
        <v>40</v>
      </c>
      <c r="BB14" s="172"/>
      <c r="BC14" s="172"/>
      <c r="BD14" s="17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4">
        <v>1</v>
      </c>
      <c r="C1" s="164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42</v>
      </c>
      <c r="C2" s="152"/>
      <c r="D2" s="80" t="s">
        <v>13</v>
      </c>
      <c r="E2" s="208" t="s">
        <v>14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12</v>
      </c>
      <c r="B1" s="165">
        <v>1</v>
      </c>
      <c r="C1" s="165"/>
      <c r="D1" s="158" t="s">
        <v>15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42</v>
      </c>
      <c r="C2" s="161"/>
      <c r="D2" s="78" t="s">
        <v>13</v>
      </c>
      <c r="E2" s="212" t="s">
        <v>14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29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2019-05-08T10:31:53Z</cp:lastPrinted>
  <dcterms:created xsi:type="dcterms:W3CDTF">1996-10-21T11:03:58Z</dcterms:created>
  <dcterms:modified xsi:type="dcterms:W3CDTF">2024-05-13T13:46:46Z</dcterms:modified>
</cp:coreProperties>
</file>