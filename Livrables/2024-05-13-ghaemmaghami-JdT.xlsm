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C8B060A4-4E74-42CD-8199-C0048340A5B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B288" i="12"/>
  <c r="C287" i="12"/>
  <c r="C286" i="12"/>
  <c r="C285" i="12"/>
  <c r="B300" i="12"/>
  <c r="C299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53" i="10"/>
  <c r="C52" i="10"/>
  <c r="C41" i="10"/>
  <c r="C40" i="10"/>
  <c r="C29" i="10"/>
  <c r="C28" i="10"/>
  <c r="C17" i="10"/>
  <c r="C16" i="10"/>
  <c r="C6" i="10"/>
  <c r="C5" i="10"/>
  <c r="C65" i="10"/>
  <c r="C64" i="10"/>
  <c r="C77" i="10"/>
  <c r="C76" i="10"/>
  <c r="C102" i="10"/>
  <c r="C91" i="10"/>
  <c r="C90" i="10"/>
  <c r="C89" i="10"/>
  <c r="C88" i="10"/>
  <c r="C101" i="10"/>
  <c r="C100" i="10"/>
  <c r="C114" i="10"/>
  <c r="C113" i="10"/>
  <c r="C112" i="10"/>
  <c r="C125" i="10"/>
  <c r="C124" i="10"/>
  <c r="C138" i="10"/>
  <c r="C137" i="10"/>
  <c r="C151" i="10"/>
  <c r="C150" i="10"/>
  <c r="C149" i="10"/>
  <c r="C163" i="10"/>
  <c r="C162" i="10"/>
  <c r="C161" i="10"/>
  <c r="C136" i="10"/>
  <c r="C201" i="10"/>
  <c r="C263" i="10"/>
  <c r="C262" i="10"/>
  <c r="C160" i="10"/>
  <c r="C176" i="10"/>
  <c r="C177" i="10"/>
  <c r="C175" i="10"/>
  <c r="C213" i="10"/>
  <c r="C214" i="10"/>
  <c r="C249" i="10"/>
  <c r="C212" i="10"/>
  <c r="C225" i="10"/>
  <c r="C286" i="10"/>
  <c r="C174" i="10"/>
  <c r="C173" i="10"/>
  <c r="C172" i="10"/>
  <c r="C187" i="10"/>
  <c r="C305" i="12"/>
  <c r="C306" i="12"/>
  <c r="C304" i="12"/>
  <c r="C319" i="12"/>
  <c r="C318" i="12"/>
  <c r="C317" i="12"/>
  <c r="C316" i="12"/>
  <c r="C321" i="12"/>
  <c r="C320" i="12"/>
  <c r="C84" i="12"/>
  <c r="C180" i="12"/>
  <c r="C200" i="10"/>
  <c r="C209" i="10"/>
  <c r="C261" i="10"/>
  <c r="C233" i="10"/>
  <c r="C269" i="10"/>
  <c r="C297" i="10"/>
  <c r="C305" i="10"/>
  <c r="C280" i="10"/>
  <c r="C96" i="10"/>
  <c r="C192" i="10"/>
  <c r="C288" i="10"/>
  <c r="C259" i="10"/>
  <c r="C4" i="10"/>
  <c r="C96" i="12"/>
  <c r="C192" i="12"/>
  <c r="C199" i="10"/>
  <c r="C208" i="10"/>
  <c r="C260" i="10"/>
  <c r="C268" i="10"/>
  <c r="C296" i="10"/>
  <c r="C304" i="10"/>
  <c r="C12" i="10"/>
  <c r="C108" i="10"/>
  <c r="C204" i="10"/>
  <c r="C300" i="10"/>
  <c r="C11" i="15"/>
  <c r="C120" i="12"/>
  <c r="C186" i="10"/>
  <c r="C197" i="10"/>
  <c r="C148" i="10"/>
  <c r="C235" i="10"/>
  <c r="C319" i="10"/>
  <c r="C36" i="10"/>
  <c r="C132" i="10"/>
  <c r="C228" i="10"/>
  <c r="C324" i="10"/>
  <c r="C12" i="12"/>
  <c r="C108" i="12"/>
  <c r="C204" i="12"/>
  <c r="C198" i="10"/>
  <c r="C223" i="10"/>
  <c r="C272" i="10"/>
  <c r="C285" i="10"/>
  <c r="C258" i="10"/>
  <c r="C284" i="10"/>
  <c r="C295" i="10"/>
  <c r="C320" i="10"/>
  <c r="C24" i="10"/>
  <c r="C120" i="10"/>
  <c r="C216" i="10"/>
  <c r="C312" i="10"/>
  <c r="C11" i="16"/>
  <c r="C216" i="12"/>
  <c r="C283" i="10"/>
  <c r="C24" i="12"/>
  <c r="C36" i="12"/>
  <c r="C132" i="12"/>
  <c r="C228" i="12"/>
  <c r="C185" i="10"/>
  <c r="C196" i="10"/>
  <c r="C248" i="10"/>
  <c r="C222" i="10"/>
  <c r="C232" i="10"/>
  <c r="C256" i="10"/>
  <c r="C282" i="10"/>
  <c r="C293" i="10"/>
  <c r="C318" i="10"/>
  <c r="C48" i="10"/>
  <c r="C144" i="10"/>
  <c r="C240" i="10"/>
  <c r="C144" i="12"/>
  <c r="C240" i="12"/>
  <c r="C184" i="10"/>
  <c r="C224" i="10"/>
  <c r="C247" i="10"/>
  <c r="C221" i="10"/>
  <c r="C257" i="10"/>
  <c r="C298" i="10"/>
  <c r="C292" i="10"/>
  <c r="C317" i="10"/>
  <c r="C60" i="10"/>
  <c r="C156" i="10"/>
  <c r="C252" i="10"/>
  <c r="C48" i="12"/>
  <c r="C60" i="12"/>
  <c r="C156" i="12"/>
  <c r="C252" i="12"/>
  <c r="C211" i="10"/>
  <c r="C246" i="10"/>
  <c r="C220" i="10"/>
  <c r="C234" i="10"/>
  <c r="C271" i="10"/>
  <c r="C316" i="10"/>
  <c r="C72" i="10"/>
  <c r="C168" i="10"/>
  <c r="C264" i="10"/>
  <c r="C273" i="10"/>
  <c r="C72" i="12"/>
  <c r="C168" i="12"/>
  <c r="C264" i="12"/>
  <c r="C324" i="12"/>
  <c r="C210" i="10"/>
  <c r="C245" i="10"/>
  <c r="C270" i="10"/>
  <c r="C281" i="10"/>
  <c r="C306" i="10"/>
  <c r="C244" i="10"/>
  <c r="C84" i="10"/>
  <c r="C180" i="10"/>
  <c r="C276" i="10"/>
  <c r="C294" i="10"/>
  <c r="D18" i="1"/>
  <c r="D55" i="1"/>
  <c r="D71" i="1"/>
  <c r="D33" i="1"/>
  <c r="D16" i="1"/>
  <c r="D44" i="1"/>
  <c r="D84" i="1"/>
  <c r="D93" i="1"/>
  <c r="D60" i="1"/>
  <c r="D25" i="1"/>
  <c r="D30" i="1"/>
  <c r="D34" i="1"/>
  <c r="D35" i="1"/>
  <c r="D88" i="1"/>
  <c r="D38" i="1"/>
  <c r="D43" i="1"/>
  <c r="D42" i="1"/>
  <c r="D64" i="1"/>
  <c r="D21" i="1"/>
  <c r="D50" i="1"/>
  <c r="D65" i="1"/>
  <c r="D83" i="1"/>
  <c r="D91" i="1"/>
  <c r="D81" i="1"/>
  <c r="D90" i="1"/>
  <c r="D61" i="1"/>
  <c r="D46" i="1"/>
  <c r="D86" i="1"/>
  <c r="D76" i="1"/>
  <c r="D56" i="1"/>
  <c r="D67" i="1"/>
  <c r="D29" i="1"/>
  <c r="D77" i="1"/>
  <c r="D52" i="1"/>
  <c r="D32" i="1"/>
  <c r="D57" i="1"/>
  <c r="D27" i="1"/>
  <c r="D66" i="1"/>
  <c r="D68" i="1"/>
  <c r="D85" i="1"/>
  <c r="D31" i="1"/>
  <c r="D94" i="1"/>
  <c r="D36" i="1"/>
  <c r="D22" i="1"/>
  <c r="D74" i="1"/>
  <c r="D73" i="1"/>
  <c r="D45" i="1"/>
  <c r="D59" i="1"/>
  <c r="D47" i="1"/>
  <c r="D24" i="1"/>
  <c r="D87" i="1"/>
  <c r="D41" i="1"/>
  <c r="D49" i="1"/>
  <c r="D70" i="1"/>
  <c r="D23" i="1"/>
  <c r="D92" i="1"/>
  <c r="D26" i="1"/>
  <c r="D20" i="1"/>
  <c r="D39" i="1"/>
  <c r="D63" i="1"/>
  <c r="D37" i="1"/>
  <c r="D58" i="1"/>
  <c r="D75" i="1"/>
  <c r="D54" i="1"/>
  <c r="D80" i="1"/>
  <c r="D51" i="1"/>
  <c r="D28" i="1"/>
  <c r="D19" i="1"/>
  <c r="D62" i="1"/>
  <c r="D89" i="1"/>
  <c r="D79" i="1"/>
  <c r="D15" i="1"/>
  <c r="D78" i="1"/>
  <c r="D53" i="1"/>
  <c r="D48" i="1"/>
  <c r="D40" i="1"/>
  <c r="D72" i="1"/>
  <c r="D69" i="1"/>
  <c r="D82" i="1"/>
  <c r="D17" i="1"/>
  <c r="C296" i="12"/>
  <c r="C295" i="12"/>
  <c r="C283" i="12"/>
  <c r="C281" i="12"/>
  <c r="C298" i="12"/>
  <c r="C280" i="12"/>
  <c r="C294" i="12"/>
  <c r="C268" i="12"/>
  <c r="C276" i="12"/>
  <c r="C297" i="12"/>
  <c r="C293" i="12"/>
  <c r="C292" i="12"/>
  <c r="C300" i="12"/>
  <c r="C307" i="12"/>
  <c r="C312" i="12"/>
  <c r="C284" i="12"/>
  <c r="C282" i="12"/>
  <c r="C288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<sst xmlns="http://schemas.openxmlformats.org/spreadsheetml/2006/main" count="1182" uniqueCount="159">
  <si>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</si>
  <si>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</si>
  <si>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</si>
  <si>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</si>
  <si>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</si>
  <si>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</si>
  <si>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</si>
  <si>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</si>
  <si>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</si>
  <si>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</si>
  <si>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</si>
  <si>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</si>
  <si>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</si>
  <si>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</si>
  <si>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</si>
  <si>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</si>
  <si>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</si>
  <si>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</si>
  <si>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</si>
  <si>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</si>
  <si>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</si>
  <si>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</si>
  <si>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</si>
  <si>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</si>
  <si>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</si>
  <si>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</si>
  <si>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</si>
  <si>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</si>
  <si>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</si>
  <si>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</si>
  <si>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</si>
  <si>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</si>
  <si>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</si>
  <si>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</si>
  <si>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</si>
  <si>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</si>
  <si>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</si>
  <si>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</si>
  <si>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</si>
  <si>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</si>
  <si>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</si>
  <si>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</si>
  <si>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</si>
  <si>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</si>
  <si>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</si>
  <si>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</si>
  <si>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</si>
  <si>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</si>
  <si>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</si>
  <si>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</si>
  <si>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</si>
  <si>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</si>
  <si>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</si>
  <si>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</si>
  <si>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</si>
  <si>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</si>
  <si>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</si>
  <si>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</si>
  <si>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</si>
  <si>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</si>
  <si>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</si>
  <si>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</si>
  <si>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</si>
  <si>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</si>
  <si>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</si>
  <si>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</si>
  <si>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</si>
  <si>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</si>
  <si>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</si>
  <si>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</si>
  <si>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</si>
  <si>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</si>
  <si>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</si>
  <si>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</si>
  <si>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</si>
  <si>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</si>
  <si>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</si>
  <si>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</si>
  <si>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</si>
  <si>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</si>
  <si>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</si>
  <si>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</si>
  <si>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</si>
  <si>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</si>
  <si>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</si>
  <si>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</si>
  <si>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</si>
  <si>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</si>
  <si>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</si>
  <si>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</si>
  <si>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</si>
  <si>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</si>
  <si>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</si>
  <si>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</si>
  <si>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</si>
  <si>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</si>
  <si>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</si>
  <si>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</si>
  <si>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</si>
  <si>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</si>
  <si>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</si>
  <si>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</si>
  <si>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</si>
  <si>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</si>
  <si>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</si>
  <si>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</si>
  <si>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</si>
  <si>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</si>
  <si>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</si>
  <si>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</si>
  <si>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</si>
  <si>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</si>
  <si>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</si>
  <si>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</si>
  <si>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</si>
  <si>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</si>
  <si>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</si>
  <si>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</si>
  <si>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</si>
  <si>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</si>
  <si>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</si>
  <si>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</si>
  <si>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</si>
  <si>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</si>
  <si>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</si>
  <si>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</si>
  <si>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</si>
  <si>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</si>
  <si>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</si>
  <si>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</si>
  <si>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</si>
  <si>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</si>
  <si>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</si>
  <si>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</si>
  <si>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</si>
  <si>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</si>
  <si>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</si>
  <si>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</si>
  <si>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</si>
  <si>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</si>
  <si>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</si>
  <si>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</si>
  <si>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</si>
  <si>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</si>
  <si>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7h30min</t>
  </si>
  <si>
    <t>- 80h30min</t>
  </si>
  <si>
    <t>Ecriture des titres principaux, mise en page (à terminer)</t>
  </si>
  <si>
    <t xml:space="preserve">Discussion avec M.Chenaux et M.Ferrari concernant la récupération des heures perdues </t>
  </si>
  <si>
    <t>Réponse aux mails des experts</t>
  </si>
  <si>
    <t>Mise en page du document.
Copie de la planification initiale dans le rapport</t>
  </si>
  <si>
    <t>Aide à un camarade pour l'exportation PDF de sa planification initiale</t>
  </si>
  <si>
    <t>Documentation sur la méthode 6 pas (Waterfall)</t>
  </si>
  <si>
    <t>Rédaction du rapport : Explication de la méthode de gestion de projet choisie</t>
  </si>
  <si>
    <t>6 pas</t>
  </si>
  <si>
    <r>
      <rPr>
        <b/>
        <sz val="10"/>
        <rFont val="Century Gothic"/>
        <family val="2"/>
        <scheme val="minor"/>
      </rPr>
      <t>Demande de Monsieur Wenger -&gt; Version graphique de la planification initiale :</t>
    </r>
    <r>
      <rPr>
        <sz val="10"/>
        <rFont val="Century Gothic"/>
        <family val="2"/>
        <scheme val="minor"/>
      </rPr>
      <t xml:space="preserve">
</t>
    </r>
    <r>
      <rPr>
        <b/>
        <sz val="10"/>
        <rFont val="Century Gothic"/>
        <family val="2"/>
        <scheme val="minor"/>
      </rPr>
      <t xml:space="preserve">Problème : </t>
    </r>
    <r>
      <rPr>
        <sz val="10"/>
        <rFont val="Century Gothic"/>
        <family val="2"/>
        <scheme val="minor"/>
      </rPr>
      <t xml:space="preserve">Lors de l'enregistrement en PDF de la feuille Bilan, une partie ne s'affiche pas.
</t>
    </r>
    <r>
      <rPr>
        <b/>
        <sz val="10"/>
        <rFont val="Century Gothic"/>
        <family val="2"/>
        <scheme val="minor"/>
      </rPr>
      <t>Solution :</t>
    </r>
    <r>
      <rPr>
        <sz val="10"/>
        <rFont val="Century Gothic"/>
        <family val="2"/>
        <scheme val="minor"/>
      </rPr>
      <t xml:space="preserve"> Exporter au lieu d'enregistrer en PDF et décaler le saut de page.</t>
    </r>
  </si>
  <si>
    <t>Heures supplémentaires : Finalisation de la planification initiale</t>
  </si>
  <si>
    <t>Rendez-vous médical (scanner)</t>
  </si>
  <si>
    <r>
      <t xml:space="preserve">Recherche de documentation sur les différentes méthodes de gestion de projet
-&gt; </t>
    </r>
    <r>
      <rPr>
        <b/>
        <sz val="10"/>
        <rFont val="Century Gothic"/>
        <family val="2"/>
        <scheme val="minor"/>
      </rPr>
      <t xml:space="preserve">Méthode des 6 pas (Waterfall) </t>
    </r>
    <r>
      <rPr>
        <sz val="10"/>
        <rFont val="Century Gothic"/>
        <family val="2"/>
        <scheme val="minor"/>
      </rPr>
      <t>(reste à voir)
Recherche de documentation sur la mise en place d'une stratégie de test</t>
    </r>
  </si>
  <si>
    <t>Rédaction du rapport : Stratégie de backup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</si>
</sst>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795593" y="197069"/>
          <a:ext cx="1075281" cy="403609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ifc-vd.ch/docs/18_mois/ci_1/2._la_methode_des_6_etapes.pdf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2" t="s">
        <v>33</v>
      </c>
      <c r="C35" s="172"/>
      <c r="D35" s="172"/>
      <c r="E35" s="91" t="s">
        <v>143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3" t="s">
        <v>34</v>
      </c>
      <c r="C37" s="173"/>
      <c r="D37" s="173"/>
      <c r="E37" s="93" t="s">
        <v>144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145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VB99"/>
  <sheetViews>
    <sheetView showGridLines="0" view="pageBreakPreview" topLeftCell="AAT4" zoomScale="43" zoomScaleNormal="70" zoomScaleSheetLayoutView="43" workbookViewId="0">
      <selection activeCell="AJI7" sqref="AJI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204" t="s">
        <v>31</v>
      </c>
      <c r="D1" s="204"/>
      <c r="E1" s="20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205"/>
      <c r="D7" s="205"/>
      <c r="E7" s="20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96" t="str">
        <f>E96</f>
        <v>88h</v>
      </c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03"/>
      <c r="W9" s="203" t="s">
        <v>23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196" t="str">
        <f>E98</f>
        <v>7h30min</v>
      </c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196"/>
      <c r="AW9" s="196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77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187"/>
      <c r="GE10" s="187"/>
      <c r="GF10" s="187"/>
      <c r="GG10" s="187"/>
      <c r="GH10" s="187"/>
      <c r="GI10" s="187"/>
      <c r="GJ10" s="187"/>
      <c r="GK10" s="187"/>
      <c r="GL10" s="187"/>
      <c r="GM10" s="187"/>
      <c r="GN10" s="187"/>
      <c r="GO10" s="187"/>
      <c r="GP10" s="187"/>
      <c r="GQ10" s="187"/>
      <c r="GR10" s="187"/>
      <c r="GS10" s="187"/>
      <c r="GT10" s="187"/>
      <c r="GU10" s="187"/>
      <c r="GV10" s="187"/>
      <c r="GW10" s="187"/>
      <c r="GX10" s="187"/>
      <c r="GY10" s="187"/>
      <c r="GZ10" s="187"/>
      <c r="HA10" s="187"/>
      <c r="HB10" s="187"/>
      <c r="HC10" s="187"/>
      <c r="HD10" s="187"/>
      <c r="HE10" s="187"/>
      <c r="HF10" s="187"/>
      <c r="HG10" s="187"/>
      <c r="HH10" s="187"/>
      <c r="HI10" s="187"/>
      <c r="HJ10" s="187"/>
      <c r="HK10" s="187"/>
      <c r="HL10" s="187"/>
      <c r="HM10" s="187"/>
      <c r="HN10" s="187"/>
      <c r="HO10" s="187"/>
      <c r="HP10" s="187"/>
      <c r="HQ10" s="187"/>
      <c r="HR10" s="187"/>
      <c r="HS10" s="187"/>
      <c r="HT10" s="187"/>
      <c r="HU10" s="187"/>
      <c r="HV10" s="187"/>
      <c r="HW10" s="187"/>
      <c r="HX10" s="187"/>
      <c r="HY10" s="187"/>
      <c r="HZ10" s="187"/>
      <c r="IA10" s="187"/>
      <c r="IB10" s="187"/>
      <c r="IC10" s="187"/>
      <c r="ID10" s="187"/>
      <c r="IE10" s="187"/>
      <c r="IF10" s="187"/>
      <c r="IG10" s="187"/>
      <c r="IH10" s="187"/>
      <c r="II10" s="187"/>
      <c r="IJ10" s="187"/>
      <c r="IK10" s="187"/>
      <c r="IL10" s="187"/>
      <c r="IM10" s="187"/>
      <c r="IN10" s="187"/>
      <c r="IO10" s="187"/>
      <c r="IP10" s="187"/>
      <c r="IQ10" s="187"/>
      <c r="IR10" s="187"/>
      <c r="IS10" s="187"/>
      <c r="IT10" s="187"/>
      <c r="IU10" s="187"/>
      <c r="IV10" s="187"/>
      <c r="IW10" s="187"/>
      <c r="IX10" s="187"/>
      <c r="IY10" s="187"/>
      <c r="IZ10" s="187"/>
      <c r="JA10" s="187"/>
      <c r="JB10" s="187"/>
      <c r="JC10" s="187"/>
      <c r="JD10" s="187"/>
      <c r="JE10" s="187"/>
      <c r="JF10" s="187"/>
      <c r="JG10" s="187"/>
      <c r="JH10" s="187"/>
      <c r="JI10" s="187"/>
      <c r="JJ10" s="187"/>
      <c r="JK10" s="187"/>
      <c r="JL10" s="187"/>
      <c r="JM10" s="187"/>
      <c r="JN10" s="187"/>
      <c r="JO10" s="187"/>
      <c r="JP10" s="187"/>
      <c r="JQ10" s="187"/>
      <c r="JR10" s="187"/>
      <c r="JS10" s="187"/>
      <c r="JT10" s="187"/>
      <c r="JU10" s="187"/>
      <c r="JV10" s="187"/>
      <c r="JW10" s="187"/>
      <c r="JX10" s="187"/>
      <c r="JY10" s="187"/>
      <c r="JZ10" s="187"/>
      <c r="KA10" s="187"/>
      <c r="KB10" s="187"/>
      <c r="KC10" s="187"/>
      <c r="KD10" s="187"/>
      <c r="KE10" s="187"/>
      <c r="KF10" s="187"/>
      <c r="KG10" s="187"/>
      <c r="KH10" s="187"/>
      <c r="KI10" s="187"/>
      <c r="KJ10" s="187"/>
      <c r="KK10" s="187"/>
      <c r="KL10" s="187"/>
      <c r="KM10" s="187"/>
      <c r="KN10" s="187"/>
      <c r="KO10" s="187"/>
      <c r="KP10" s="187"/>
      <c r="KQ10" s="187"/>
      <c r="KR10" s="187"/>
      <c r="KS10" s="187"/>
      <c r="KT10" s="187"/>
      <c r="KU10" s="187"/>
      <c r="KV10" s="187"/>
      <c r="KW10" s="187"/>
      <c r="KX10" s="187"/>
      <c r="KY10" s="187"/>
      <c r="KZ10" s="187"/>
      <c r="LA10" s="187"/>
      <c r="LB10" s="187"/>
      <c r="LC10" s="187"/>
      <c r="LD10" s="187"/>
      <c r="LE10" s="187"/>
      <c r="LF10" s="187"/>
      <c r="LG10" s="187"/>
      <c r="LH10" s="187"/>
      <c r="LI10" s="187"/>
      <c r="LJ10" s="187"/>
      <c r="LK10" s="187"/>
      <c r="LL10" s="187"/>
      <c r="LM10" s="187"/>
      <c r="LN10" s="187"/>
      <c r="LO10" s="187"/>
      <c r="LP10" s="187"/>
      <c r="LQ10" s="187"/>
      <c r="LR10" s="187"/>
      <c r="LS10" s="187"/>
      <c r="LT10" s="187"/>
      <c r="LU10" s="187"/>
      <c r="LV10" s="187"/>
      <c r="LW10" s="187"/>
      <c r="LX10" s="187"/>
      <c r="LY10" s="187"/>
      <c r="LZ10" s="187"/>
      <c r="MA10" s="187"/>
      <c r="MB10" s="187"/>
      <c r="MC10" s="187"/>
      <c r="MD10" s="187"/>
      <c r="ME10" s="187"/>
      <c r="MF10" s="187"/>
      <c r="MG10" s="187"/>
      <c r="MH10" s="187"/>
      <c r="MI10" s="187"/>
      <c r="MJ10" s="187"/>
      <c r="MK10" s="187"/>
      <c r="ML10" s="187"/>
      <c r="MM10" s="187"/>
      <c r="MN10" s="187"/>
      <c r="MO10" s="187"/>
      <c r="MP10" s="187"/>
      <c r="MQ10" s="187"/>
      <c r="MR10" s="187"/>
      <c r="MS10" s="187"/>
      <c r="MT10" s="187"/>
      <c r="MU10" s="187"/>
      <c r="MV10" s="187"/>
      <c r="MW10" s="187"/>
      <c r="MX10" s="187"/>
      <c r="MY10" s="187"/>
      <c r="MZ10" s="187"/>
      <c r="NA10" s="187"/>
      <c r="NB10" s="187"/>
      <c r="NC10" s="187"/>
      <c r="ND10" s="187"/>
      <c r="NE10" s="187"/>
      <c r="NF10" s="187"/>
      <c r="NG10" s="187"/>
      <c r="NH10" s="187"/>
      <c r="NI10" s="187"/>
      <c r="NJ10" s="187"/>
      <c r="NK10" s="187"/>
      <c r="NL10" s="187"/>
      <c r="NM10" s="187"/>
      <c r="NN10" s="187"/>
      <c r="NO10" s="187"/>
      <c r="NP10" s="187"/>
      <c r="NQ10" s="187"/>
      <c r="NR10" s="187"/>
      <c r="NS10" s="187"/>
      <c r="NT10" s="187"/>
      <c r="NU10" s="187"/>
      <c r="NV10" s="187"/>
      <c r="NW10" s="187"/>
      <c r="NX10" s="187"/>
      <c r="NY10" s="187"/>
      <c r="NZ10" s="187"/>
      <c r="OA10" s="187"/>
      <c r="OB10" s="187"/>
      <c r="OC10" s="187"/>
      <c r="OD10" s="187"/>
      <c r="OE10" s="187"/>
      <c r="OF10" s="187"/>
      <c r="OG10" s="187"/>
      <c r="OH10" s="187"/>
      <c r="OI10" s="187"/>
      <c r="OJ10" s="187"/>
      <c r="OK10" s="187"/>
      <c r="OL10" s="187"/>
      <c r="OM10" s="187"/>
      <c r="ON10" s="187"/>
      <c r="OO10" s="187"/>
      <c r="OP10" s="187"/>
      <c r="OQ10" s="187"/>
      <c r="OR10" s="187"/>
      <c r="OS10" s="187"/>
      <c r="OT10" s="187"/>
      <c r="OU10" s="187"/>
      <c r="OV10" s="187"/>
      <c r="OW10" s="187"/>
      <c r="OX10" s="187"/>
      <c r="OY10" s="187"/>
      <c r="OZ10" s="187"/>
      <c r="PA10" s="187"/>
      <c r="PB10" s="187"/>
      <c r="PC10" s="187"/>
      <c r="PD10" s="187"/>
      <c r="PE10" s="187"/>
      <c r="PF10" s="187"/>
      <c r="PG10" s="187"/>
      <c r="PH10" s="187"/>
      <c r="PI10" s="187"/>
      <c r="PJ10" s="187"/>
      <c r="PK10" s="187"/>
      <c r="PL10" s="187"/>
      <c r="PM10" s="187"/>
      <c r="PN10" s="187"/>
      <c r="PO10" s="187"/>
      <c r="PP10" s="187"/>
      <c r="PQ10" s="187"/>
      <c r="PR10" s="187"/>
      <c r="PS10" s="187"/>
      <c r="PT10" s="187"/>
      <c r="PU10" s="187"/>
      <c r="PV10" s="187"/>
      <c r="PW10" s="187"/>
      <c r="PX10" s="187"/>
      <c r="PY10" s="187"/>
      <c r="PZ10" s="187"/>
      <c r="QA10" s="187"/>
      <c r="QB10" s="187"/>
      <c r="QC10" s="187"/>
      <c r="QD10" s="187"/>
      <c r="QE10" s="187"/>
      <c r="QF10" s="187"/>
      <c r="QG10" s="187"/>
      <c r="QH10" s="187"/>
      <c r="QI10" s="187"/>
      <c r="QJ10" s="187"/>
      <c r="QK10" s="187"/>
      <c r="QL10" s="187"/>
      <c r="QM10" s="187"/>
      <c r="QN10" s="187"/>
      <c r="QO10" s="187"/>
      <c r="QP10" s="187"/>
      <c r="QQ10" s="187"/>
      <c r="QR10" s="187"/>
      <c r="QS10" s="187"/>
      <c r="QT10" s="187"/>
      <c r="QU10" s="187"/>
      <c r="QV10" s="187"/>
      <c r="QW10" s="187"/>
      <c r="QX10" s="187"/>
      <c r="QY10" s="187"/>
      <c r="QZ10" s="187"/>
      <c r="RA10" s="187"/>
      <c r="RB10" s="187"/>
      <c r="RC10" s="187"/>
      <c r="RD10" s="187"/>
      <c r="RE10" s="187"/>
      <c r="RF10" s="187"/>
      <c r="RG10" s="187"/>
      <c r="RH10" s="187"/>
      <c r="RI10" s="187"/>
      <c r="RJ10" s="187"/>
      <c r="RK10" s="187"/>
      <c r="RL10" s="187"/>
      <c r="RM10" s="187"/>
      <c r="RN10" s="187"/>
      <c r="RO10" s="187"/>
      <c r="RP10" s="187"/>
      <c r="RQ10" s="187"/>
      <c r="RR10" s="187"/>
      <c r="RS10" s="187"/>
      <c r="RT10" s="187"/>
      <c r="RU10" s="187"/>
      <c r="RV10" s="187"/>
      <c r="RW10" s="187"/>
      <c r="RX10" s="187"/>
      <c r="RY10" s="187"/>
      <c r="RZ10" s="187"/>
      <c r="SA10" s="187"/>
      <c r="SB10" s="187"/>
      <c r="SC10" s="187"/>
      <c r="SD10" s="187"/>
      <c r="SE10" s="187"/>
      <c r="SF10" s="187"/>
      <c r="SG10" s="187"/>
      <c r="SH10" s="187"/>
      <c r="SI10" s="187"/>
      <c r="SJ10" s="187"/>
      <c r="SK10" s="187"/>
      <c r="SL10" s="187"/>
      <c r="SM10" s="187"/>
      <c r="SN10" s="187"/>
      <c r="SO10" s="187"/>
      <c r="SP10" s="187"/>
      <c r="SQ10" s="187"/>
      <c r="SR10" s="187"/>
      <c r="SS10" s="187"/>
      <c r="ST10" s="187"/>
      <c r="SU10" s="187"/>
      <c r="SV10" s="187"/>
      <c r="SW10" s="187"/>
      <c r="SX10" s="187"/>
      <c r="SY10" s="187"/>
      <c r="SZ10" s="187"/>
      <c r="TA10" s="187"/>
      <c r="TB10" s="187"/>
      <c r="TC10" s="187"/>
      <c r="TD10" s="187"/>
      <c r="TE10" s="187"/>
      <c r="TF10" s="187"/>
      <c r="TG10" s="187"/>
      <c r="TH10" s="187"/>
      <c r="TI10" s="187"/>
      <c r="TJ10" s="187"/>
      <c r="TK10" s="187"/>
      <c r="TL10" s="187"/>
      <c r="TM10" s="187"/>
      <c r="TN10" s="187"/>
      <c r="TO10" s="187"/>
      <c r="TP10" s="187"/>
      <c r="TQ10" s="187"/>
      <c r="TR10" s="187"/>
      <c r="TS10" s="187"/>
      <c r="TT10" s="187"/>
      <c r="TU10" s="187"/>
      <c r="TV10" s="187"/>
      <c r="TW10" s="187"/>
      <c r="TX10" s="187"/>
      <c r="TY10" s="187"/>
      <c r="TZ10" s="187"/>
      <c r="UA10" s="187"/>
      <c r="UB10" s="187"/>
      <c r="UC10" s="187"/>
      <c r="UD10" s="187"/>
      <c r="UE10" s="187"/>
      <c r="UF10" s="187"/>
      <c r="UG10" s="187"/>
      <c r="UH10" s="187"/>
      <c r="UI10" s="187"/>
      <c r="UJ10" s="187"/>
      <c r="UK10" s="187"/>
      <c r="UL10" s="187"/>
      <c r="UM10" s="187"/>
      <c r="UN10" s="187"/>
      <c r="UO10" s="187"/>
      <c r="UP10" s="187"/>
      <c r="UQ10" s="187"/>
      <c r="UR10" s="187"/>
      <c r="US10" s="187"/>
      <c r="UT10" s="187"/>
      <c r="UU10" s="187"/>
      <c r="UV10" s="187"/>
      <c r="UW10" s="187"/>
      <c r="UX10" s="187"/>
      <c r="UY10" s="187"/>
      <c r="UZ10" s="187"/>
      <c r="VA10" s="187"/>
      <c r="VB10" s="187"/>
      <c r="VC10" s="187"/>
      <c r="VD10" s="187"/>
      <c r="VE10" s="187"/>
      <c r="VF10" s="187"/>
      <c r="VG10" s="187"/>
      <c r="VH10" s="187"/>
      <c r="VI10" s="187"/>
      <c r="VJ10" s="187"/>
      <c r="VK10" s="187"/>
      <c r="VL10" s="187"/>
      <c r="VM10" s="187"/>
      <c r="VN10" s="187"/>
      <c r="VO10" s="187"/>
      <c r="VP10" s="187"/>
      <c r="VQ10" s="187"/>
      <c r="VR10" s="187"/>
      <c r="VS10" s="187"/>
      <c r="VT10" s="187"/>
      <c r="VU10" s="187"/>
      <c r="VV10" s="187"/>
      <c r="VW10" s="187"/>
      <c r="VX10" s="187"/>
      <c r="VY10" s="187"/>
      <c r="VZ10" s="187"/>
      <c r="WA10" s="187"/>
      <c r="WB10" s="187"/>
      <c r="WC10" s="187"/>
      <c r="WD10" s="187"/>
      <c r="WE10" s="187"/>
      <c r="WF10" s="187"/>
      <c r="WG10" s="187"/>
      <c r="WH10" s="187"/>
      <c r="WI10" s="187"/>
      <c r="WJ10" s="187"/>
      <c r="WK10" s="187"/>
      <c r="WL10" s="187"/>
      <c r="WM10" s="187"/>
      <c r="WN10" s="187"/>
      <c r="WO10" s="187"/>
      <c r="WP10" s="187"/>
      <c r="WQ10" s="187"/>
      <c r="WR10" s="187"/>
      <c r="WS10" s="187"/>
      <c r="WT10" s="187"/>
      <c r="WU10" s="187"/>
      <c r="WV10" s="187"/>
      <c r="WW10" s="187"/>
      <c r="WX10" s="187"/>
      <c r="WY10" s="187"/>
      <c r="WZ10" s="187"/>
      <c r="XA10" s="187"/>
      <c r="XB10" s="187"/>
      <c r="XC10" s="187"/>
      <c r="XD10" s="187"/>
      <c r="XE10" s="187"/>
      <c r="XF10" s="187"/>
      <c r="XG10" s="187"/>
      <c r="XH10" s="187"/>
      <c r="XI10" s="187"/>
      <c r="XJ10" s="187"/>
      <c r="XK10" s="187"/>
      <c r="XL10" s="187"/>
      <c r="XM10" s="187"/>
      <c r="XN10" s="187"/>
      <c r="XO10" s="187"/>
      <c r="XP10" s="187"/>
      <c r="XQ10" s="187"/>
      <c r="XR10" s="187"/>
      <c r="XS10" s="187"/>
      <c r="XT10" s="187"/>
      <c r="XU10" s="187"/>
      <c r="XV10" s="187"/>
      <c r="XW10" s="187"/>
      <c r="XX10" s="187"/>
      <c r="XY10" s="187"/>
      <c r="XZ10" s="187"/>
      <c r="YA10" s="187"/>
      <c r="YB10" s="187"/>
      <c r="YC10" s="187"/>
      <c r="YD10" s="187"/>
      <c r="YE10" s="187"/>
      <c r="YF10" s="187"/>
      <c r="YG10" s="187"/>
      <c r="YH10" s="187"/>
      <c r="YI10" s="187"/>
      <c r="YJ10" s="187"/>
      <c r="YK10" s="187"/>
      <c r="YL10" s="187"/>
      <c r="YM10" s="187"/>
      <c r="YN10" s="187"/>
      <c r="YO10" s="187"/>
      <c r="YP10" s="187"/>
      <c r="YQ10" s="187"/>
      <c r="YR10" s="187"/>
      <c r="YS10" s="187"/>
      <c r="YT10" s="187"/>
      <c r="YU10" s="187"/>
      <c r="YV10" s="187"/>
      <c r="YW10" s="187"/>
      <c r="YX10" s="187"/>
      <c r="YY10" s="187"/>
      <c r="YZ10" s="187"/>
      <c r="ZA10" s="187"/>
      <c r="ZB10" s="187"/>
      <c r="ZC10" s="187"/>
      <c r="ZD10" s="187"/>
      <c r="ZE10" s="187"/>
      <c r="ZF10" s="187"/>
      <c r="ZG10" s="187"/>
      <c r="ZH10" s="187"/>
      <c r="ZI10" s="187"/>
      <c r="ZJ10" s="187"/>
      <c r="ZK10" s="187"/>
      <c r="ZL10" s="187"/>
      <c r="ZM10" s="187"/>
      <c r="ZN10" s="187"/>
      <c r="ZO10" s="187"/>
      <c r="ZP10" s="187"/>
      <c r="ZQ10" s="187"/>
      <c r="ZR10" s="187"/>
      <c r="ZS10" s="187"/>
      <c r="ZT10" s="187"/>
      <c r="ZU10" s="187"/>
      <c r="ZV10" s="187"/>
      <c r="ZW10" s="187"/>
      <c r="ZX10" s="187"/>
      <c r="ZY10" s="187"/>
      <c r="ZZ10" s="187"/>
      <c r="AAA10" s="187"/>
      <c r="AAB10" s="187"/>
      <c r="AAC10" s="187"/>
      <c r="AAD10" s="187"/>
      <c r="AAE10" s="187"/>
      <c r="AAF10" s="187"/>
      <c r="AAG10" s="187"/>
      <c r="AAH10" s="187"/>
      <c r="AAI10" s="187"/>
      <c r="AAJ10" s="187"/>
      <c r="AAK10" s="187"/>
      <c r="AAL10" s="187"/>
      <c r="AAM10" s="187"/>
      <c r="AAN10" s="187"/>
      <c r="AAO10" s="187"/>
      <c r="AAP10" s="187"/>
      <c r="AAQ10" s="187"/>
      <c r="AAR10" s="187"/>
      <c r="AAS10" s="187"/>
      <c r="AAT10" s="187"/>
      <c r="AAU10" s="187"/>
      <c r="AAV10" s="187"/>
      <c r="AAW10" s="187"/>
      <c r="AAX10" s="187"/>
      <c r="AAY10" s="187"/>
      <c r="AAZ10" s="187"/>
      <c r="ABA10" s="187"/>
      <c r="ABB10" s="187"/>
      <c r="ABC10" s="187"/>
      <c r="ABD10" s="187"/>
      <c r="ABE10" s="187"/>
      <c r="ABF10" s="187"/>
      <c r="ABG10" s="187"/>
      <c r="ABH10" s="187"/>
      <c r="ABI10" s="187"/>
      <c r="ABJ10" s="187"/>
      <c r="ABK10" s="187"/>
      <c r="ABL10" s="187"/>
      <c r="ABM10" s="187"/>
      <c r="ABN10" s="187"/>
      <c r="ABO10" s="187"/>
      <c r="ABP10" s="187"/>
      <c r="ABQ10" s="187"/>
      <c r="ABR10" s="187"/>
      <c r="ABS10" s="187"/>
      <c r="ABT10" s="187"/>
      <c r="ABU10" s="187"/>
      <c r="ABV10" s="187"/>
      <c r="ABW10" s="187"/>
      <c r="ABX10" s="187"/>
      <c r="ABY10" s="187"/>
      <c r="ABZ10" s="187"/>
      <c r="ACA10" s="187"/>
      <c r="ACB10" s="187"/>
      <c r="ACC10" s="187"/>
      <c r="ACD10" s="187"/>
      <c r="ACE10" s="187"/>
      <c r="ACF10" s="187"/>
      <c r="ACG10" s="187"/>
      <c r="ACH10" s="187"/>
      <c r="ACI10" s="187"/>
      <c r="ACJ10" s="187"/>
      <c r="ACK10" s="187"/>
      <c r="ACL10" s="187"/>
      <c r="ACM10" s="187"/>
      <c r="ACN10" s="187"/>
      <c r="ACO10" s="187"/>
      <c r="ACP10" s="187"/>
      <c r="ACQ10" s="187"/>
      <c r="ACR10" s="187"/>
      <c r="ACS10" s="187"/>
      <c r="ACT10" s="187"/>
      <c r="ACU10" s="187"/>
      <c r="ACV10" s="187"/>
      <c r="ACW10" s="187"/>
      <c r="ACX10" s="187"/>
      <c r="ACY10" s="187"/>
      <c r="ACZ10" s="187"/>
      <c r="ADA10" s="187"/>
      <c r="ADB10" s="187"/>
      <c r="ADC10" s="187"/>
      <c r="ADD10" s="187"/>
      <c r="ADE10" s="187"/>
      <c r="ADF10" s="187"/>
      <c r="ADG10" s="187"/>
      <c r="ADH10" s="187"/>
      <c r="ADI10" s="187"/>
      <c r="ADJ10" s="187"/>
      <c r="ADK10" s="187"/>
      <c r="ADL10" s="187"/>
      <c r="ADM10" s="187"/>
      <c r="ADN10" s="187"/>
      <c r="ADO10" s="187"/>
      <c r="ADP10" s="187"/>
      <c r="ADQ10" s="187"/>
      <c r="ADR10" s="187"/>
      <c r="ADS10" s="187"/>
      <c r="ADT10" s="187"/>
      <c r="ADU10" s="187"/>
      <c r="ADV10" s="187"/>
      <c r="ADW10" s="187"/>
      <c r="ADX10" s="187"/>
      <c r="ADY10" s="187"/>
      <c r="ADZ10" s="187"/>
      <c r="AEA10" s="187"/>
      <c r="AEB10" s="187"/>
      <c r="AEC10" s="187"/>
      <c r="AED10" s="187"/>
      <c r="AEE10" s="187"/>
      <c r="AEF10" s="187"/>
      <c r="AEG10" s="187"/>
      <c r="AEH10" s="187"/>
      <c r="AEI10" s="187"/>
      <c r="AEJ10" s="187"/>
      <c r="AEK10" s="187"/>
      <c r="AEL10" s="187"/>
      <c r="AEM10" s="187"/>
      <c r="AEN10" s="187"/>
      <c r="AEO10" s="187"/>
      <c r="AEP10" s="187"/>
      <c r="AEQ10" s="187"/>
      <c r="AER10" s="187"/>
      <c r="AES10" s="187"/>
      <c r="AET10" s="187"/>
      <c r="AEU10" s="187"/>
      <c r="AEV10" s="187"/>
      <c r="AEW10" s="187"/>
      <c r="AEX10" s="187"/>
      <c r="AEY10" s="187"/>
      <c r="AEZ10" s="187"/>
      <c r="AFA10" s="187"/>
      <c r="AFB10" s="187"/>
      <c r="AFC10" s="187"/>
      <c r="AFD10" s="187"/>
      <c r="AFE10" s="187"/>
      <c r="AFF10" s="187"/>
      <c r="AFG10" s="187"/>
      <c r="AFH10" s="187"/>
      <c r="AFI10" s="187"/>
      <c r="AFJ10" s="187"/>
      <c r="AFK10" s="187"/>
      <c r="AFL10" s="187"/>
      <c r="AFM10" s="187"/>
      <c r="AFN10" s="187"/>
      <c r="AFO10" s="187"/>
      <c r="AFP10" s="187"/>
      <c r="AFQ10" s="187"/>
      <c r="AFR10" s="187"/>
      <c r="AFS10" s="187"/>
      <c r="AFT10" s="187"/>
      <c r="AFU10" s="187"/>
      <c r="AFV10" s="187"/>
      <c r="AFW10" s="187"/>
      <c r="AFX10" s="187"/>
      <c r="AFY10" s="187"/>
      <c r="AFZ10" s="187"/>
      <c r="AGA10" s="187"/>
      <c r="AGB10" s="187"/>
      <c r="AGC10" s="187"/>
      <c r="AGD10" s="187"/>
      <c r="AGE10" s="187"/>
      <c r="AGF10" s="187"/>
      <c r="AGG10" s="187"/>
      <c r="AGH10" s="187"/>
      <c r="AGI10" s="187"/>
      <c r="AGJ10" s="187"/>
      <c r="AGK10" s="187"/>
      <c r="AGL10" s="187"/>
      <c r="AGM10" s="187"/>
      <c r="AGN10" s="187"/>
      <c r="AGO10" s="187"/>
      <c r="AGP10" s="187"/>
      <c r="AGQ10" s="187"/>
      <c r="AGR10" s="187"/>
      <c r="AGS10" s="187"/>
      <c r="AGT10" s="187"/>
      <c r="AGU10" s="187"/>
      <c r="AGV10" s="187"/>
      <c r="AGW10" s="187"/>
      <c r="AGX10" s="187"/>
      <c r="AGY10" s="187"/>
      <c r="AGZ10" s="187"/>
      <c r="AHA10" s="187"/>
      <c r="AHB10" s="187"/>
      <c r="AHC10" s="187"/>
      <c r="AHD10" s="187"/>
      <c r="AHE10" s="187"/>
      <c r="AHF10" s="187"/>
      <c r="AHG10" s="187"/>
      <c r="AHH10" s="187"/>
      <c r="AHI10" s="187"/>
      <c r="AHJ10" s="187"/>
      <c r="AHK10" s="187"/>
      <c r="AHL10" s="187"/>
      <c r="AHM10" s="187"/>
      <c r="AHN10" s="187"/>
      <c r="AHO10" s="187"/>
      <c r="AHP10" s="187"/>
      <c r="AHQ10" s="187"/>
      <c r="AHR10" s="187"/>
      <c r="AHS10" s="187"/>
      <c r="AHT10" s="187"/>
      <c r="AHU10" s="187"/>
      <c r="AHV10" s="187"/>
      <c r="AHW10" s="187"/>
      <c r="AHX10" s="187"/>
      <c r="AHY10" s="187"/>
      <c r="AHZ10" s="187"/>
      <c r="AIA10" s="187"/>
      <c r="AIB10" s="187"/>
      <c r="AIC10" s="187"/>
      <c r="AID10" s="187"/>
      <c r="AIE10" s="187"/>
      <c r="AIF10" s="187"/>
      <c r="AIG10" s="187"/>
      <c r="AIH10" s="187"/>
      <c r="AII10" s="187"/>
      <c r="AIJ10" s="187"/>
      <c r="AIK10" s="187"/>
      <c r="AIL10" s="187"/>
      <c r="AIM10" s="187"/>
      <c r="AIN10" s="187"/>
      <c r="AIO10" s="187"/>
      <c r="AIP10" s="187"/>
      <c r="AIQ10" s="187"/>
      <c r="AIR10" s="187"/>
      <c r="AIS10" s="187"/>
      <c r="AIT10" s="187"/>
      <c r="AIU10" s="187"/>
      <c r="AIV10" s="187"/>
      <c r="AIW10" s="187"/>
      <c r="AIX10" s="187"/>
      <c r="AIY10" s="187"/>
      <c r="AIZ10" s="187"/>
      <c r="AJA10" s="187"/>
      <c r="AJB10" s="187"/>
      <c r="AJC10" s="187"/>
      <c r="AJD10" s="187"/>
      <c r="AJE10" s="187"/>
      <c r="AJF10" s="187"/>
      <c r="AJG10" s="187"/>
      <c r="AJH10" s="187"/>
      <c r="AJI10" s="187"/>
      <c r="AJJ10" s="187"/>
      <c r="AJK10" s="187"/>
      <c r="AJL10" s="187"/>
      <c r="AJM10" s="187"/>
      <c r="AJN10" s="187"/>
      <c r="AJO10" s="187"/>
      <c r="AJP10" s="187"/>
      <c r="AJQ10" s="187"/>
      <c r="AJR10" s="187"/>
      <c r="AJS10" s="187"/>
      <c r="AJT10" s="187"/>
      <c r="AJU10" s="187"/>
      <c r="AJV10" s="187"/>
      <c r="AJW10" s="187"/>
      <c r="AJX10" s="187"/>
      <c r="AJY10" s="187"/>
      <c r="AJZ10" s="187"/>
      <c r="AKA10" s="187"/>
      <c r="AKB10" s="187"/>
      <c r="AKC10" s="187"/>
      <c r="AKD10" s="187"/>
      <c r="AKE10" s="187"/>
      <c r="AKF10" s="187"/>
      <c r="AKG10" s="187"/>
      <c r="AKH10" s="187"/>
      <c r="AKI10" s="187"/>
      <c r="AKJ10" s="187"/>
      <c r="AKK10" s="187"/>
      <c r="AKL10" s="187"/>
      <c r="AKM10" s="187"/>
      <c r="AKN10" s="187"/>
      <c r="AKO10" s="187"/>
      <c r="AKP10" s="187"/>
      <c r="AKQ10" s="187"/>
      <c r="AKR10" s="187"/>
      <c r="AKS10" s="187"/>
      <c r="AKT10" s="187"/>
      <c r="AKU10" s="187"/>
      <c r="AKV10" s="187"/>
      <c r="AKW10" s="187"/>
      <c r="AKX10" s="187"/>
      <c r="AKY10" s="187"/>
      <c r="AKZ10" s="187"/>
      <c r="ALA10" s="187"/>
      <c r="ALB10" s="187"/>
      <c r="ALC10" s="187"/>
      <c r="ALD10" s="187"/>
      <c r="ALE10" s="187"/>
      <c r="ALF10" s="187"/>
      <c r="ALG10" s="187"/>
      <c r="ALH10" s="187"/>
      <c r="ALI10" s="187"/>
      <c r="ALJ10" s="187"/>
      <c r="ALK10" s="187"/>
      <c r="ALL10" s="187"/>
      <c r="ALM10" s="187"/>
      <c r="ALN10" s="187"/>
      <c r="ALO10" s="187"/>
      <c r="ALP10" s="187"/>
      <c r="ALQ10" s="187"/>
      <c r="ALR10" s="187"/>
      <c r="ALS10" s="187"/>
      <c r="ALT10" s="187"/>
      <c r="ALU10" s="187"/>
      <c r="ALV10" s="187"/>
      <c r="ALW10" s="187"/>
      <c r="ALX10" s="187"/>
      <c r="ALY10" s="187"/>
      <c r="ALZ10" s="187"/>
      <c r="AMA10" s="187"/>
      <c r="AMB10" s="187"/>
      <c r="AMC10" s="187"/>
      <c r="AMD10" s="187"/>
      <c r="AME10" s="187"/>
      <c r="AMF10" s="187"/>
      <c r="AMG10" s="187"/>
      <c r="AMH10" s="187"/>
      <c r="AMI10" s="187"/>
      <c r="AMJ10" s="187"/>
      <c r="AMK10" s="187"/>
      <c r="AML10" s="187"/>
      <c r="AMM10" s="187"/>
      <c r="AMN10" s="187"/>
      <c r="AMO10" s="187"/>
      <c r="AMP10" s="187"/>
      <c r="AMQ10" s="187"/>
      <c r="AMR10" s="187"/>
      <c r="AMS10" s="187"/>
      <c r="AMT10" s="187"/>
      <c r="AMU10" s="187"/>
      <c r="AMV10" s="187"/>
      <c r="AMW10" s="187"/>
      <c r="AMX10" s="187"/>
      <c r="AMY10" s="187"/>
      <c r="AMZ10" s="187"/>
      <c r="ANA10" s="187"/>
      <c r="ANB10" s="187"/>
      <c r="ANC10" s="187"/>
      <c r="AND10" s="187"/>
      <c r="ANE10" s="187"/>
      <c r="ANF10" s="187"/>
      <c r="ANG10" s="187"/>
      <c r="ANH10" s="187"/>
      <c r="ANI10" s="187"/>
      <c r="ANJ10" s="187"/>
      <c r="ANK10" s="187"/>
      <c r="ANL10" s="187"/>
      <c r="ANM10" s="187"/>
      <c r="ANN10" s="187"/>
      <c r="ANO10" s="187"/>
      <c r="ANP10" s="187"/>
      <c r="ANQ10" s="187"/>
      <c r="ANR10" s="187"/>
      <c r="ANS10" s="187"/>
      <c r="ANT10" s="187"/>
      <c r="ANU10" s="187"/>
      <c r="ANV10" s="187"/>
      <c r="ANW10" s="187"/>
      <c r="ANX10" s="187"/>
      <c r="ANY10" s="187"/>
      <c r="ANZ10" s="187"/>
      <c r="AOA10" s="187"/>
      <c r="AOB10" s="187"/>
      <c r="AOC10" s="187"/>
      <c r="AOD10" s="187"/>
      <c r="AOE10" s="187"/>
      <c r="AOF10" s="187"/>
      <c r="AOG10" s="187"/>
      <c r="AOH10" s="187"/>
      <c r="AOI10" s="187"/>
      <c r="AOJ10" s="187"/>
      <c r="AOK10" s="187"/>
      <c r="AOL10" s="187"/>
      <c r="AOM10" s="187"/>
      <c r="AON10" s="187"/>
      <c r="AOO10" s="187"/>
      <c r="AOP10" s="187"/>
      <c r="AOQ10" s="187"/>
      <c r="AOR10" s="187"/>
      <c r="AOS10" s="187"/>
      <c r="AOT10" s="187"/>
      <c r="AOU10" s="187"/>
      <c r="AOV10" s="187"/>
      <c r="AOW10" s="187"/>
      <c r="AOX10" s="187"/>
      <c r="AOY10" s="187"/>
      <c r="AOZ10" s="187"/>
      <c r="APA10" s="187"/>
      <c r="APB10" s="187"/>
      <c r="APC10" s="187"/>
      <c r="APD10" s="187"/>
      <c r="APE10" s="187"/>
      <c r="APF10" s="187"/>
      <c r="APG10" s="187"/>
      <c r="APH10" s="187"/>
      <c r="API10" s="187"/>
      <c r="APJ10" s="187"/>
      <c r="APK10" s="187"/>
      <c r="APL10" s="187"/>
      <c r="APM10" s="187"/>
      <c r="APN10" s="187"/>
      <c r="APO10" s="187"/>
      <c r="APP10" s="187"/>
      <c r="APQ10" s="187"/>
      <c r="APR10" s="187"/>
      <c r="APS10" s="187"/>
      <c r="APT10" s="187"/>
      <c r="APU10" s="187"/>
      <c r="APV10" s="187"/>
      <c r="APW10" s="187"/>
      <c r="APX10" s="187"/>
      <c r="APY10" s="187"/>
      <c r="APZ10" s="187"/>
      <c r="AQA10" s="187"/>
      <c r="AQB10" s="187"/>
      <c r="AQC10" s="187"/>
      <c r="AQD10" s="187"/>
      <c r="AQE10" s="187"/>
      <c r="AQF10" s="187"/>
      <c r="AQG10" s="187"/>
      <c r="AQH10" s="187"/>
      <c r="AQI10" s="187"/>
      <c r="AQJ10" s="187"/>
      <c r="AQK10" s="187"/>
      <c r="AQL10" s="187"/>
      <c r="AQM10" s="187"/>
      <c r="AQN10" s="187"/>
      <c r="AQO10" s="187"/>
      <c r="AQP10" s="187"/>
      <c r="AQQ10" s="187"/>
      <c r="AQR10" s="187"/>
      <c r="AQS10" s="187"/>
      <c r="AQT10" s="187"/>
      <c r="AQU10" s="187"/>
      <c r="AQV10" s="187"/>
      <c r="AQW10" s="187"/>
      <c r="AQX10" s="187"/>
      <c r="AQY10" s="187"/>
      <c r="AQZ10" s="187"/>
      <c r="ARA10" s="187"/>
      <c r="ARB10" s="187"/>
      <c r="ARC10" s="187"/>
      <c r="ARD10" s="187"/>
      <c r="ARE10" s="187"/>
      <c r="ARF10" s="187"/>
      <c r="ARG10" s="187"/>
      <c r="ARH10" s="187"/>
      <c r="ARI10" s="187"/>
      <c r="ARJ10" s="187"/>
      <c r="ARK10" s="187"/>
      <c r="ARL10" s="187"/>
      <c r="ARM10" s="187"/>
      <c r="ARN10" s="187"/>
      <c r="ARO10" s="187"/>
      <c r="ARP10" s="187"/>
      <c r="ARQ10" s="187"/>
      <c r="ARR10" s="187"/>
      <c r="ARS10" s="187"/>
      <c r="ART10" s="187"/>
      <c r="ARU10" s="187"/>
      <c r="ARV10" s="187"/>
      <c r="ARW10" s="187"/>
      <c r="ARX10" s="187"/>
      <c r="ARY10" s="187"/>
      <c r="ARZ10" s="187"/>
      <c r="ASA10" s="187"/>
      <c r="ASB10" s="187"/>
      <c r="ASC10" s="187"/>
      <c r="ASD10" s="187"/>
      <c r="ASE10" s="187"/>
      <c r="ASF10" s="187"/>
      <c r="ASG10" s="187"/>
      <c r="ASH10" s="187"/>
      <c r="ASI10" s="187"/>
      <c r="ASJ10" s="187"/>
      <c r="ASK10" s="187"/>
      <c r="ASL10" s="187"/>
      <c r="ASM10" s="187"/>
      <c r="ASN10" s="187"/>
      <c r="ASO10" s="187"/>
      <c r="ASP10" s="187"/>
      <c r="ASQ10" s="187"/>
      <c r="ASR10" s="187"/>
      <c r="ASS10" s="187"/>
      <c r="AST10" s="187"/>
      <c r="ASU10" s="187"/>
      <c r="ASV10" s="187"/>
      <c r="ASW10" s="187"/>
      <c r="ASX10" s="187"/>
      <c r="ASY10" s="187"/>
      <c r="ASZ10" s="187"/>
      <c r="ATA10" s="187"/>
      <c r="ATB10" s="187"/>
      <c r="ATC10" s="187"/>
      <c r="ATD10" s="187"/>
      <c r="ATE10" s="187"/>
      <c r="ATF10" s="187"/>
      <c r="ATG10" s="187"/>
      <c r="ATH10" s="187"/>
      <c r="ATI10" s="187"/>
      <c r="ATJ10" s="187"/>
      <c r="ATK10" s="187"/>
      <c r="ATL10" s="187"/>
      <c r="ATM10" s="187"/>
      <c r="ATN10" s="187"/>
      <c r="ATO10" s="187"/>
      <c r="ATP10" s="187"/>
      <c r="ATQ10" s="187"/>
      <c r="ATR10" s="187"/>
      <c r="ATS10" s="187"/>
      <c r="ATT10" s="187"/>
      <c r="ATU10" s="187"/>
      <c r="ATV10" s="187"/>
      <c r="ATW10" s="187"/>
      <c r="ATX10" s="187"/>
      <c r="ATY10" s="187"/>
      <c r="ATZ10" s="187"/>
      <c r="AUA10" s="187"/>
      <c r="AUB10" s="187"/>
      <c r="AUC10" s="187"/>
      <c r="AUD10" s="187"/>
      <c r="AUE10" s="187"/>
      <c r="AUF10" s="187"/>
      <c r="AUG10" s="187"/>
      <c r="AUH10" s="187"/>
      <c r="AUI10" s="187"/>
      <c r="AUJ10" s="187"/>
      <c r="AUK10" s="187"/>
      <c r="AUL10" s="187"/>
      <c r="AUM10" s="187"/>
      <c r="AUN10" s="187"/>
      <c r="AUO10" s="187"/>
      <c r="AUP10" s="187"/>
      <c r="AUQ10" s="187"/>
      <c r="AUR10" s="187"/>
      <c r="AUS10" s="187"/>
      <c r="AUT10" s="187"/>
      <c r="AUU10" s="187"/>
      <c r="AUV10" s="187"/>
      <c r="AUW10" s="187"/>
      <c r="AUX10" s="187"/>
      <c r="AUY10" s="187"/>
      <c r="AUZ10" s="187"/>
      <c r="AVA10" s="187"/>
      <c r="AVB10" s="187"/>
      <c r="AVC10" s="187"/>
      <c r="AVD10" s="187"/>
      <c r="AVE10" s="187"/>
      <c r="AVF10" s="187"/>
      <c r="AVG10" s="187"/>
      <c r="AVH10" s="187"/>
      <c r="AVI10" s="187"/>
      <c r="AVJ10" s="187"/>
      <c r="AVK10" s="187"/>
      <c r="AVL10" s="187"/>
      <c r="AVM10" s="187"/>
      <c r="AVN10" s="187"/>
      <c r="AVO10" s="187"/>
      <c r="AVP10" s="187"/>
      <c r="AVQ10" s="187"/>
      <c r="AVR10" s="187"/>
      <c r="AVS10" s="187"/>
      <c r="AVT10" s="187"/>
      <c r="AVU10" s="187"/>
      <c r="AVV10" s="187"/>
      <c r="AVW10" s="187"/>
      <c r="AVX10" s="187"/>
      <c r="AVY10" s="187"/>
      <c r="AVZ10" s="187"/>
      <c r="AWA10" s="187"/>
      <c r="AWB10" s="187"/>
      <c r="AWC10" s="187"/>
      <c r="AWD10" s="187"/>
      <c r="AWE10" s="187"/>
      <c r="AWF10" s="187"/>
      <c r="AWG10" s="187"/>
      <c r="AWH10" s="187"/>
      <c r="AWI10" s="187"/>
      <c r="AWJ10" s="187"/>
      <c r="AWK10" s="187"/>
      <c r="AWL10" s="187"/>
      <c r="AWM10" s="187"/>
      <c r="AWN10" s="187"/>
      <c r="AWO10" s="187"/>
      <c r="AWP10" s="187"/>
      <c r="AWQ10" s="187"/>
      <c r="AWR10" s="187"/>
      <c r="AWS10" s="187"/>
      <c r="AWT10" s="187"/>
      <c r="AWU10" s="187"/>
      <c r="AWV10" s="187"/>
      <c r="AWW10" s="187"/>
      <c r="AWX10" s="187"/>
      <c r="AWY10" s="187"/>
      <c r="AWZ10" s="187"/>
      <c r="AXA10" s="187"/>
      <c r="AXB10" s="187"/>
      <c r="AXC10" s="187"/>
      <c r="AXD10" s="187"/>
      <c r="AXE10" s="187"/>
      <c r="AXF10" s="187"/>
      <c r="AXG10" s="187"/>
      <c r="AXH10" s="187"/>
      <c r="AXI10" s="187"/>
      <c r="AXJ10" s="187"/>
      <c r="AXK10" s="187"/>
      <c r="AXL10" s="187"/>
      <c r="AXM10" s="187"/>
      <c r="AXN10" s="187"/>
      <c r="AXO10" s="187"/>
      <c r="AXP10" s="187"/>
      <c r="AXQ10" s="187"/>
      <c r="AXR10" s="187"/>
      <c r="AXS10" s="187"/>
      <c r="AXT10" s="187"/>
      <c r="AXU10" s="187"/>
      <c r="AXV10" s="187"/>
      <c r="AXW10" s="187"/>
      <c r="AXX10" s="187"/>
      <c r="AXY10" s="187"/>
      <c r="AXZ10" s="187"/>
      <c r="AYA10" s="187"/>
      <c r="AYB10" s="187"/>
      <c r="AYC10" s="187"/>
      <c r="AYD10" s="187"/>
      <c r="AYE10" s="187"/>
      <c r="AYF10" s="187"/>
      <c r="AYG10" s="187"/>
      <c r="AYH10" s="187"/>
      <c r="AYI10" s="187"/>
      <c r="AYJ10" s="187"/>
      <c r="AYK10" s="187"/>
      <c r="AYL10" s="187"/>
      <c r="AYM10" s="187"/>
      <c r="AYN10" s="187"/>
      <c r="AYO10" s="187"/>
      <c r="AYP10" s="187"/>
      <c r="AYQ10" s="187"/>
      <c r="AYR10" s="187"/>
      <c r="AYS10" s="187"/>
      <c r="AYT10" s="187"/>
      <c r="AYU10" s="187"/>
      <c r="AYV10" s="187"/>
      <c r="AYW10" s="187"/>
      <c r="AYX10" s="187"/>
      <c r="AYY10" s="187"/>
      <c r="AYZ10" s="187"/>
      <c r="AZA10" s="187"/>
      <c r="AZB10" s="187"/>
      <c r="AZC10" s="187"/>
      <c r="AZD10" s="187"/>
      <c r="AZE10" s="187"/>
      <c r="AZF10" s="187"/>
      <c r="AZG10" s="187"/>
      <c r="AZH10" s="187"/>
      <c r="AZI10" s="187"/>
      <c r="AZJ10" s="187"/>
      <c r="AZK10" s="187"/>
      <c r="AZL10" s="187"/>
      <c r="AZM10" s="187"/>
      <c r="AZN10" s="187"/>
      <c r="AZO10" s="187"/>
      <c r="AZP10" s="187"/>
      <c r="AZQ10" s="187"/>
      <c r="AZR10" s="187"/>
      <c r="AZS10" s="187"/>
      <c r="AZT10" s="187"/>
      <c r="AZU10" s="187"/>
      <c r="AZV10" s="187"/>
      <c r="AZW10" s="187"/>
      <c r="AZX10" s="187"/>
      <c r="AZY10" s="187"/>
      <c r="AZZ10" s="187"/>
      <c r="BAA10" s="187"/>
      <c r="BAB10" s="187"/>
      <c r="BAC10" s="187"/>
      <c r="BAD10" s="187"/>
      <c r="BAE10" s="187"/>
      <c r="BAF10" s="187"/>
      <c r="BAG10" s="187"/>
      <c r="BAH10" s="187"/>
      <c r="BAI10" s="187"/>
      <c r="BAJ10" s="187"/>
      <c r="BAK10" s="187"/>
      <c r="BAL10" s="187"/>
      <c r="BAM10" s="187"/>
      <c r="BAN10" s="187"/>
      <c r="BAO10" s="187"/>
      <c r="BAP10" s="187"/>
      <c r="BAQ10" s="187"/>
      <c r="BAR10" s="187"/>
      <c r="BAS10" s="187"/>
      <c r="BAT10" s="187"/>
      <c r="BAU10" s="187"/>
      <c r="BAV10" s="187"/>
      <c r="BAW10" s="187"/>
      <c r="BAX10" s="187"/>
      <c r="BAY10" s="187"/>
      <c r="BAZ10" s="187"/>
      <c r="BBA10" s="187"/>
      <c r="BBB10" s="187"/>
      <c r="BBC10" s="187"/>
      <c r="BBD10" s="187"/>
      <c r="BBE10" s="187"/>
      <c r="BBF10" s="187"/>
      <c r="BBG10" s="187"/>
      <c r="BBH10" s="187"/>
      <c r="BBI10" s="187"/>
      <c r="BBJ10" s="187"/>
      <c r="BBK10" s="187"/>
      <c r="BBL10" s="187"/>
      <c r="BBM10" s="187"/>
      <c r="BBN10" s="187"/>
      <c r="BBO10" s="187"/>
      <c r="BBP10" s="187"/>
      <c r="BBQ10" s="187"/>
      <c r="BBR10" s="187"/>
      <c r="BBS10" s="187"/>
      <c r="BBT10" s="187"/>
      <c r="BBU10" s="187"/>
      <c r="BBV10" s="187"/>
      <c r="BBW10" s="187"/>
      <c r="BBX10" s="187"/>
      <c r="BBY10" s="187"/>
      <c r="BBZ10" s="187"/>
      <c r="BCA10" s="187"/>
      <c r="BCB10" s="187"/>
      <c r="BCC10" s="187"/>
      <c r="BCD10" s="187"/>
      <c r="BCE10" s="187"/>
      <c r="BCF10" s="187"/>
      <c r="BCG10" s="187"/>
      <c r="BCH10" s="187"/>
      <c r="BCI10" s="187"/>
      <c r="BCJ10" s="187"/>
      <c r="BCK10" s="187"/>
      <c r="BCL10" s="187"/>
      <c r="BCM10" s="187"/>
      <c r="BCN10" s="187"/>
      <c r="BCO10" s="187"/>
      <c r="BCP10" s="187"/>
      <c r="BCQ10" s="187"/>
      <c r="BCR10" s="187"/>
      <c r="BCS10" s="187"/>
      <c r="BCT10" s="187"/>
      <c r="BCU10" s="187"/>
      <c r="BCV10" s="187"/>
      <c r="BCW10" s="187"/>
      <c r="BCX10" s="187"/>
      <c r="BCY10" s="187"/>
      <c r="BCZ10" s="187"/>
      <c r="BDA10" s="187"/>
      <c r="BDB10" s="187"/>
      <c r="BDC10" s="187"/>
      <c r="BDD10" s="187"/>
      <c r="BDE10" s="187"/>
      <c r="BDF10" s="187"/>
      <c r="BDG10" s="187"/>
      <c r="BDH10" s="187"/>
      <c r="BDI10" s="187"/>
      <c r="BDJ10" s="187"/>
      <c r="BDK10" s="187"/>
      <c r="BDL10" s="187"/>
      <c r="BDM10" s="187"/>
      <c r="BDN10" s="187"/>
      <c r="BDO10" s="187"/>
      <c r="BDP10" s="187"/>
      <c r="BDQ10" s="187"/>
      <c r="BDR10" s="187"/>
      <c r="BDS10" s="187"/>
      <c r="BDT10" s="187"/>
      <c r="BDU10" s="187"/>
      <c r="BDV10" s="187"/>
      <c r="BDW10" s="187"/>
      <c r="BDX10" s="187"/>
      <c r="BDY10" s="187"/>
      <c r="BDZ10" s="187"/>
      <c r="BEA10" s="187"/>
      <c r="BEB10" s="187"/>
      <c r="BEC10" s="187"/>
      <c r="BED10" s="187"/>
      <c r="BEE10" s="187"/>
      <c r="BEF10" s="187"/>
      <c r="BEG10" s="187"/>
      <c r="BEH10" s="187"/>
      <c r="BEI10" s="187"/>
      <c r="BEJ10" s="187"/>
      <c r="BEK10" s="187"/>
      <c r="BEL10" s="187"/>
      <c r="BEM10" s="187"/>
      <c r="BEN10" s="187"/>
      <c r="BEO10" s="187"/>
      <c r="BEP10" s="187"/>
      <c r="BEQ10" s="187"/>
      <c r="BER10" s="187"/>
      <c r="BES10" s="187"/>
      <c r="BET10" s="187"/>
      <c r="BEU10" s="187"/>
      <c r="BEV10" s="187"/>
      <c r="BEW10" s="187"/>
      <c r="BEX10" s="187"/>
      <c r="BEY10" s="187"/>
      <c r="BEZ10" s="187"/>
      <c r="BFA10" s="187"/>
      <c r="BFB10" s="187"/>
      <c r="BFC10" s="187"/>
      <c r="BFD10" s="187"/>
      <c r="BFE10" s="187"/>
      <c r="BFF10" s="187"/>
      <c r="BFG10" s="187"/>
      <c r="BFH10" s="187"/>
      <c r="BFI10" s="187"/>
      <c r="BFJ10" s="187"/>
      <c r="BFK10" s="187"/>
      <c r="BFL10" s="187"/>
      <c r="BFM10" s="187"/>
      <c r="BFN10" s="187"/>
      <c r="BFO10" s="187"/>
      <c r="BFP10" s="187"/>
      <c r="BFQ10" s="187"/>
      <c r="BFR10" s="187"/>
      <c r="BFS10" s="187"/>
      <c r="BFT10" s="187"/>
      <c r="BFU10" s="187"/>
      <c r="BFV10" s="187"/>
      <c r="BFW10" s="187"/>
      <c r="BFX10" s="187"/>
      <c r="BFY10" s="187"/>
      <c r="BFZ10" s="187"/>
      <c r="BGA10" s="187"/>
      <c r="BGB10" s="187"/>
      <c r="BGC10" s="187"/>
      <c r="BGD10" s="187"/>
      <c r="BGE10" s="187"/>
      <c r="BGF10" s="187"/>
      <c r="BGG10" s="187"/>
      <c r="BGH10" s="187"/>
      <c r="BGI10" s="187"/>
      <c r="BGJ10" s="187"/>
      <c r="BGK10" s="187"/>
      <c r="BGL10" s="187"/>
      <c r="BGM10" s="187"/>
      <c r="BGN10" s="187"/>
      <c r="BGO10" s="187"/>
      <c r="BGP10" s="187"/>
      <c r="BGQ10" s="187"/>
      <c r="BGR10" s="187"/>
      <c r="BGS10" s="187"/>
      <c r="BGT10" s="187"/>
      <c r="BGU10" s="187"/>
      <c r="BGV10" s="187"/>
      <c r="BGW10" s="187"/>
      <c r="BGX10" s="187"/>
      <c r="BGY10" s="187"/>
      <c r="BGZ10" s="187"/>
      <c r="BHA10" s="187"/>
      <c r="BHB10" s="187"/>
      <c r="BHC10" s="187"/>
      <c r="BHD10" s="187"/>
      <c r="BHE10" s="187"/>
      <c r="BHF10" s="187"/>
      <c r="BHG10" s="187"/>
      <c r="BHH10" s="187"/>
      <c r="BHI10" s="187"/>
      <c r="BHJ10" s="187"/>
      <c r="BHK10" s="187"/>
      <c r="BHL10" s="187"/>
      <c r="BHM10" s="187"/>
      <c r="BHN10" s="187"/>
      <c r="BHO10" s="187"/>
      <c r="BHP10" s="187"/>
      <c r="BHQ10" s="187"/>
      <c r="BHR10" s="187"/>
      <c r="BHS10" s="187"/>
      <c r="BHT10" s="187"/>
      <c r="BHU10" s="187"/>
      <c r="BHV10" s="187"/>
      <c r="BHW10" s="187"/>
      <c r="BHX10" s="187"/>
      <c r="BHY10" s="187"/>
      <c r="BHZ10" s="187"/>
      <c r="BIA10" s="187"/>
      <c r="BIB10" s="187"/>
      <c r="BIC10" s="187"/>
      <c r="BID10" s="187"/>
      <c r="BIE10" s="187"/>
      <c r="BIF10" s="187"/>
      <c r="BIG10" s="187"/>
      <c r="BIH10" s="187"/>
      <c r="BII10" s="187"/>
      <c r="BIJ10" s="187"/>
      <c r="BIK10" s="187"/>
      <c r="BIL10" s="187"/>
      <c r="BIM10" s="187"/>
      <c r="BIN10" s="187"/>
      <c r="BIO10" s="187"/>
      <c r="BIP10" s="187"/>
      <c r="BIQ10" s="187"/>
      <c r="BIR10" s="187"/>
      <c r="BIS10" s="187"/>
      <c r="BIT10" s="187"/>
      <c r="BIU10" s="187"/>
      <c r="BIV10" s="187"/>
      <c r="BIW10" s="187"/>
      <c r="BIX10" s="187"/>
      <c r="BIY10" s="187"/>
      <c r="BIZ10" s="187"/>
      <c r="BJA10" s="187"/>
      <c r="BJB10" s="187"/>
      <c r="BJC10" s="187"/>
      <c r="BJD10" s="187"/>
      <c r="BJE10" s="187"/>
      <c r="BJF10" s="187"/>
      <c r="BJG10" s="187"/>
      <c r="BJH10" s="187"/>
      <c r="BJI10" s="187"/>
      <c r="BJJ10" s="187"/>
      <c r="BJK10" s="187"/>
      <c r="BJL10" s="187"/>
      <c r="BJM10" s="187"/>
      <c r="BJN10" s="187"/>
      <c r="BJO10" s="187"/>
      <c r="BJP10" s="187"/>
      <c r="BJQ10" s="187"/>
      <c r="BJR10" s="187"/>
      <c r="BJS10" s="187"/>
      <c r="BJT10" s="187"/>
      <c r="BJU10" s="187"/>
      <c r="BJV10" s="187"/>
      <c r="BJW10" s="187"/>
      <c r="BJX10" s="187"/>
      <c r="BJY10" s="187"/>
      <c r="BJZ10" s="187"/>
      <c r="BKA10" s="187"/>
      <c r="BKB10" s="187"/>
      <c r="BKC10" s="187"/>
      <c r="BKD10" s="187"/>
      <c r="BKE10" s="187"/>
      <c r="BKF10" s="187"/>
      <c r="BKG10" s="187"/>
      <c r="BKH10" s="187"/>
      <c r="BKI10" s="187"/>
      <c r="BKJ10" s="187"/>
      <c r="BKK10" s="187"/>
      <c r="BKL10" s="187"/>
      <c r="BKM10" s="187"/>
      <c r="BKN10" s="187"/>
      <c r="BKO10" s="187"/>
      <c r="BKP10" s="187"/>
      <c r="BKQ10" s="187"/>
      <c r="BKR10" s="187"/>
      <c r="BKS10" s="187"/>
      <c r="BKT10" s="187"/>
      <c r="BKU10" s="187"/>
      <c r="BKV10" s="187"/>
      <c r="BKW10" s="187"/>
      <c r="BKX10" s="187"/>
      <c r="BKY10" s="187"/>
      <c r="BKZ10" s="187"/>
      <c r="BLA10" s="187"/>
      <c r="BLB10" s="187"/>
      <c r="BLC10" s="187"/>
      <c r="BLD10" s="187"/>
      <c r="BLE10" s="187"/>
      <c r="BLF10" s="187"/>
      <c r="BLG10" s="187"/>
      <c r="BLH10" s="187"/>
      <c r="BLI10" s="187"/>
      <c r="BLJ10" s="187"/>
      <c r="BLK10" s="187"/>
      <c r="BLL10" s="187"/>
      <c r="BLM10" s="187"/>
      <c r="BLN10" s="187"/>
      <c r="BLO10" s="187"/>
      <c r="BLP10" s="187"/>
      <c r="BLQ10" s="187"/>
      <c r="BLR10" s="187"/>
      <c r="BLS10" s="187"/>
      <c r="BLT10" s="187"/>
      <c r="BLU10" s="187"/>
      <c r="BLV10" s="187"/>
      <c r="BLW10" s="187"/>
      <c r="BLX10" s="187"/>
      <c r="BLY10" s="187"/>
      <c r="BLZ10" s="187"/>
      <c r="BMA10" s="187"/>
      <c r="BMB10" s="187"/>
      <c r="BMC10" s="187"/>
      <c r="BMD10" s="187"/>
      <c r="BME10" s="187"/>
      <c r="BMF10" s="187"/>
      <c r="BMG10" s="187"/>
      <c r="BMH10" s="187"/>
      <c r="BMI10" s="187"/>
      <c r="BMJ10" s="187"/>
      <c r="BMK10" s="187"/>
      <c r="BML10" s="187"/>
      <c r="BMM10" s="187"/>
      <c r="BMN10" s="187"/>
      <c r="BMO10" s="187"/>
      <c r="BMP10" s="187"/>
      <c r="BMQ10" s="187"/>
      <c r="BMR10" s="187"/>
      <c r="BMS10" s="187"/>
      <c r="BMT10" s="187"/>
      <c r="BMU10" s="187"/>
      <c r="BMV10" s="187"/>
      <c r="BMW10" s="187"/>
      <c r="BMX10" s="187"/>
      <c r="BMY10" s="187"/>
      <c r="BMZ10" s="187"/>
      <c r="BNA10" s="187"/>
      <c r="BNB10" s="187"/>
      <c r="BNC10" s="187"/>
      <c r="BND10" s="187"/>
      <c r="BNE10" s="187"/>
      <c r="BNF10" s="187"/>
      <c r="BNG10" s="187"/>
      <c r="BNH10" s="187"/>
      <c r="BNI10" s="187"/>
      <c r="BNJ10" s="187"/>
      <c r="BNK10" s="187"/>
      <c r="BNL10" s="187"/>
      <c r="BNM10" s="187"/>
      <c r="BNN10" s="187"/>
      <c r="BNO10" s="187"/>
      <c r="BNP10" s="187"/>
      <c r="BNQ10" s="187"/>
      <c r="BNR10" s="187"/>
      <c r="BNS10" s="187"/>
      <c r="BNT10" s="187"/>
      <c r="BNU10" s="187"/>
      <c r="BNV10" s="187"/>
      <c r="BNW10" s="187"/>
      <c r="BNX10" s="187"/>
      <c r="BNY10" s="187"/>
      <c r="BNZ10" s="187"/>
      <c r="BOA10" s="187"/>
      <c r="BOB10" s="187"/>
      <c r="BOC10" s="187"/>
      <c r="BOD10" s="187"/>
      <c r="BOE10" s="187"/>
      <c r="BOF10" s="187"/>
      <c r="BOG10" s="187"/>
      <c r="BOH10" s="187"/>
      <c r="BOI10" s="187"/>
      <c r="BOJ10" s="187"/>
      <c r="BOK10" s="187"/>
      <c r="BOL10" s="187"/>
      <c r="BOM10" s="187"/>
      <c r="BON10" s="187"/>
      <c r="BOO10" s="187"/>
      <c r="BOP10" s="187"/>
      <c r="BOQ10" s="187"/>
      <c r="BOR10" s="187"/>
      <c r="BOS10" s="187"/>
      <c r="BOT10" s="187"/>
      <c r="BOU10" s="187"/>
      <c r="BOV10" s="187"/>
      <c r="BOW10" s="187"/>
      <c r="BOX10" s="187"/>
      <c r="BOY10" s="187"/>
      <c r="BOZ10" s="187"/>
      <c r="BPA10" s="187"/>
      <c r="BPB10" s="187"/>
      <c r="BPC10" s="187"/>
      <c r="BPD10" s="187"/>
      <c r="BPE10" s="187"/>
      <c r="BPF10" s="187"/>
      <c r="BPG10" s="187"/>
      <c r="BPH10" s="187"/>
      <c r="BPI10" s="187"/>
      <c r="BPJ10" s="187"/>
      <c r="BPK10" s="187"/>
      <c r="BPL10" s="187"/>
      <c r="BPM10" s="187"/>
      <c r="BPN10" s="187"/>
      <c r="BPO10" s="187"/>
      <c r="BPP10" s="187"/>
      <c r="BPQ10" s="187"/>
      <c r="BPR10" s="187"/>
      <c r="BPS10" s="187"/>
      <c r="BPT10" s="187"/>
      <c r="BPU10" s="187"/>
      <c r="BPV10" s="187"/>
      <c r="BPW10" s="187"/>
      <c r="BPX10" s="187"/>
      <c r="BPY10" s="187"/>
      <c r="BPZ10" s="187"/>
      <c r="BQA10" s="187"/>
      <c r="BQB10" s="187"/>
      <c r="BQC10" s="187"/>
      <c r="BQD10" s="187"/>
      <c r="BQE10" s="187"/>
      <c r="BQF10" s="187"/>
      <c r="BQG10" s="187"/>
      <c r="BQH10" s="187"/>
      <c r="BQI10" s="187"/>
      <c r="BQJ10" s="187"/>
      <c r="BQK10" s="187"/>
      <c r="BQL10" s="187"/>
      <c r="BQM10" s="187"/>
      <c r="BQN10" s="187"/>
      <c r="BQO10" s="187"/>
      <c r="BQP10" s="187"/>
      <c r="BQQ10" s="187"/>
      <c r="BQR10" s="187"/>
      <c r="BQS10" s="187"/>
      <c r="BQT10" s="187"/>
      <c r="BQU10" s="187"/>
      <c r="BQV10" s="187"/>
      <c r="BQW10" s="187"/>
      <c r="BQX10" s="187"/>
      <c r="BQY10" s="187"/>
      <c r="BQZ10" s="187"/>
      <c r="BRA10" s="187"/>
      <c r="BRB10" s="187"/>
      <c r="BRC10" s="187"/>
      <c r="BRD10" s="187"/>
      <c r="BRE10" s="187"/>
      <c r="BRF10" s="187"/>
      <c r="BRG10" s="187"/>
      <c r="BRH10" s="187"/>
      <c r="BRI10" s="187"/>
      <c r="BRJ10" s="187"/>
      <c r="BRK10" s="187"/>
      <c r="BRL10" s="187"/>
      <c r="BRM10" s="187"/>
      <c r="BRN10" s="187"/>
      <c r="BRO10" s="187"/>
      <c r="BRP10" s="187"/>
      <c r="BRQ10" s="187"/>
      <c r="BRR10" s="187"/>
      <c r="BRS10" s="187"/>
      <c r="BRT10" s="187"/>
      <c r="BRU10" s="187"/>
      <c r="BRV10" s="187"/>
      <c r="BRW10" s="187"/>
      <c r="BRX10" s="187"/>
      <c r="BRY10" s="187"/>
      <c r="BRZ10" s="187"/>
      <c r="BSA10" s="187"/>
      <c r="BSB10" s="187"/>
      <c r="BSC10" s="187"/>
      <c r="BSD10" s="187"/>
      <c r="BSE10" s="187"/>
      <c r="BSF10" s="187"/>
      <c r="BSG10" s="187"/>
      <c r="BSH10" s="187"/>
      <c r="BSI10" s="187"/>
      <c r="BSJ10" s="187"/>
      <c r="BSK10" s="187"/>
      <c r="BSL10" s="187"/>
      <c r="BSM10" s="187"/>
      <c r="BSN10" s="187"/>
      <c r="BSO10" s="187"/>
      <c r="BSP10" s="187"/>
      <c r="BSQ10" s="187"/>
      <c r="BSR10" s="187"/>
      <c r="BSS10" s="187"/>
      <c r="BST10" s="187"/>
      <c r="BSU10" s="187"/>
      <c r="BSV10" s="187"/>
      <c r="BSW10" s="187"/>
      <c r="BSX10" s="187"/>
      <c r="BSY10" s="187"/>
      <c r="BSZ10" s="187"/>
      <c r="BTA10" s="187"/>
      <c r="BTB10" s="187"/>
      <c r="BTC10" s="187"/>
      <c r="BTD10" s="187"/>
      <c r="BTE10" s="187"/>
      <c r="BTF10" s="187"/>
      <c r="BTG10" s="187"/>
      <c r="BTH10" s="187"/>
      <c r="BTI10" s="187"/>
      <c r="BTJ10" s="187"/>
      <c r="BTK10" s="187"/>
      <c r="BTL10" s="187"/>
      <c r="BTM10" s="187"/>
      <c r="BTN10" s="187"/>
      <c r="BTO10" s="187"/>
      <c r="BTP10" s="187"/>
      <c r="BTQ10" s="187"/>
      <c r="BTR10" s="187"/>
      <c r="BTS10" s="187"/>
      <c r="BTT10" s="187"/>
      <c r="BTU10" s="187"/>
      <c r="BTV10" s="187"/>
      <c r="BTW10" s="187"/>
      <c r="BTX10" s="187"/>
      <c r="BTY10" s="187"/>
      <c r="BTZ10" s="187"/>
      <c r="BUA10" s="187"/>
      <c r="BUB10" s="187"/>
      <c r="BUC10" s="187"/>
      <c r="BUD10" s="187"/>
      <c r="BUE10" s="187"/>
      <c r="BUF10" s="187"/>
      <c r="BUG10" s="187"/>
      <c r="BUH10" s="187"/>
      <c r="BUI10" s="187"/>
      <c r="BUJ10" s="187"/>
      <c r="BUK10" s="187"/>
      <c r="BUL10" s="187"/>
      <c r="BUM10" s="187"/>
      <c r="BUN10" s="187"/>
      <c r="BUO10" s="187"/>
      <c r="BUP10" s="187"/>
      <c r="BUQ10" s="187"/>
      <c r="BUR10" s="187"/>
      <c r="BUS10" s="187"/>
      <c r="BUT10" s="187"/>
      <c r="BUU10" s="187"/>
      <c r="BUV10" s="187"/>
      <c r="BUW10" s="187"/>
      <c r="BUX10" s="187"/>
      <c r="BUY10" s="187"/>
      <c r="BUZ10" s="187"/>
      <c r="BVA10" s="187"/>
      <c r="BVB10" s="75"/>
    </row>
    <row r="11" spans="1:1926" ht="20.100000000000001" customHeight="1" x14ac:dyDescent="0.25">
      <c r="B11" s="53"/>
      <c r="C11" s="201"/>
      <c r="D11" s="201"/>
      <c r="E11" s="201"/>
      <c r="F11" s="189" t="s">
        <v>69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69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91" t="s">
        <v>107</v>
      </c>
      <c r="DW11" s="191"/>
      <c r="DX11" s="191"/>
      <c r="DY11" s="191"/>
      <c r="DZ11" s="191"/>
      <c r="EA11" s="191"/>
      <c r="EB11" s="191"/>
      <c r="EC11" s="191"/>
      <c r="ED11" s="191"/>
      <c r="EE11" s="191"/>
      <c r="EF11" s="191"/>
      <c r="EG11" s="191"/>
      <c r="EH11" s="191"/>
      <c r="EI11" s="191"/>
      <c r="EJ11" s="191"/>
      <c r="EK11" s="191"/>
      <c r="EL11" s="191"/>
      <c r="EM11" s="191"/>
      <c r="EN11" s="191"/>
      <c r="EO11" s="191"/>
      <c r="EP11" s="191"/>
      <c r="EQ11" s="191"/>
      <c r="ER11" s="191"/>
      <c r="ES11" s="191"/>
      <c r="ET11" s="191"/>
      <c r="EU11" s="191"/>
      <c r="EV11" s="191"/>
      <c r="EW11" s="191"/>
      <c r="EX11" s="191"/>
      <c r="EY11" s="191"/>
      <c r="EZ11" s="191"/>
      <c r="FA11" s="191"/>
      <c r="FB11" s="191"/>
      <c r="FC11" s="191"/>
      <c r="FD11" s="191"/>
      <c r="FE11" s="191"/>
      <c r="FF11" s="191"/>
      <c r="FG11" s="191"/>
      <c r="FH11" s="191"/>
      <c r="FI11" s="191"/>
      <c r="FJ11" s="191"/>
      <c r="FK11" s="191"/>
      <c r="FL11" s="191"/>
      <c r="FM11" s="191"/>
      <c r="FN11" s="191"/>
      <c r="FO11" s="191"/>
      <c r="FP11" s="191"/>
      <c r="FQ11" s="191"/>
      <c r="FR11" s="191"/>
      <c r="FS11" s="191"/>
      <c r="FT11" s="191"/>
      <c r="FU11" s="191"/>
      <c r="FV11" s="191"/>
      <c r="FW11" s="191"/>
      <c r="FX11" s="191"/>
      <c r="FY11" s="191"/>
      <c r="FZ11" s="191"/>
      <c r="GA11" s="191"/>
      <c r="GB11" s="191"/>
      <c r="GC11" s="191"/>
      <c r="GD11" s="191" t="s">
        <v>107</v>
      </c>
      <c r="GE11" s="191"/>
      <c r="GF11" s="191"/>
      <c r="GG11" s="191"/>
      <c r="GH11" s="191"/>
      <c r="GI11" s="191"/>
      <c r="GJ11" s="191"/>
      <c r="GK11" s="191"/>
      <c r="GL11" s="191"/>
      <c r="GM11" s="191"/>
      <c r="GN11" s="191"/>
      <c r="GO11" s="191"/>
      <c r="GP11" s="191"/>
      <c r="GQ11" s="191"/>
      <c r="GR11" s="191"/>
      <c r="GS11" s="191"/>
      <c r="GT11" s="191"/>
      <c r="GU11" s="191"/>
      <c r="GV11" s="191"/>
      <c r="GW11" s="191"/>
      <c r="GX11" s="191"/>
      <c r="GY11" s="191"/>
      <c r="GZ11" s="191"/>
      <c r="HA11" s="191"/>
      <c r="HB11" s="191"/>
      <c r="HC11" s="191"/>
      <c r="HD11" s="191"/>
      <c r="HE11" s="191"/>
      <c r="HF11" s="191"/>
      <c r="HG11" s="191"/>
      <c r="HH11" s="191"/>
      <c r="HI11" s="191"/>
      <c r="HJ11" s="191"/>
      <c r="HK11" s="191"/>
      <c r="HL11" s="191"/>
      <c r="HM11" s="191"/>
      <c r="HN11" s="191"/>
      <c r="HO11" s="191"/>
      <c r="HP11" s="191"/>
      <c r="HQ11" s="191"/>
      <c r="HR11" s="191"/>
      <c r="HS11" s="191"/>
      <c r="HT11" s="191"/>
      <c r="HU11" s="191"/>
      <c r="HV11" s="191"/>
      <c r="HW11" s="191"/>
      <c r="HX11" s="191"/>
      <c r="HY11" s="191"/>
      <c r="HZ11" s="191"/>
      <c r="IA11" s="191"/>
      <c r="IB11" s="191"/>
      <c r="IC11" s="191"/>
      <c r="ID11" s="191"/>
      <c r="IE11" s="191"/>
      <c r="IF11" s="191"/>
      <c r="IG11" s="191"/>
      <c r="IH11" s="191"/>
      <c r="II11" s="191"/>
      <c r="IJ11" s="191"/>
      <c r="IK11" s="191"/>
      <c r="IL11" s="191" t="s">
        <v>105</v>
      </c>
      <c r="IM11" s="191"/>
      <c r="IN11" s="191"/>
      <c r="IO11" s="191"/>
      <c r="IP11" s="191"/>
      <c r="IQ11" s="191"/>
      <c r="IR11" s="191"/>
      <c r="IS11" s="191"/>
      <c r="IT11" s="191"/>
      <c r="IU11" s="191"/>
      <c r="IV11" s="191"/>
      <c r="IW11" s="191"/>
      <c r="IX11" s="191"/>
      <c r="IY11" s="191"/>
      <c r="IZ11" s="191"/>
      <c r="JA11" s="191"/>
      <c r="JB11" s="191"/>
      <c r="JC11" s="191"/>
      <c r="JD11" s="191"/>
      <c r="JE11" s="191"/>
      <c r="JF11" s="191"/>
      <c r="JG11" s="191"/>
      <c r="JH11" s="191"/>
      <c r="JI11" s="191"/>
      <c r="JJ11" s="191"/>
      <c r="JK11" s="191"/>
      <c r="JL11" s="191"/>
      <c r="JM11" s="191"/>
      <c r="JN11" s="191"/>
      <c r="JO11" s="191"/>
      <c r="JP11" s="191"/>
      <c r="JQ11" s="191"/>
      <c r="JR11" s="191"/>
      <c r="JS11" s="191"/>
      <c r="JT11" s="191"/>
      <c r="JU11" s="191"/>
      <c r="JV11" s="191"/>
      <c r="JW11" s="191"/>
      <c r="JX11" s="191"/>
      <c r="JY11" s="191"/>
      <c r="JZ11" s="191"/>
      <c r="KA11" s="191"/>
      <c r="KB11" s="191"/>
      <c r="KC11" s="191"/>
      <c r="KD11" s="191"/>
      <c r="KE11" s="191"/>
      <c r="KF11" s="191"/>
      <c r="KG11" s="191"/>
      <c r="KH11" s="191"/>
      <c r="KI11" s="191"/>
      <c r="KJ11" s="191"/>
      <c r="KK11" s="191"/>
      <c r="KL11" s="191"/>
      <c r="KM11" s="191"/>
      <c r="KN11" s="191"/>
      <c r="KO11" s="191"/>
      <c r="KP11" s="191"/>
      <c r="KQ11" s="191"/>
      <c r="KR11" s="191"/>
      <c r="KS11" s="191"/>
      <c r="KT11" s="191" t="s">
        <v>102</v>
      </c>
      <c r="KU11" s="191"/>
      <c r="KV11" s="191"/>
      <c r="KW11" s="191"/>
      <c r="KX11" s="191"/>
      <c r="KY11" s="191"/>
      <c r="KZ11" s="191"/>
      <c r="LA11" s="191"/>
      <c r="LB11" s="191"/>
      <c r="LC11" s="191"/>
      <c r="LD11" s="191"/>
      <c r="LE11" s="191"/>
      <c r="LF11" s="191"/>
      <c r="LG11" s="191"/>
      <c r="LH11" s="191"/>
      <c r="LI11" s="191"/>
      <c r="LJ11" s="191"/>
      <c r="LK11" s="191"/>
      <c r="LL11" s="191"/>
      <c r="LM11" s="191"/>
      <c r="LN11" s="191"/>
      <c r="LO11" s="191"/>
      <c r="LP11" s="191"/>
      <c r="LQ11" s="191"/>
      <c r="LR11" s="191"/>
      <c r="LS11" s="191"/>
      <c r="LT11" s="191"/>
      <c r="LU11" s="191"/>
      <c r="LV11" s="191"/>
      <c r="LW11" s="191"/>
      <c r="LX11" s="191"/>
      <c r="LY11" s="191"/>
      <c r="LZ11" s="191"/>
      <c r="MA11" s="191"/>
      <c r="MB11" s="191"/>
      <c r="MC11" s="191"/>
      <c r="MD11" s="191"/>
      <c r="ME11" s="191"/>
      <c r="MF11" s="191"/>
      <c r="MG11" s="191"/>
      <c r="MH11" s="191"/>
      <c r="MI11" s="191"/>
      <c r="MJ11" s="191"/>
      <c r="MK11" s="191"/>
      <c r="ML11" s="191"/>
      <c r="MM11" s="191"/>
      <c r="MN11" s="191"/>
      <c r="MO11" s="191"/>
      <c r="MP11" s="191"/>
      <c r="MQ11" s="191"/>
      <c r="MR11" s="191"/>
      <c r="MS11" s="191"/>
      <c r="MT11" s="191"/>
      <c r="MU11" s="191"/>
      <c r="MV11" s="191"/>
      <c r="MW11" s="191"/>
      <c r="MX11" s="191"/>
      <c r="MY11" s="191"/>
      <c r="MZ11" s="191"/>
      <c r="NA11" s="191"/>
      <c r="NB11" s="191" t="s">
        <v>102</v>
      </c>
      <c r="NC11" s="191"/>
      <c r="ND11" s="191"/>
      <c r="NE11" s="191"/>
      <c r="NF11" s="191"/>
      <c r="NG11" s="191"/>
      <c r="NH11" s="191"/>
      <c r="NI11" s="191"/>
      <c r="NJ11" s="191"/>
      <c r="NK11" s="191"/>
      <c r="NL11" s="191"/>
      <c r="NM11" s="191"/>
      <c r="NN11" s="191"/>
      <c r="NO11" s="191"/>
      <c r="NP11" s="191"/>
      <c r="NQ11" s="191"/>
      <c r="NR11" s="191"/>
      <c r="NS11" s="191"/>
      <c r="NT11" s="191"/>
      <c r="NU11" s="191"/>
      <c r="NV11" s="191"/>
      <c r="NW11" s="191"/>
      <c r="NX11" s="191"/>
      <c r="NY11" s="191"/>
      <c r="NZ11" s="191"/>
      <c r="OA11" s="191"/>
      <c r="OB11" s="191"/>
      <c r="OC11" s="191"/>
      <c r="OD11" s="191"/>
      <c r="OE11" s="191"/>
      <c r="OF11" s="191"/>
      <c r="OG11" s="191"/>
      <c r="OH11" s="191"/>
      <c r="OI11" s="191"/>
      <c r="OJ11" s="191"/>
      <c r="OK11" s="191"/>
      <c r="OL11" s="191"/>
      <c r="OM11" s="191"/>
      <c r="ON11" s="191"/>
      <c r="OO11" s="191"/>
      <c r="OP11" s="191"/>
      <c r="OQ11" s="191"/>
      <c r="OR11" s="191"/>
      <c r="OS11" s="191"/>
      <c r="OT11" s="191"/>
      <c r="OU11" s="191"/>
      <c r="OV11" s="191"/>
      <c r="OW11" s="191"/>
      <c r="OX11" s="191"/>
      <c r="OY11" s="191"/>
      <c r="OZ11" s="191"/>
      <c r="PA11" s="191"/>
      <c r="PB11" s="191"/>
      <c r="PC11" s="191"/>
      <c r="PD11" s="191"/>
      <c r="PE11" s="191"/>
      <c r="PF11" s="191"/>
      <c r="PG11" s="191"/>
      <c r="PH11" s="191"/>
      <c r="PI11" s="191"/>
      <c r="PJ11" s="191" t="s">
        <v>99</v>
      </c>
      <c r="PK11" s="191"/>
      <c r="PL11" s="191"/>
      <c r="PM11" s="191"/>
      <c r="PN11" s="191"/>
      <c r="PO11" s="191"/>
      <c r="PP11" s="191"/>
      <c r="PQ11" s="191"/>
      <c r="PR11" s="191"/>
      <c r="PS11" s="191"/>
      <c r="PT11" s="191"/>
      <c r="PU11" s="191"/>
      <c r="PV11" s="191"/>
      <c r="PW11" s="191"/>
      <c r="PX11" s="191"/>
      <c r="PY11" s="191"/>
      <c r="PZ11" s="191"/>
      <c r="QA11" s="191"/>
      <c r="QB11" s="191"/>
      <c r="QC11" s="191"/>
      <c r="QD11" s="191"/>
      <c r="QE11" s="191"/>
      <c r="QF11" s="191"/>
      <c r="QG11" s="191"/>
      <c r="QH11" s="191"/>
      <c r="QI11" s="191"/>
      <c r="QJ11" s="191"/>
      <c r="QK11" s="191"/>
      <c r="QL11" s="191"/>
      <c r="QM11" s="191"/>
      <c r="QN11" s="191"/>
      <c r="QO11" s="191"/>
      <c r="QP11" s="191"/>
      <c r="QQ11" s="191"/>
      <c r="QR11" s="191"/>
      <c r="QS11" s="191"/>
      <c r="QT11" s="191"/>
      <c r="QU11" s="191"/>
      <c r="QV11" s="191"/>
      <c r="QW11" s="191"/>
      <c r="QX11" s="191"/>
      <c r="QY11" s="191"/>
      <c r="QZ11" s="191"/>
      <c r="RA11" s="191"/>
      <c r="RB11" s="191"/>
      <c r="RC11" s="191"/>
      <c r="RD11" s="191"/>
      <c r="RE11" s="191"/>
      <c r="RF11" s="191"/>
      <c r="RG11" s="191"/>
      <c r="RH11" s="191"/>
      <c r="RI11" s="191"/>
      <c r="RJ11" s="191"/>
      <c r="RK11" s="191"/>
      <c r="RL11" s="191"/>
      <c r="RM11" s="191"/>
      <c r="RN11" s="191"/>
      <c r="RO11" s="191"/>
      <c r="RP11" s="191"/>
      <c r="RQ11" s="191"/>
      <c r="RR11" s="191" t="s">
        <v>99</v>
      </c>
      <c r="RS11" s="191"/>
      <c r="RT11" s="191"/>
      <c r="RU11" s="191"/>
      <c r="RV11" s="191"/>
      <c r="RW11" s="191"/>
      <c r="RX11" s="191"/>
      <c r="RY11" s="191"/>
      <c r="RZ11" s="191"/>
      <c r="SA11" s="191"/>
      <c r="SB11" s="191"/>
      <c r="SC11" s="191"/>
      <c r="SD11" s="191"/>
      <c r="SE11" s="191"/>
      <c r="SF11" s="191"/>
      <c r="SG11" s="191"/>
      <c r="SH11" s="191"/>
      <c r="SI11" s="191"/>
      <c r="SJ11" s="191"/>
      <c r="SK11" s="191"/>
      <c r="SL11" s="191"/>
      <c r="SM11" s="191"/>
      <c r="SN11" s="191"/>
      <c r="SO11" s="191"/>
      <c r="SP11" s="191"/>
      <c r="SQ11" s="191"/>
      <c r="SR11" s="191"/>
      <c r="SS11" s="191"/>
      <c r="ST11" s="191"/>
      <c r="SU11" s="191"/>
      <c r="SV11" s="191"/>
      <c r="SW11" s="191"/>
      <c r="SX11" s="191"/>
      <c r="SY11" s="191"/>
      <c r="SZ11" s="191"/>
      <c r="TA11" s="191"/>
      <c r="TB11" s="191"/>
      <c r="TC11" s="191"/>
      <c r="TD11" s="191"/>
      <c r="TE11" s="191"/>
      <c r="TF11" s="191"/>
      <c r="TG11" s="191"/>
      <c r="TH11" s="191"/>
      <c r="TI11" s="191"/>
      <c r="TJ11" s="191"/>
      <c r="TK11" s="191"/>
      <c r="TL11" s="191"/>
      <c r="TM11" s="191"/>
      <c r="TN11" s="191"/>
      <c r="TO11" s="191"/>
      <c r="TP11" s="191"/>
      <c r="TQ11" s="191"/>
      <c r="TR11" s="191"/>
      <c r="TS11" s="191"/>
      <c r="TT11" s="191"/>
      <c r="TU11" s="191"/>
      <c r="TV11" s="191"/>
      <c r="TW11" s="191"/>
      <c r="TX11" s="191"/>
      <c r="TY11" s="191"/>
      <c r="TZ11" s="191" t="s">
        <v>96</v>
      </c>
      <c r="UA11" s="191"/>
      <c r="UB11" s="191"/>
      <c r="UC11" s="191"/>
      <c r="UD11" s="191"/>
      <c r="UE11" s="191"/>
      <c r="UF11" s="191"/>
      <c r="UG11" s="191"/>
      <c r="UH11" s="191"/>
      <c r="UI11" s="191"/>
      <c r="UJ11" s="191"/>
      <c r="UK11" s="191"/>
      <c r="UL11" s="191"/>
      <c r="UM11" s="191"/>
      <c r="UN11" s="191"/>
      <c r="UO11" s="191"/>
      <c r="UP11" s="191"/>
      <c r="UQ11" s="191"/>
      <c r="UR11" s="191"/>
      <c r="US11" s="191"/>
      <c r="UT11" s="191"/>
      <c r="UU11" s="191"/>
      <c r="UV11" s="191"/>
      <c r="UW11" s="191"/>
      <c r="UX11" s="191"/>
      <c r="UY11" s="191"/>
      <c r="UZ11" s="191"/>
      <c r="VA11" s="191"/>
      <c r="VB11" s="191"/>
      <c r="VC11" s="191"/>
      <c r="VD11" s="191"/>
      <c r="VE11" s="191"/>
      <c r="VF11" s="191"/>
      <c r="VG11" s="191"/>
      <c r="VH11" s="191"/>
      <c r="VI11" s="191"/>
      <c r="VJ11" s="191"/>
      <c r="VK11" s="191"/>
      <c r="VL11" s="191"/>
      <c r="VM11" s="191"/>
      <c r="VN11" s="191"/>
      <c r="VO11" s="191"/>
      <c r="VP11" s="191"/>
      <c r="VQ11" s="191"/>
      <c r="VR11" s="191"/>
      <c r="VS11" s="191"/>
      <c r="VT11" s="191"/>
      <c r="VU11" s="191"/>
      <c r="VV11" s="191"/>
      <c r="VW11" s="191"/>
      <c r="VX11" s="191"/>
      <c r="VY11" s="191"/>
      <c r="VZ11" s="191"/>
      <c r="WA11" s="191"/>
      <c r="WB11" s="191"/>
      <c r="WC11" s="191"/>
      <c r="WD11" s="191"/>
      <c r="WE11" s="191"/>
      <c r="WF11" s="191"/>
      <c r="WG11" s="191"/>
      <c r="WH11" s="191" t="s">
        <v>96</v>
      </c>
      <c r="WI11" s="191"/>
      <c r="WJ11" s="191"/>
      <c r="WK11" s="191"/>
      <c r="WL11" s="191"/>
      <c r="WM11" s="191"/>
      <c r="WN11" s="191"/>
      <c r="WO11" s="191"/>
      <c r="WP11" s="191"/>
      <c r="WQ11" s="191"/>
      <c r="WR11" s="191"/>
      <c r="WS11" s="191"/>
      <c r="WT11" s="191"/>
      <c r="WU11" s="191"/>
      <c r="WV11" s="191"/>
      <c r="WW11" s="191"/>
      <c r="WX11" s="191"/>
      <c r="WY11" s="191"/>
      <c r="WZ11" s="191"/>
      <c r="XA11" s="191"/>
      <c r="XB11" s="191"/>
      <c r="XC11" s="191"/>
      <c r="XD11" s="191"/>
      <c r="XE11" s="191"/>
      <c r="XF11" s="191"/>
      <c r="XG11" s="191"/>
      <c r="XH11" s="191"/>
      <c r="XI11" s="191"/>
      <c r="XJ11" s="191"/>
      <c r="XK11" s="191"/>
      <c r="XL11" s="191"/>
      <c r="XM11" s="191"/>
      <c r="XN11" s="191"/>
      <c r="XO11" s="191"/>
      <c r="XP11" s="191"/>
      <c r="XQ11" s="191"/>
      <c r="XR11" s="191"/>
      <c r="XS11" s="191"/>
      <c r="XT11" s="191"/>
      <c r="XU11" s="191"/>
      <c r="XV11" s="191"/>
      <c r="XW11" s="191"/>
      <c r="XX11" s="191"/>
      <c r="XY11" s="191"/>
      <c r="XZ11" s="191"/>
      <c r="YA11" s="191"/>
      <c r="YB11" s="191"/>
      <c r="YC11" s="191"/>
      <c r="YD11" s="191"/>
      <c r="YE11" s="191"/>
      <c r="YF11" s="191"/>
      <c r="YG11" s="191"/>
      <c r="YH11" s="191"/>
      <c r="YI11" s="191"/>
      <c r="YJ11" s="191"/>
      <c r="YK11" s="191"/>
      <c r="YL11" s="191"/>
      <c r="YM11" s="191"/>
      <c r="YN11" s="191"/>
      <c r="YO11" s="191"/>
      <c r="YP11" s="191" t="s">
        <v>94</v>
      </c>
      <c r="YQ11" s="191"/>
      <c r="YR11" s="191"/>
      <c r="YS11" s="191"/>
      <c r="YT11" s="191"/>
      <c r="YU11" s="191"/>
      <c r="YV11" s="191"/>
      <c r="YW11" s="191"/>
      <c r="YX11" s="191"/>
      <c r="YY11" s="191"/>
      <c r="YZ11" s="191"/>
      <c r="ZA11" s="191"/>
      <c r="ZB11" s="191"/>
      <c r="ZC11" s="191"/>
      <c r="ZD11" s="191"/>
      <c r="ZE11" s="191"/>
      <c r="ZF11" s="191"/>
      <c r="ZG11" s="191"/>
      <c r="ZH11" s="191"/>
      <c r="ZI11" s="191"/>
      <c r="ZJ11" s="191"/>
      <c r="ZK11" s="191"/>
      <c r="ZL11" s="191"/>
      <c r="ZM11" s="191"/>
      <c r="ZN11" s="191"/>
      <c r="ZO11" s="191"/>
      <c r="ZP11" s="191"/>
      <c r="ZQ11" s="191"/>
      <c r="ZR11" s="191"/>
      <c r="ZS11" s="191"/>
      <c r="ZT11" s="191"/>
      <c r="ZU11" s="191"/>
      <c r="ZV11" s="191"/>
      <c r="ZW11" s="191"/>
      <c r="ZX11" s="191"/>
      <c r="ZY11" s="191"/>
      <c r="ZZ11" s="191"/>
      <c r="AAA11" s="191"/>
      <c r="AAB11" s="191"/>
      <c r="AAC11" s="191"/>
      <c r="AAD11" s="191"/>
      <c r="AAE11" s="191"/>
      <c r="AAF11" s="191"/>
      <c r="AAG11" s="191"/>
      <c r="AAH11" s="191"/>
      <c r="AAI11" s="191"/>
      <c r="AAJ11" s="191"/>
      <c r="AAK11" s="191"/>
      <c r="AAL11" s="191"/>
      <c r="AAM11" s="191"/>
      <c r="AAN11" s="191"/>
      <c r="AAO11" s="191"/>
      <c r="AAP11" s="191"/>
      <c r="AAQ11" s="191"/>
      <c r="AAR11" s="191"/>
      <c r="AAS11" s="191"/>
      <c r="AAT11" s="191"/>
      <c r="AAU11" s="191"/>
      <c r="AAV11" s="191"/>
      <c r="AAW11" s="191"/>
      <c r="AAX11" s="191" t="s">
        <v>91</v>
      </c>
      <c r="AAY11" s="191"/>
      <c r="AAZ11" s="191"/>
      <c r="ABA11" s="191"/>
      <c r="ABB11" s="191"/>
      <c r="ABC11" s="191"/>
      <c r="ABD11" s="191"/>
      <c r="ABE11" s="191"/>
      <c r="ABF11" s="191"/>
      <c r="ABG11" s="191"/>
      <c r="ABH11" s="191"/>
      <c r="ABI11" s="191"/>
      <c r="ABJ11" s="191"/>
      <c r="ABK11" s="191"/>
      <c r="ABL11" s="191"/>
      <c r="ABM11" s="191"/>
      <c r="ABN11" s="191"/>
      <c r="ABO11" s="191"/>
      <c r="ABP11" s="191"/>
      <c r="ABQ11" s="191"/>
      <c r="ABR11" s="191"/>
      <c r="ABS11" s="191"/>
      <c r="ABT11" s="191"/>
      <c r="ABU11" s="191"/>
      <c r="ABV11" s="191"/>
      <c r="ABW11" s="191"/>
      <c r="ABX11" s="191"/>
      <c r="ABY11" s="191"/>
      <c r="ABZ11" s="191"/>
      <c r="ACA11" s="191"/>
      <c r="ACB11" s="191"/>
      <c r="ACC11" s="191"/>
      <c r="ACD11" s="191"/>
      <c r="ACE11" s="191"/>
      <c r="ACF11" s="191"/>
      <c r="ACG11" s="191"/>
      <c r="ACH11" s="191"/>
      <c r="ACI11" s="191"/>
      <c r="ACJ11" s="191"/>
      <c r="ACK11" s="191"/>
      <c r="ACL11" s="191"/>
      <c r="ACM11" s="191"/>
      <c r="ACN11" s="191"/>
      <c r="ACO11" s="191"/>
      <c r="ACP11" s="191"/>
      <c r="ACQ11" s="191"/>
      <c r="ACR11" s="191"/>
      <c r="ACS11" s="191"/>
      <c r="ACT11" s="191"/>
      <c r="ACU11" s="191"/>
      <c r="ACV11" s="191"/>
      <c r="ACW11" s="191"/>
      <c r="ACX11" s="191"/>
      <c r="ACY11" s="191"/>
      <c r="ACZ11" s="191"/>
      <c r="ADA11" s="191"/>
      <c r="ADB11" s="191"/>
      <c r="ADC11" s="191"/>
      <c r="ADD11" s="191"/>
      <c r="ADE11" s="191"/>
      <c r="ADF11" s="191" t="s">
        <v>91</v>
      </c>
      <c r="ADG11" s="191"/>
      <c r="ADH11" s="191"/>
      <c r="ADI11" s="191"/>
      <c r="ADJ11" s="191"/>
      <c r="ADK11" s="191"/>
      <c r="ADL11" s="191"/>
      <c r="ADM11" s="191"/>
      <c r="ADN11" s="191"/>
      <c r="ADO11" s="191"/>
      <c r="ADP11" s="191"/>
      <c r="ADQ11" s="191"/>
      <c r="ADR11" s="191"/>
      <c r="ADS11" s="191"/>
      <c r="ADT11" s="191"/>
      <c r="ADU11" s="191"/>
      <c r="ADV11" s="191"/>
      <c r="ADW11" s="191"/>
      <c r="ADX11" s="191"/>
      <c r="ADY11" s="191"/>
      <c r="ADZ11" s="191"/>
      <c r="AEA11" s="191"/>
      <c r="AEB11" s="191"/>
      <c r="AEC11" s="191"/>
      <c r="AED11" s="191"/>
      <c r="AEE11" s="191"/>
      <c r="AEF11" s="191"/>
      <c r="AEG11" s="191"/>
      <c r="AEH11" s="191"/>
      <c r="AEI11" s="191"/>
      <c r="AEJ11" s="191"/>
      <c r="AEK11" s="191"/>
      <c r="AEL11" s="191"/>
      <c r="AEM11" s="191"/>
      <c r="AEN11" s="191"/>
      <c r="AEO11" s="191"/>
      <c r="AEP11" s="191"/>
      <c r="AEQ11" s="191"/>
      <c r="AER11" s="191"/>
      <c r="AES11" s="191"/>
      <c r="AET11" s="191"/>
      <c r="AEU11" s="191"/>
      <c r="AEV11" s="191"/>
      <c r="AEW11" s="191"/>
      <c r="AEX11" s="191"/>
      <c r="AEY11" s="191"/>
      <c r="AEZ11" s="191"/>
      <c r="AFA11" s="191"/>
      <c r="AFB11" s="191"/>
      <c r="AFC11" s="191"/>
      <c r="AFD11" s="191"/>
      <c r="AFE11" s="191"/>
      <c r="AFF11" s="191"/>
      <c r="AFG11" s="191"/>
      <c r="AFH11" s="191"/>
      <c r="AFI11" s="191"/>
      <c r="AFJ11" s="191"/>
      <c r="AFK11" s="191"/>
      <c r="AFL11" s="191"/>
      <c r="AFM11" s="191"/>
      <c r="AFN11" s="191" t="s">
        <v>88</v>
      </c>
      <c r="AFO11" s="191"/>
      <c r="AFP11" s="191"/>
      <c r="AFQ11" s="191"/>
      <c r="AFR11" s="191"/>
      <c r="AFS11" s="191"/>
      <c r="AFT11" s="191"/>
      <c r="AFU11" s="191"/>
      <c r="AFV11" s="191"/>
      <c r="AFW11" s="191"/>
      <c r="AFX11" s="191"/>
      <c r="AFY11" s="191"/>
      <c r="AFZ11" s="191"/>
      <c r="AGA11" s="191"/>
      <c r="AGB11" s="191"/>
      <c r="AGC11" s="191"/>
      <c r="AGD11" s="191"/>
      <c r="AGE11" s="191"/>
      <c r="AGF11" s="191"/>
      <c r="AGG11" s="191"/>
      <c r="AGH11" s="191"/>
      <c r="AGI11" s="191"/>
      <c r="AGJ11" s="191"/>
      <c r="AGK11" s="191"/>
      <c r="AGL11" s="191"/>
      <c r="AGM11" s="191"/>
      <c r="AGN11" s="191"/>
      <c r="AGO11" s="191"/>
      <c r="AGP11" s="191"/>
      <c r="AGQ11" s="191"/>
      <c r="AGR11" s="191"/>
      <c r="AGS11" s="191"/>
      <c r="AGT11" s="191"/>
      <c r="AGU11" s="191"/>
      <c r="AGV11" s="191"/>
      <c r="AGW11" s="191"/>
      <c r="AGX11" s="191"/>
      <c r="AGY11" s="191"/>
      <c r="AGZ11" s="191"/>
      <c r="AHA11" s="191"/>
      <c r="AHB11" s="191"/>
      <c r="AHC11" s="191"/>
      <c r="AHD11" s="191"/>
      <c r="AHE11" s="191"/>
      <c r="AHF11" s="191"/>
      <c r="AHG11" s="191"/>
      <c r="AHH11" s="191"/>
      <c r="AHI11" s="191"/>
      <c r="AHJ11" s="191"/>
      <c r="AHK11" s="191"/>
      <c r="AHL11" s="191"/>
      <c r="AHM11" s="191"/>
      <c r="AHN11" s="191"/>
      <c r="AHO11" s="191"/>
      <c r="AHP11" s="191"/>
      <c r="AHQ11" s="191"/>
      <c r="AHR11" s="191"/>
      <c r="AHS11" s="191"/>
      <c r="AHT11" s="191"/>
      <c r="AHU11" s="191"/>
      <c r="AHV11" s="191" t="s">
        <v>88</v>
      </c>
      <c r="AHW11" s="191"/>
      <c r="AHX11" s="191"/>
      <c r="AHY11" s="191"/>
      <c r="AHZ11" s="191"/>
      <c r="AIA11" s="191"/>
      <c r="AIB11" s="191"/>
      <c r="AIC11" s="191"/>
      <c r="AID11" s="191"/>
      <c r="AIE11" s="191"/>
      <c r="AIF11" s="191"/>
      <c r="AIG11" s="191"/>
      <c r="AIH11" s="191"/>
      <c r="AII11" s="191"/>
      <c r="AIJ11" s="191"/>
      <c r="AIK11" s="191"/>
      <c r="AIL11" s="191"/>
      <c r="AIM11" s="191"/>
      <c r="AIN11" s="191"/>
      <c r="AIO11" s="191"/>
      <c r="AIP11" s="191"/>
      <c r="AIQ11" s="191"/>
      <c r="AIR11" s="191"/>
      <c r="AIS11" s="191"/>
      <c r="AIT11" s="191"/>
      <c r="AIU11" s="191"/>
      <c r="AIV11" s="191"/>
      <c r="AIW11" s="191"/>
      <c r="AIX11" s="191"/>
      <c r="AIY11" s="191"/>
      <c r="AIZ11" s="191"/>
      <c r="AJA11" s="191"/>
      <c r="AJB11" s="191"/>
      <c r="AJC11" s="191"/>
      <c r="AJD11" s="191"/>
      <c r="AJE11" s="191"/>
      <c r="AJF11" s="191"/>
      <c r="AJG11" s="191"/>
      <c r="AJH11" s="191"/>
      <c r="AJI11" s="191"/>
      <c r="AJJ11" s="191"/>
      <c r="AJK11" s="191"/>
      <c r="AJL11" s="191"/>
      <c r="AJM11" s="191"/>
      <c r="AJN11" s="191"/>
      <c r="AJO11" s="191"/>
      <c r="AJP11" s="191"/>
      <c r="AJQ11" s="191"/>
      <c r="AJR11" s="191"/>
      <c r="AJS11" s="191"/>
      <c r="AJT11" s="191"/>
      <c r="AJU11" s="191"/>
      <c r="AJV11" s="191"/>
      <c r="AJW11" s="191"/>
      <c r="AJX11" s="191"/>
      <c r="AJY11" s="191"/>
      <c r="AJZ11" s="191"/>
      <c r="AKA11" s="191"/>
      <c r="AKB11" s="191"/>
      <c r="AKC11" s="191"/>
      <c r="AKD11" s="191" t="s">
        <v>85</v>
      </c>
      <c r="AKE11" s="191"/>
      <c r="AKF11" s="191"/>
      <c r="AKG11" s="191"/>
      <c r="AKH11" s="191"/>
      <c r="AKI11" s="191"/>
      <c r="AKJ11" s="191"/>
      <c r="AKK11" s="191"/>
      <c r="AKL11" s="191"/>
      <c r="AKM11" s="191"/>
      <c r="AKN11" s="191"/>
      <c r="AKO11" s="191"/>
      <c r="AKP11" s="191"/>
      <c r="AKQ11" s="191"/>
      <c r="AKR11" s="191"/>
      <c r="AKS11" s="191"/>
      <c r="AKT11" s="191"/>
      <c r="AKU11" s="191"/>
      <c r="AKV11" s="191"/>
      <c r="AKW11" s="191"/>
      <c r="AKX11" s="191"/>
      <c r="AKY11" s="191"/>
      <c r="AKZ11" s="191"/>
      <c r="ALA11" s="191"/>
      <c r="ALB11" s="191"/>
      <c r="ALC11" s="191"/>
      <c r="ALD11" s="191"/>
      <c r="ALE11" s="191"/>
      <c r="ALF11" s="191"/>
      <c r="ALG11" s="191"/>
      <c r="ALH11" s="191"/>
      <c r="ALI11" s="191"/>
      <c r="ALJ11" s="191"/>
      <c r="ALK11" s="191"/>
      <c r="ALL11" s="191"/>
      <c r="ALM11" s="191"/>
      <c r="ALN11" s="191"/>
      <c r="ALO11" s="191"/>
      <c r="ALP11" s="191"/>
      <c r="ALQ11" s="191"/>
      <c r="ALR11" s="191"/>
      <c r="ALS11" s="191"/>
      <c r="ALT11" s="191"/>
      <c r="ALU11" s="191"/>
      <c r="ALV11" s="191"/>
      <c r="ALW11" s="191"/>
      <c r="ALX11" s="191"/>
      <c r="ALY11" s="191"/>
      <c r="ALZ11" s="191"/>
      <c r="AMA11" s="191"/>
      <c r="AMB11" s="191"/>
      <c r="AMC11" s="191"/>
      <c r="AMD11" s="191"/>
      <c r="AME11" s="191"/>
      <c r="AMF11" s="191"/>
      <c r="AMG11" s="191"/>
      <c r="AMH11" s="191"/>
      <c r="AMI11" s="191"/>
      <c r="AMJ11" s="191"/>
      <c r="AMK11" s="191"/>
      <c r="AML11" s="191" t="s">
        <v>85</v>
      </c>
      <c r="AMM11" s="191"/>
      <c r="AMN11" s="191"/>
      <c r="AMO11" s="191"/>
      <c r="AMP11" s="191"/>
      <c r="AMQ11" s="191"/>
      <c r="AMR11" s="191"/>
      <c r="AMS11" s="191"/>
      <c r="AMT11" s="191"/>
      <c r="AMU11" s="191"/>
      <c r="AMV11" s="191"/>
      <c r="AMW11" s="191"/>
      <c r="AMX11" s="191"/>
      <c r="AMY11" s="191"/>
      <c r="AMZ11" s="191"/>
      <c r="ANA11" s="191"/>
      <c r="ANB11" s="191"/>
      <c r="ANC11" s="191"/>
      <c r="AND11" s="191"/>
      <c r="ANE11" s="191"/>
      <c r="ANF11" s="191"/>
      <c r="ANG11" s="191"/>
      <c r="ANH11" s="191"/>
      <c r="ANI11" s="191"/>
      <c r="ANJ11" s="191"/>
      <c r="ANK11" s="191"/>
      <c r="ANL11" s="191"/>
      <c r="ANM11" s="191"/>
      <c r="ANN11" s="191"/>
      <c r="ANO11" s="191"/>
      <c r="ANP11" s="191"/>
      <c r="ANQ11" s="191"/>
      <c r="ANR11" s="191"/>
      <c r="ANS11" s="191"/>
      <c r="ANT11" s="191"/>
      <c r="ANU11" s="191"/>
      <c r="ANV11" s="191"/>
      <c r="ANW11" s="191"/>
      <c r="ANX11" s="191"/>
      <c r="ANY11" s="191"/>
      <c r="ANZ11" s="191"/>
      <c r="AOA11" s="191"/>
      <c r="AOB11" s="191"/>
      <c r="AOC11" s="191"/>
      <c r="AOD11" s="191"/>
      <c r="AOE11" s="191"/>
      <c r="AOF11" s="191"/>
      <c r="AOG11" s="191"/>
      <c r="AOH11" s="191"/>
      <c r="AOI11" s="191"/>
      <c r="AOJ11" s="191"/>
      <c r="AOK11" s="191"/>
      <c r="AOL11" s="191"/>
      <c r="AOM11" s="191"/>
      <c r="AON11" s="191"/>
      <c r="AOO11" s="191"/>
      <c r="AOP11" s="191"/>
      <c r="AOQ11" s="191"/>
      <c r="AOR11" s="191"/>
      <c r="AOS11" s="191"/>
      <c r="AOT11" s="191" t="s">
        <v>82</v>
      </c>
      <c r="AOU11" s="191"/>
      <c r="AOV11" s="191"/>
      <c r="AOW11" s="191"/>
      <c r="AOX11" s="191"/>
      <c r="AOY11" s="191"/>
      <c r="AOZ11" s="191"/>
      <c r="APA11" s="191"/>
      <c r="APB11" s="191"/>
      <c r="APC11" s="191"/>
      <c r="APD11" s="191"/>
      <c r="APE11" s="191"/>
      <c r="APF11" s="191"/>
      <c r="APG11" s="191"/>
      <c r="APH11" s="191"/>
      <c r="API11" s="191"/>
      <c r="APJ11" s="191"/>
      <c r="APK11" s="191"/>
      <c r="APL11" s="191"/>
      <c r="APM11" s="191"/>
      <c r="APN11" s="191"/>
      <c r="APO11" s="191"/>
      <c r="APP11" s="191"/>
      <c r="APQ11" s="191"/>
      <c r="APR11" s="191"/>
      <c r="APS11" s="191"/>
      <c r="APT11" s="191"/>
      <c r="APU11" s="191"/>
      <c r="APV11" s="191"/>
      <c r="APW11" s="191"/>
      <c r="APX11" s="191"/>
      <c r="APY11" s="191"/>
      <c r="APZ11" s="191"/>
      <c r="AQA11" s="191"/>
      <c r="AQB11" s="191"/>
      <c r="AQC11" s="191"/>
      <c r="AQD11" s="191"/>
      <c r="AQE11" s="191"/>
      <c r="AQF11" s="191"/>
      <c r="AQG11" s="191"/>
      <c r="AQH11" s="191"/>
      <c r="AQI11" s="191"/>
      <c r="AQJ11" s="191"/>
      <c r="AQK11" s="191"/>
      <c r="AQL11" s="191"/>
      <c r="AQM11" s="191"/>
      <c r="AQN11" s="191"/>
      <c r="AQO11" s="191"/>
      <c r="AQP11" s="191"/>
      <c r="AQQ11" s="191"/>
      <c r="AQR11" s="191"/>
      <c r="AQS11" s="191"/>
      <c r="AQT11" s="191"/>
      <c r="AQU11" s="191"/>
      <c r="AQV11" s="191"/>
      <c r="AQW11" s="191"/>
      <c r="AQX11" s="191"/>
      <c r="AQY11" s="191"/>
      <c r="AQZ11" s="191"/>
      <c r="ARA11" s="191"/>
      <c r="ARB11" s="191" t="s">
        <v>82</v>
      </c>
      <c r="ARC11" s="191"/>
      <c r="ARD11" s="191"/>
      <c r="ARE11" s="191"/>
      <c r="ARF11" s="191"/>
      <c r="ARG11" s="191"/>
      <c r="ARH11" s="191"/>
      <c r="ARI11" s="191"/>
      <c r="ARJ11" s="191"/>
      <c r="ARK11" s="191"/>
      <c r="ARL11" s="191"/>
      <c r="ARM11" s="191"/>
      <c r="ARN11" s="191"/>
      <c r="ARO11" s="191"/>
      <c r="ARP11" s="191"/>
      <c r="ARQ11" s="191"/>
      <c r="ARR11" s="191"/>
      <c r="ARS11" s="191"/>
      <c r="ART11" s="191"/>
      <c r="ARU11" s="191"/>
      <c r="ARV11" s="191"/>
      <c r="ARW11" s="191"/>
      <c r="ARX11" s="191"/>
      <c r="ARY11" s="191"/>
      <c r="ARZ11" s="191"/>
      <c r="ASA11" s="191"/>
      <c r="ASB11" s="191"/>
      <c r="ASC11" s="191"/>
      <c r="ASD11" s="191"/>
      <c r="ASE11" s="191"/>
      <c r="ASF11" s="191"/>
      <c r="ASG11" s="191"/>
      <c r="ASH11" s="191"/>
      <c r="ASI11" s="191"/>
      <c r="ASJ11" s="191"/>
      <c r="ASK11" s="191"/>
      <c r="ASL11" s="191"/>
      <c r="ASM11" s="191"/>
      <c r="ASN11" s="191"/>
      <c r="ASO11" s="191"/>
      <c r="ASP11" s="191"/>
      <c r="ASQ11" s="191"/>
      <c r="ASR11" s="191"/>
      <c r="ASS11" s="191"/>
      <c r="AST11" s="191"/>
      <c r="ASU11" s="191"/>
      <c r="ASV11" s="191"/>
      <c r="ASW11" s="191"/>
      <c r="ASX11" s="191"/>
      <c r="ASY11" s="191"/>
      <c r="ASZ11" s="191"/>
      <c r="ATA11" s="191"/>
      <c r="ATB11" s="191"/>
      <c r="ATC11" s="191"/>
      <c r="ATD11" s="191"/>
      <c r="ATE11" s="191"/>
      <c r="ATF11" s="191"/>
      <c r="ATG11" s="191"/>
      <c r="ATH11" s="191"/>
      <c r="ATI11" s="191"/>
      <c r="ATJ11" s="191" t="s">
        <v>80</v>
      </c>
      <c r="ATK11" s="191"/>
      <c r="ATL11" s="191"/>
      <c r="ATM11" s="191"/>
      <c r="ATN11" s="191"/>
      <c r="ATO11" s="191"/>
      <c r="ATP11" s="191"/>
      <c r="ATQ11" s="191"/>
      <c r="ATR11" s="191"/>
      <c r="ATS11" s="191"/>
      <c r="ATT11" s="191"/>
      <c r="ATU11" s="191"/>
      <c r="ATV11" s="191"/>
      <c r="ATW11" s="191"/>
      <c r="ATX11" s="191"/>
      <c r="ATY11" s="191"/>
      <c r="ATZ11" s="191"/>
      <c r="AUA11" s="191"/>
      <c r="AUB11" s="191"/>
      <c r="AUC11" s="191"/>
      <c r="AUD11" s="191"/>
      <c r="AUE11" s="191"/>
      <c r="AUF11" s="191"/>
      <c r="AUG11" s="191"/>
      <c r="AUH11" s="191"/>
      <c r="AUI11" s="191"/>
      <c r="AUJ11" s="191"/>
      <c r="AUK11" s="191"/>
      <c r="AUL11" s="191"/>
      <c r="AUM11" s="191"/>
      <c r="AUN11" s="191"/>
      <c r="AUO11" s="191"/>
      <c r="AUP11" s="191"/>
      <c r="AUQ11" s="191"/>
      <c r="AUR11" s="191"/>
      <c r="AUS11" s="191"/>
      <c r="AUT11" s="191"/>
      <c r="AUU11" s="191"/>
      <c r="AUV11" s="191"/>
      <c r="AUW11" s="191"/>
      <c r="AUX11" s="191"/>
      <c r="AUY11" s="191"/>
      <c r="AUZ11" s="191"/>
      <c r="AVA11" s="191"/>
      <c r="AVB11" s="191"/>
      <c r="AVC11" s="191"/>
      <c r="AVD11" s="191"/>
      <c r="AVE11" s="191"/>
      <c r="AVF11" s="191"/>
      <c r="AVG11" s="191"/>
      <c r="AVH11" s="191"/>
      <c r="AVI11" s="191"/>
      <c r="AVJ11" s="191"/>
      <c r="AVK11" s="191"/>
      <c r="AVL11" s="191"/>
      <c r="AVM11" s="191"/>
      <c r="AVN11" s="191"/>
      <c r="AVO11" s="191"/>
      <c r="AVP11" s="191"/>
      <c r="AVQ11" s="191"/>
      <c r="AVR11" s="191" t="s">
        <v>77</v>
      </c>
      <c r="AVS11" s="191"/>
      <c r="AVT11" s="191"/>
      <c r="AVU11" s="191"/>
      <c r="AVV11" s="191"/>
      <c r="AVW11" s="191"/>
      <c r="AVX11" s="191"/>
      <c r="AVY11" s="191"/>
      <c r="AVZ11" s="191"/>
      <c r="AWA11" s="191"/>
      <c r="AWB11" s="191"/>
      <c r="AWC11" s="191"/>
      <c r="AWD11" s="191"/>
      <c r="AWE11" s="191"/>
      <c r="AWF11" s="191"/>
      <c r="AWG11" s="191"/>
      <c r="AWH11" s="191"/>
      <c r="AWI11" s="191"/>
      <c r="AWJ11" s="191"/>
      <c r="AWK11" s="191"/>
      <c r="AWL11" s="191"/>
      <c r="AWM11" s="191"/>
      <c r="AWN11" s="191"/>
      <c r="AWO11" s="191"/>
      <c r="AWP11" s="191"/>
      <c r="AWQ11" s="191"/>
      <c r="AWR11" s="191"/>
      <c r="AWS11" s="191"/>
      <c r="AWT11" s="191"/>
      <c r="AWU11" s="191"/>
      <c r="AWV11" s="191"/>
      <c r="AWW11" s="191"/>
      <c r="AWX11" s="191"/>
      <c r="AWY11" s="191"/>
      <c r="AWZ11" s="191"/>
      <c r="AXA11" s="191"/>
      <c r="AXB11" s="191"/>
      <c r="AXC11" s="191"/>
      <c r="AXD11" s="191"/>
      <c r="AXE11" s="191"/>
      <c r="AXF11" s="191"/>
      <c r="AXG11" s="191"/>
      <c r="AXH11" s="191"/>
      <c r="AXI11" s="191"/>
      <c r="AXJ11" s="191"/>
      <c r="AXK11" s="191"/>
      <c r="AXL11" s="191"/>
      <c r="AXM11" s="191"/>
      <c r="AXN11" s="191"/>
      <c r="AXO11" s="191"/>
      <c r="AXP11" s="191"/>
      <c r="AXQ11" s="191"/>
      <c r="AXR11" s="191"/>
      <c r="AXS11" s="191"/>
      <c r="AXT11" s="191"/>
      <c r="AXU11" s="191"/>
      <c r="AXV11" s="191"/>
      <c r="AXW11" s="191"/>
      <c r="AXX11" s="191"/>
      <c r="AXY11" s="191"/>
      <c r="AXZ11" s="191" t="s">
        <v>77</v>
      </c>
      <c r="AYA11" s="191"/>
      <c r="AYB11" s="191"/>
      <c r="AYC11" s="191"/>
      <c r="AYD11" s="191"/>
      <c r="AYE11" s="191"/>
      <c r="AYF11" s="191"/>
      <c r="AYG11" s="191"/>
      <c r="AYH11" s="191"/>
      <c r="AYI11" s="191"/>
      <c r="AYJ11" s="191"/>
      <c r="AYK11" s="191"/>
      <c r="AYL11" s="191"/>
      <c r="AYM11" s="191"/>
      <c r="AYN11" s="191"/>
      <c r="AYO11" s="191"/>
      <c r="AYP11" s="191"/>
      <c r="AYQ11" s="191"/>
      <c r="AYR11" s="191"/>
      <c r="AYS11" s="191"/>
      <c r="AYT11" s="191"/>
      <c r="AYU11" s="191"/>
      <c r="AYV11" s="191"/>
      <c r="AYW11" s="191"/>
      <c r="AYX11" s="191"/>
      <c r="AYY11" s="191"/>
      <c r="AYZ11" s="191"/>
      <c r="AZA11" s="191"/>
      <c r="AZB11" s="191"/>
      <c r="AZC11" s="191"/>
      <c r="AZD11" s="191"/>
      <c r="AZE11" s="191"/>
      <c r="AZF11" s="191"/>
      <c r="AZG11" s="191"/>
      <c r="AZH11" s="191"/>
      <c r="AZI11" s="191"/>
      <c r="AZJ11" s="191"/>
      <c r="AZK11" s="191"/>
      <c r="AZL11" s="191"/>
      <c r="AZM11" s="191"/>
      <c r="AZN11" s="191"/>
      <c r="AZO11" s="191"/>
      <c r="AZP11" s="191"/>
      <c r="AZQ11" s="191"/>
      <c r="AZR11" s="191"/>
      <c r="AZS11" s="191"/>
      <c r="AZT11" s="191"/>
      <c r="AZU11" s="191"/>
      <c r="AZV11" s="191"/>
      <c r="AZW11" s="191"/>
      <c r="AZX11" s="191"/>
      <c r="AZY11" s="191"/>
      <c r="AZZ11" s="191"/>
      <c r="BAA11" s="191"/>
      <c r="BAB11" s="191"/>
      <c r="BAC11" s="191"/>
      <c r="BAD11" s="191"/>
      <c r="BAE11" s="191"/>
      <c r="BAF11" s="191"/>
      <c r="BAG11" s="191"/>
      <c r="BAH11" s="191" t="s">
        <v>74</v>
      </c>
      <c r="BAI11" s="191"/>
      <c r="BAJ11" s="191"/>
      <c r="BAK11" s="191"/>
      <c r="BAL11" s="191"/>
      <c r="BAM11" s="191"/>
      <c r="BAN11" s="191"/>
      <c r="BAO11" s="191"/>
      <c r="BAP11" s="191"/>
      <c r="BAQ11" s="191"/>
      <c r="BAR11" s="191"/>
      <c r="BAS11" s="191"/>
      <c r="BAT11" s="191"/>
      <c r="BAU11" s="191"/>
      <c r="BAV11" s="191"/>
      <c r="BAW11" s="191"/>
      <c r="BAX11" s="191"/>
      <c r="BAY11" s="191"/>
      <c r="BAZ11" s="191"/>
      <c r="BBA11" s="191"/>
      <c r="BBB11" s="191"/>
      <c r="BBC11" s="191"/>
      <c r="BBD11" s="191"/>
      <c r="BBE11" s="191"/>
      <c r="BBF11" s="191"/>
      <c r="BBG11" s="191"/>
      <c r="BBH11" s="191"/>
      <c r="BBI11" s="191"/>
      <c r="BBJ11" s="191"/>
      <c r="BBK11" s="191"/>
      <c r="BBL11" s="191"/>
      <c r="BBM11" s="191"/>
      <c r="BBN11" s="191"/>
      <c r="BBO11" s="191"/>
      <c r="BBP11" s="191"/>
      <c r="BBQ11" s="191"/>
      <c r="BBR11" s="191"/>
      <c r="BBS11" s="191"/>
      <c r="BBT11" s="191"/>
      <c r="BBU11" s="191"/>
      <c r="BBV11" s="191"/>
      <c r="BBW11" s="191"/>
      <c r="BBX11" s="191"/>
      <c r="BBY11" s="191"/>
      <c r="BBZ11" s="191"/>
      <c r="BCA11" s="191"/>
      <c r="BCB11" s="191"/>
      <c r="BCC11" s="191"/>
      <c r="BCD11" s="191"/>
      <c r="BCE11" s="191"/>
      <c r="BCF11" s="191"/>
      <c r="BCG11" s="191"/>
      <c r="BCH11" s="191"/>
      <c r="BCI11" s="191"/>
      <c r="BCJ11" s="191"/>
      <c r="BCK11" s="191"/>
      <c r="BCL11" s="191"/>
      <c r="BCM11" s="191"/>
      <c r="BCN11" s="191"/>
      <c r="BCO11" s="191"/>
      <c r="BCP11" s="191" t="s">
        <v>74</v>
      </c>
      <c r="BCQ11" s="191"/>
      <c r="BCR11" s="191"/>
      <c r="BCS11" s="191"/>
      <c r="BCT11" s="191"/>
      <c r="BCU11" s="191"/>
      <c r="BCV11" s="191"/>
      <c r="BCW11" s="191"/>
      <c r="BCX11" s="191"/>
      <c r="BCY11" s="191"/>
      <c r="BCZ11" s="191"/>
      <c r="BDA11" s="191"/>
      <c r="BDB11" s="191"/>
      <c r="BDC11" s="191"/>
      <c r="BDD11" s="191"/>
      <c r="BDE11" s="191"/>
      <c r="BDF11" s="191"/>
      <c r="BDG11" s="191"/>
      <c r="BDH11" s="191"/>
      <c r="BDI11" s="191"/>
      <c r="BDJ11" s="191"/>
      <c r="BDK11" s="191"/>
      <c r="BDL11" s="191"/>
      <c r="BDM11" s="191"/>
      <c r="BDN11" s="191"/>
      <c r="BDO11" s="191"/>
      <c r="BDP11" s="191"/>
      <c r="BDQ11" s="191"/>
      <c r="BDR11" s="191"/>
      <c r="BDS11" s="191"/>
      <c r="BDT11" s="191"/>
      <c r="BDU11" s="191"/>
      <c r="BDV11" s="191"/>
      <c r="BDW11" s="191"/>
      <c r="BDX11" s="191"/>
      <c r="BDY11" s="191"/>
      <c r="BDZ11" s="191"/>
      <c r="BEA11" s="191"/>
      <c r="BEB11" s="191"/>
      <c r="BEC11" s="191"/>
      <c r="BED11" s="191"/>
      <c r="BEE11" s="191"/>
      <c r="BEF11" s="191"/>
      <c r="BEG11" s="191"/>
      <c r="BEH11" s="191"/>
      <c r="BEI11" s="191"/>
      <c r="BEJ11" s="191"/>
      <c r="BEK11" s="191"/>
      <c r="BEL11" s="191"/>
      <c r="BEM11" s="191"/>
      <c r="BEN11" s="191"/>
      <c r="BEO11" s="191"/>
      <c r="BEP11" s="191"/>
      <c r="BEQ11" s="191"/>
      <c r="BER11" s="191"/>
      <c r="BES11" s="191"/>
      <c r="BET11" s="191"/>
      <c r="BEU11" s="191"/>
      <c r="BEV11" s="191"/>
      <c r="BEW11" s="191"/>
      <c r="BEX11" s="191" t="s">
        <v>71</v>
      </c>
      <c r="BEY11" s="191"/>
      <c r="BEZ11" s="191"/>
      <c r="BFA11" s="191"/>
      <c r="BFB11" s="191"/>
      <c r="BFC11" s="191"/>
      <c r="BFD11" s="191"/>
      <c r="BFE11" s="191"/>
      <c r="BFF11" s="191"/>
      <c r="BFG11" s="191"/>
      <c r="BFH11" s="191"/>
      <c r="BFI11" s="191"/>
      <c r="BFJ11" s="191"/>
      <c r="BFK11" s="191"/>
      <c r="BFL11" s="191"/>
      <c r="BFM11" s="191"/>
      <c r="BFN11" s="191"/>
      <c r="BFO11" s="191"/>
      <c r="BFP11" s="191"/>
      <c r="BFQ11" s="191"/>
      <c r="BFR11" s="191"/>
      <c r="BFS11" s="191"/>
      <c r="BFT11" s="191"/>
      <c r="BFU11" s="191"/>
      <c r="BFV11" s="191"/>
      <c r="BFW11" s="191"/>
      <c r="BFX11" s="191"/>
      <c r="BFY11" s="191"/>
      <c r="BFZ11" s="191"/>
      <c r="BGA11" s="191"/>
      <c r="BGB11" s="191"/>
      <c r="BGC11" s="191"/>
      <c r="BGD11" s="191"/>
      <c r="BGE11" s="191"/>
      <c r="BGF11" s="191"/>
      <c r="BGG11" s="191"/>
      <c r="BGH11" s="191"/>
      <c r="BGI11" s="191"/>
      <c r="BGJ11" s="191"/>
      <c r="BGK11" s="191"/>
      <c r="BGL11" s="191"/>
      <c r="BGM11" s="191"/>
      <c r="BGN11" s="191"/>
      <c r="BGO11" s="191"/>
      <c r="BGP11" s="191"/>
      <c r="BGQ11" s="191"/>
      <c r="BGR11" s="191"/>
      <c r="BGS11" s="191"/>
      <c r="BGT11" s="191"/>
      <c r="BGU11" s="191"/>
      <c r="BGV11" s="191"/>
      <c r="BGW11" s="191"/>
      <c r="BGX11" s="191"/>
      <c r="BGY11" s="191"/>
      <c r="BGZ11" s="191"/>
      <c r="BHA11" s="191"/>
      <c r="BHB11" s="191"/>
      <c r="BHC11" s="191"/>
      <c r="BHD11" s="191"/>
      <c r="BHE11" s="191"/>
      <c r="BHF11" s="191" t="s">
        <v>71</v>
      </c>
      <c r="BHG11" s="191"/>
      <c r="BHH11" s="191"/>
      <c r="BHI11" s="191"/>
      <c r="BHJ11" s="191"/>
      <c r="BHK11" s="191"/>
      <c r="BHL11" s="191"/>
      <c r="BHM11" s="191"/>
      <c r="BHN11" s="191"/>
      <c r="BHO11" s="191"/>
      <c r="BHP11" s="191"/>
      <c r="BHQ11" s="191"/>
      <c r="BHR11" s="191"/>
      <c r="BHS11" s="191"/>
      <c r="BHT11" s="191"/>
      <c r="BHU11" s="191"/>
      <c r="BHV11" s="191"/>
      <c r="BHW11" s="191"/>
      <c r="BHX11" s="191"/>
      <c r="BHY11" s="191"/>
      <c r="BHZ11" s="191"/>
      <c r="BIA11" s="191"/>
      <c r="BIB11" s="191"/>
      <c r="BIC11" s="191"/>
      <c r="BID11" s="191"/>
      <c r="BIE11" s="191"/>
      <c r="BIF11" s="191"/>
      <c r="BIG11" s="191"/>
      <c r="BIH11" s="191"/>
      <c r="BII11" s="191"/>
      <c r="BIJ11" s="191"/>
      <c r="BIK11" s="191"/>
      <c r="BIL11" s="191"/>
      <c r="BIM11" s="191"/>
      <c r="BIN11" s="191"/>
      <c r="BIO11" s="191"/>
      <c r="BIP11" s="191"/>
      <c r="BIQ11" s="191"/>
      <c r="BIR11" s="191"/>
      <c r="BIS11" s="191"/>
      <c r="BIT11" s="191"/>
      <c r="BIU11" s="191"/>
      <c r="BIV11" s="191"/>
      <c r="BIW11" s="191"/>
      <c r="BIX11" s="191"/>
      <c r="BIY11" s="191"/>
      <c r="BIZ11" s="191"/>
      <c r="BJA11" s="191"/>
      <c r="BJB11" s="191"/>
      <c r="BJC11" s="191"/>
      <c r="BJD11" s="191"/>
      <c r="BJE11" s="191"/>
      <c r="BJF11" s="191"/>
      <c r="BJG11" s="191"/>
      <c r="BJH11" s="191"/>
      <c r="BJI11" s="191"/>
      <c r="BJJ11" s="191"/>
      <c r="BJK11" s="191"/>
      <c r="BJL11" s="191"/>
      <c r="BJM11" s="191"/>
      <c r="BJN11" s="191"/>
      <c r="BJO11" s="191"/>
      <c r="BJP11" s="191"/>
      <c r="BJQ11" s="191"/>
      <c r="BJR11" s="191"/>
      <c r="BJS11" s="191"/>
      <c r="BJT11" s="191"/>
      <c r="BJU11" s="191"/>
      <c r="BJV11" s="191"/>
      <c r="BJW11" s="191"/>
      <c r="BJX11" s="191"/>
      <c r="BJY11" s="191"/>
      <c r="BJZ11" s="191"/>
      <c r="BKA11" s="191"/>
      <c r="BKB11" s="191"/>
      <c r="BKC11" s="191"/>
      <c r="BKD11" s="191"/>
      <c r="BKE11" s="191"/>
      <c r="BKF11" s="191"/>
      <c r="BKG11" s="191"/>
      <c r="BKH11" s="191"/>
      <c r="BKI11" s="191"/>
      <c r="BKJ11" s="191"/>
      <c r="BKK11" s="191"/>
      <c r="BKL11" s="191"/>
      <c r="BKM11" s="191"/>
      <c r="BKN11" s="191"/>
      <c r="BKO11" s="191"/>
      <c r="BKP11" s="191"/>
      <c r="BKQ11" s="191"/>
      <c r="BKR11" s="191"/>
      <c r="BKS11" s="191"/>
      <c r="BKT11" s="191"/>
      <c r="BKU11" s="191"/>
      <c r="BKV11" s="191"/>
      <c r="BKW11" s="191"/>
      <c r="BKX11" s="191"/>
      <c r="BKY11" s="191"/>
      <c r="BKZ11" s="191"/>
      <c r="BLA11" s="191"/>
      <c r="BLB11" s="191"/>
      <c r="BLC11" s="191"/>
      <c r="BLD11" s="191"/>
      <c r="BLE11" s="191"/>
      <c r="BLF11" s="191"/>
      <c r="BLG11" s="191"/>
      <c r="BLH11" s="191"/>
      <c r="BLI11" s="191"/>
      <c r="BLJ11" s="191"/>
      <c r="BLK11" s="191"/>
      <c r="BLL11" s="191"/>
      <c r="BLM11" s="191"/>
      <c r="BLN11" s="191"/>
      <c r="BLO11" s="191"/>
      <c r="BLP11" s="191"/>
      <c r="BLQ11" s="191"/>
      <c r="BLR11" s="191"/>
      <c r="BLS11" s="191"/>
      <c r="BLT11" s="191"/>
      <c r="BLU11" s="191"/>
      <c r="BLV11" s="191"/>
      <c r="BLW11" s="191"/>
      <c r="BLX11" s="191"/>
      <c r="BLY11" s="191"/>
      <c r="BLZ11" s="191"/>
      <c r="BMA11" s="191"/>
      <c r="BMB11" s="191"/>
      <c r="BMC11" s="191"/>
      <c r="BMD11" s="191"/>
      <c r="BME11" s="191"/>
      <c r="BMF11" s="191"/>
      <c r="BMG11" s="191"/>
      <c r="BMH11" s="191"/>
      <c r="BMI11" s="191"/>
      <c r="BMJ11" s="191"/>
      <c r="BMK11" s="191"/>
      <c r="BML11" s="191"/>
      <c r="BMM11" s="191"/>
      <c r="BMN11" s="191"/>
      <c r="BMO11" s="191"/>
      <c r="BMP11" s="191"/>
      <c r="BMQ11" s="191"/>
      <c r="BMR11" s="191"/>
      <c r="BMS11" s="191"/>
      <c r="BMT11" s="191"/>
      <c r="BMU11" s="191"/>
      <c r="BMV11" s="191"/>
      <c r="BMW11" s="191"/>
      <c r="BMX11" s="191"/>
      <c r="BMY11" s="191"/>
      <c r="BMZ11" s="191"/>
      <c r="BNA11" s="191"/>
      <c r="BNB11" s="191"/>
      <c r="BNC11" s="191"/>
      <c r="BND11" s="191"/>
      <c r="BNE11" s="191"/>
      <c r="BNF11" s="191"/>
      <c r="BNG11" s="191"/>
      <c r="BNH11" s="191"/>
      <c r="BNI11" s="191"/>
      <c r="BNJ11" s="191"/>
      <c r="BNK11" s="191"/>
      <c r="BNL11" s="191"/>
      <c r="BNM11" s="191"/>
      <c r="BNN11" s="191"/>
      <c r="BNO11" s="191"/>
      <c r="BNP11" s="191"/>
      <c r="BNQ11" s="191"/>
      <c r="BNR11" s="191"/>
      <c r="BNS11" s="191"/>
      <c r="BNT11" s="191"/>
      <c r="BNU11" s="191"/>
      <c r="BNV11" s="191"/>
      <c r="BNW11" s="191"/>
      <c r="BNX11" s="191"/>
      <c r="BNY11" s="191"/>
      <c r="BNZ11" s="191"/>
      <c r="BOA11" s="191"/>
      <c r="BOB11" s="191"/>
      <c r="BOC11" s="191"/>
      <c r="BOD11" s="191"/>
      <c r="BOE11" s="191"/>
      <c r="BOF11" s="191"/>
      <c r="BOG11" s="191"/>
      <c r="BOH11" s="191"/>
      <c r="BOI11" s="191"/>
      <c r="BOJ11" s="191"/>
      <c r="BOK11" s="191"/>
      <c r="BOL11" s="191"/>
      <c r="BOM11" s="191"/>
      <c r="BON11" s="191"/>
      <c r="BOO11" s="191"/>
      <c r="BOP11" s="191"/>
      <c r="BOQ11" s="191"/>
      <c r="BOR11" s="191"/>
      <c r="BOS11" s="191"/>
      <c r="BOT11" s="191"/>
      <c r="BOU11" s="191"/>
      <c r="BOV11" s="191"/>
      <c r="BOW11" s="191"/>
      <c r="BOX11" s="191"/>
      <c r="BOY11" s="191"/>
      <c r="BOZ11" s="191"/>
      <c r="BPA11" s="191"/>
      <c r="BPB11" s="191"/>
      <c r="BPC11" s="191"/>
      <c r="BPD11" s="191"/>
      <c r="BPE11" s="191"/>
      <c r="BPF11" s="191"/>
      <c r="BPG11" s="191"/>
      <c r="BPH11" s="191"/>
      <c r="BPI11" s="191"/>
      <c r="BPJ11" s="191"/>
      <c r="BPK11" s="191"/>
      <c r="BPL11" s="191"/>
      <c r="BPM11" s="191"/>
      <c r="BPN11" s="191"/>
      <c r="BPO11" s="191"/>
      <c r="BPP11" s="191"/>
      <c r="BPQ11" s="191"/>
      <c r="BPR11" s="191"/>
      <c r="BPS11" s="191"/>
      <c r="BPT11" s="191"/>
      <c r="BPU11" s="191"/>
      <c r="BPV11" s="191"/>
      <c r="BPW11" s="191"/>
      <c r="BPX11" s="191"/>
      <c r="BPY11" s="191"/>
      <c r="BPZ11" s="191"/>
      <c r="BQA11" s="191"/>
      <c r="BQB11" s="191"/>
      <c r="BQC11" s="191"/>
      <c r="BQD11" s="191"/>
      <c r="BQE11" s="191"/>
      <c r="BQF11" s="191"/>
      <c r="BQG11" s="191"/>
      <c r="BQH11" s="191"/>
      <c r="BQI11" s="191"/>
      <c r="BQJ11" s="191"/>
      <c r="BQK11" s="191"/>
      <c r="BQL11" s="191"/>
      <c r="BQM11" s="191"/>
      <c r="BQN11" s="191"/>
      <c r="BQO11" s="191"/>
      <c r="BQP11" s="191"/>
      <c r="BQQ11" s="191"/>
      <c r="BQR11" s="191"/>
      <c r="BQS11" s="191"/>
      <c r="BQT11" s="191"/>
      <c r="BQU11" s="191"/>
      <c r="BQV11" s="191"/>
      <c r="BQW11" s="191"/>
      <c r="BQX11" s="191"/>
      <c r="BQY11" s="191"/>
      <c r="BQZ11" s="191"/>
      <c r="BRA11" s="191"/>
      <c r="BRB11" s="191"/>
      <c r="BRC11" s="191"/>
      <c r="BRD11" s="191"/>
      <c r="BRE11" s="191"/>
      <c r="BRF11" s="191"/>
      <c r="BRG11" s="191"/>
      <c r="BRH11" s="191"/>
      <c r="BRI11" s="191"/>
      <c r="BRJ11" s="191"/>
      <c r="BRK11" s="191"/>
      <c r="BRL11" s="191"/>
      <c r="BRM11" s="191"/>
      <c r="BRN11" s="191"/>
      <c r="BRO11" s="191"/>
      <c r="BRP11" s="191"/>
      <c r="BRQ11" s="191"/>
      <c r="BRR11" s="191"/>
      <c r="BRS11" s="191"/>
      <c r="BRT11" s="191"/>
      <c r="BRU11" s="191"/>
      <c r="BRV11" s="191"/>
      <c r="BRW11" s="191"/>
      <c r="BRX11" s="191"/>
      <c r="BRY11" s="191"/>
      <c r="BRZ11" s="191"/>
      <c r="BSA11" s="191"/>
      <c r="BSB11" s="191"/>
      <c r="BSC11" s="191"/>
      <c r="BSD11" s="191"/>
      <c r="BSE11" s="191"/>
      <c r="BSF11" s="191"/>
      <c r="BSG11" s="191"/>
      <c r="BSH11" s="191"/>
      <c r="BSI11" s="191"/>
      <c r="BSJ11" s="191"/>
      <c r="BSK11" s="191"/>
      <c r="BSL11" s="191"/>
      <c r="BSM11" s="191"/>
      <c r="BSN11" s="191"/>
      <c r="BSO11" s="191"/>
      <c r="BSP11" s="191"/>
      <c r="BSQ11" s="191"/>
      <c r="BSR11" s="191"/>
      <c r="BSS11" s="191"/>
      <c r="BST11" s="191"/>
      <c r="BSU11" s="191"/>
      <c r="BSV11" s="191"/>
      <c r="BSW11" s="191"/>
      <c r="BSX11" s="191"/>
      <c r="BSY11" s="191"/>
      <c r="BSZ11" s="191"/>
      <c r="BTA11" s="191"/>
      <c r="BTB11" s="191"/>
      <c r="BTC11" s="191"/>
      <c r="BTD11" s="191"/>
      <c r="BTE11" s="191"/>
      <c r="BTF11" s="191"/>
      <c r="BTG11" s="191"/>
      <c r="BTH11" s="191"/>
      <c r="BTI11" s="191"/>
      <c r="BTJ11" s="191"/>
      <c r="BTK11" s="191"/>
      <c r="BTL11" s="191"/>
      <c r="BTM11" s="191"/>
      <c r="BTN11" s="191"/>
      <c r="BTO11" s="191"/>
      <c r="BTP11" s="191"/>
      <c r="BTQ11" s="191"/>
      <c r="BTR11" s="191"/>
      <c r="BTS11" s="191"/>
      <c r="BTT11" s="191"/>
      <c r="BTU11" s="191"/>
      <c r="BTV11" s="191"/>
      <c r="BTW11" s="191"/>
      <c r="BTX11" s="191"/>
      <c r="BTY11" s="191"/>
      <c r="BTZ11" s="191"/>
      <c r="BUA11" s="191"/>
      <c r="BUB11" s="191"/>
      <c r="BUC11" s="191"/>
      <c r="BUD11" s="191"/>
      <c r="BUE11" s="191"/>
      <c r="BUF11" s="191"/>
      <c r="BUG11" s="191"/>
      <c r="BUH11" s="191"/>
      <c r="BUI11" s="191"/>
      <c r="BUJ11" s="191"/>
      <c r="BUK11" s="191"/>
      <c r="BUL11" s="191"/>
      <c r="BUM11" s="191"/>
      <c r="BUN11" s="191"/>
      <c r="BUO11" s="191"/>
      <c r="BUP11" s="191"/>
      <c r="BUQ11" s="191"/>
      <c r="BUR11" s="191"/>
      <c r="BUS11" s="191"/>
      <c r="BUT11" s="191"/>
      <c r="BUU11" s="191"/>
      <c r="BUV11" s="191"/>
      <c r="BUW11" s="191"/>
      <c r="BUX11" s="191"/>
      <c r="BUY11" s="191"/>
      <c r="BUZ11" s="191"/>
      <c r="BVA11" s="191"/>
      <c r="BVB11" s="75"/>
    </row>
    <row r="12" spans="1:1926" ht="15.75" customHeight="1" thickBot="1" x14ac:dyDescent="0.3">
      <c r="B12" s="81"/>
      <c r="C12" s="202"/>
      <c r="D12" s="202"/>
      <c r="E12" s="202"/>
      <c r="F12" s="190" t="s">
        <v>47</v>
      </c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 t="s">
        <v>46</v>
      </c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/>
      <c r="DB12" s="190"/>
      <c r="DC12" s="190"/>
      <c r="DD12" s="190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/>
      <c r="DS12" s="190"/>
      <c r="DT12" s="190"/>
      <c r="DU12" s="190"/>
      <c r="DV12" s="192" t="s">
        <v>47</v>
      </c>
      <c r="DW12" s="192"/>
      <c r="DX12" s="192"/>
      <c r="DY12" s="192"/>
      <c r="DZ12" s="192"/>
      <c r="EA12" s="192"/>
      <c r="EB12" s="192"/>
      <c r="EC12" s="192"/>
      <c r="ED12" s="192"/>
      <c r="EE12" s="192"/>
      <c r="EF12" s="192"/>
      <c r="EG12" s="192"/>
      <c r="EH12" s="192"/>
      <c r="EI12" s="192"/>
      <c r="EJ12" s="192"/>
      <c r="EK12" s="192"/>
      <c r="EL12" s="192"/>
      <c r="EM12" s="192"/>
      <c r="EN12" s="192"/>
      <c r="EO12" s="192"/>
      <c r="EP12" s="192"/>
      <c r="EQ12" s="192"/>
      <c r="ER12" s="192"/>
      <c r="ES12" s="192"/>
      <c r="ET12" s="192"/>
      <c r="EU12" s="192"/>
      <c r="EV12" s="192"/>
      <c r="EW12" s="192"/>
      <c r="EX12" s="192"/>
      <c r="EY12" s="192"/>
      <c r="EZ12" s="192"/>
      <c r="FA12" s="192"/>
      <c r="FB12" s="192"/>
      <c r="FC12" s="192"/>
      <c r="FD12" s="192"/>
      <c r="FE12" s="192"/>
      <c r="FF12" s="192"/>
      <c r="FG12" s="192"/>
      <c r="FH12" s="192"/>
      <c r="FI12" s="192"/>
      <c r="FJ12" s="192"/>
      <c r="FK12" s="192"/>
      <c r="FL12" s="192"/>
      <c r="FM12" s="192"/>
      <c r="FN12" s="192"/>
      <c r="FO12" s="192"/>
      <c r="FP12" s="192"/>
      <c r="FQ12" s="192"/>
      <c r="FR12" s="192"/>
      <c r="FS12" s="192"/>
      <c r="FT12" s="192"/>
      <c r="FU12" s="192"/>
      <c r="FV12" s="192"/>
      <c r="FW12" s="192"/>
      <c r="FX12" s="192"/>
      <c r="FY12" s="192"/>
      <c r="FZ12" s="192"/>
      <c r="GA12" s="192"/>
      <c r="GB12" s="192"/>
      <c r="GC12" s="192"/>
      <c r="GD12" s="192" t="s">
        <v>46</v>
      </c>
      <c r="GE12" s="192"/>
      <c r="GF12" s="192"/>
      <c r="GG12" s="192"/>
      <c r="GH12" s="192"/>
      <c r="GI12" s="192"/>
      <c r="GJ12" s="192"/>
      <c r="GK12" s="192"/>
      <c r="GL12" s="192"/>
      <c r="GM12" s="192"/>
      <c r="GN12" s="192"/>
      <c r="GO12" s="192"/>
      <c r="GP12" s="192"/>
      <c r="GQ12" s="192"/>
      <c r="GR12" s="192"/>
      <c r="GS12" s="192"/>
      <c r="GT12" s="192"/>
      <c r="GU12" s="192"/>
      <c r="GV12" s="192"/>
      <c r="GW12" s="192"/>
      <c r="GX12" s="192"/>
      <c r="GY12" s="192"/>
      <c r="GZ12" s="192"/>
      <c r="HA12" s="192"/>
      <c r="HB12" s="192"/>
      <c r="HC12" s="192"/>
      <c r="HD12" s="192"/>
      <c r="HE12" s="192"/>
      <c r="HF12" s="192"/>
      <c r="HG12" s="192"/>
      <c r="HH12" s="192"/>
      <c r="HI12" s="192"/>
      <c r="HJ12" s="192"/>
      <c r="HK12" s="192"/>
      <c r="HL12" s="192"/>
      <c r="HM12" s="192"/>
      <c r="HN12" s="192"/>
      <c r="HO12" s="192"/>
      <c r="HP12" s="192"/>
      <c r="HQ12" s="192"/>
      <c r="HR12" s="192"/>
      <c r="HS12" s="192"/>
      <c r="HT12" s="192"/>
      <c r="HU12" s="192"/>
      <c r="HV12" s="192"/>
      <c r="HW12" s="192"/>
      <c r="HX12" s="192"/>
      <c r="HY12" s="192"/>
      <c r="HZ12" s="192"/>
      <c r="IA12" s="192"/>
      <c r="IB12" s="192"/>
      <c r="IC12" s="192"/>
      <c r="ID12" s="192"/>
      <c r="IE12" s="192"/>
      <c r="IF12" s="192"/>
      <c r="IG12" s="192"/>
      <c r="IH12" s="192"/>
      <c r="II12" s="192"/>
      <c r="IJ12" s="192"/>
      <c r="IK12" s="192"/>
      <c r="IL12" s="192" t="s">
        <v>47</v>
      </c>
      <c r="IM12" s="192"/>
      <c r="IN12" s="192"/>
      <c r="IO12" s="192"/>
      <c r="IP12" s="192"/>
      <c r="IQ12" s="192"/>
      <c r="IR12" s="192"/>
      <c r="IS12" s="192"/>
      <c r="IT12" s="192"/>
      <c r="IU12" s="192"/>
      <c r="IV12" s="192"/>
      <c r="IW12" s="192"/>
      <c r="IX12" s="192"/>
      <c r="IY12" s="192"/>
      <c r="IZ12" s="192"/>
      <c r="JA12" s="192"/>
      <c r="JB12" s="192"/>
      <c r="JC12" s="192"/>
      <c r="JD12" s="192"/>
      <c r="JE12" s="192"/>
      <c r="JF12" s="192"/>
      <c r="JG12" s="192"/>
      <c r="JH12" s="192"/>
      <c r="JI12" s="192"/>
      <c r="JJ12" s="192"/>
      <c r="JK12" s="192"/>
      <c r="JL12" s="192"/>
      <c r="JM12" s="192"/>
      <c r="JN12" s="192"/>
      <c r="JO12" s="192"/>
      <c r="JP12" s="192"/>
      <c r="JQ12" s="192"/>
      <c r="JR12" s="192"/>
      <c r="JS12" s="192"/>
      <c r="JT12" s="192"/>
      <c r="JU12" s="192"/>
      <c r="JV12" s="192"/>
      <c r="JW12" s="192"/>
      <c r="JX12" s="192"/>
      <c r="JY12" s="192"/>
      <c r="JZ12" s="192"/>
      <c r="KA12" s="192"/>
      <c r="KB12" s="192"/>
      <c r="KC12" s="192"/>
      <c r="KD12" s="192"/>
      <c r="KE12" s="192"/>
      <c r="KF12" s="192"/>
      <c r="KG12" s="192"/>
      <c r="KH12" s="192"/>
      <c r="KI12" s="192"/>
      <c r="KJ12" s="192"/>
      <c r="KK12" s="192"/>
      <c r="KL12" s="192"/>
      <c r="KM12" s="192"/>
      <c r="KN12" s="192"/>
      <c r="KO12" s="192"/>
      <c r="KP12" s="192"/>
      <c r="KQ12" s="192"/>
      <c r="KR12" s="192"/>
      <c r="KS12" s="192"/>
      <c r="KT12" s="192" t="s">
        <v>47</v>
      </c>
      <c r="KU12" s="192"/>
      <c r="KV12" s="192"/>
      <c r="KW12" s="192"/>
      <c r="KX12" s="192"/>
      <c r="KY12" s="192"/>
      <c r="KZ12" s="192"/>
      <c r="LA12" s="192"/>
      <c r="LB12" s="192"/>
      <c r="LC12" s="192"/>
      <c r="LD12" s="192"/>
      <c r="LE12" s="192"/>
      <c r="LF12" s="192"/>
      <c r="LG12" s="192"/>
      <c r="LH12" s="192"/>
      <c r="LI12" s="192"/>
      <c r="LJ12" s="192"/>
      <c r="LK12" s="192"/>
      <c r="LL12" s="192"/>
      <c r="LM12" s="192"/>
      <c r="LN12" s="192"/>
      <c r="LO12" s="192"/>
      <c r="LP12" s="192"/>
      <c r="LQ12" s="192"/>
      <c r="LR12" s="192"/>
      <c r="LS12" s="192"/>
      <c r="LT12" s="192"/>
      <c r="LU12" s="192"/>
      <c r="LV12" s="192"/>
      <c r="LW12" s="192"/>
      <c r="LX12" s="192"/>
      <c r="LY12" s="192"/>
      <c r="LZ12" s="192"/>
      <c r="MA12" s="192"/>
      <c r="MB12" s="192"/>
      <c r="MC12" s="192"/>
      <c r="MD12" s="192"/>
      <c r="ME12" s="192"/>
      <c r="MF12" s="192"/>
      <c r="MG12" s="192"/>
      <c r="MH12" s="192"/>
      <c r="MI12" s="192"/>
      <c r="MJ12" s="192"/>
      <c r="MK12" s="192"/>
      <c r="ML12" s="192"/>
      <c r="MM12" s="192"/>
      <c r="MN12" s="192"/>
      <c r="MO12" s="192"/>
      <c r="MP12" s="192"/>
      <c r="MQ12" s="192"/>
      <c r="MR12" s="192"/>
      <c r="MS12" s="192"/>
      <c r="MT12" s="192"/>
      <c r="MU12" s="192"/>
      <c r="MV12" s="192"/>
      <c r="MW12" s="192"/>
      <c r="MX12" s="192"/>
      <c r="MY12" s="192"/>
      <c r="MZ12" s="192"/>
      <c r="NA12" s="192"/>
      <c r="NB12" s="192" t="s">
        <v>46</v>
      </c>
      <c r="NC12" s="192"/>
      <c r="ND12" s="192"/>
      <c r="NE12" s="192"/>
      <c r="NF12" s="192"/>
      <c r="NG12" s="192"/>
      <c r="NH12" s="192"/>
      <c r="NI12" s="192"/>
      <c r="NJ12" s="192"/>
      <c r="NK12" s="192"/>
      <c r="NL12" s="192"/>
      <c r="NM12" s="192"/>
      <c r="NN12" s="192"/>
      <c r="NO12" s="192"/>
      <c r="NP12" s="192"/>
      <c r="NQ12" s="192"/>
      <c r="NR12" s="192"/>
      <c r="NS12" s="192"/>
      <c r="NT12" s="192"/>
      <c r="NU12" s="192"/>
      <c r="NV12" s="192"/>
      <c r="NW12" s="192"/>
      <c r="NX12" s="192"/>
      <c r="NY12" s="192"/>
      <c r="NZ12" s="192"/>
      <c r="OA12" s="192"/>
      <c r="OB12" s="192"/>
      <c r="OC12" s="192"/>
      <c r="OD12" s="192"/>
      <c r="OE12" s="192"/>
      <c r="OF12" s="192"/>
      <c r="OG12" s="192"/>
      <c r="OH12" s="192"/>
      <c r="OI12" s="192"/>
      <c r="OJ12" s="192"/>
      <c r="OK12" s="192"/>
      <c r="OL12" s="192"/>
      <c r="OM12" s="192"/>
      <c r="ON12" s="192"/>
      <c r="OO12" s="192"/>
      <c r="OP12" s="192"/>
      <c r="OQ12" s="192"/>
      <c r="OR12" s="192"/>
      <c r="OS12" s="192"/>
      <c r="OT12" s="192"/>
      <c r="OU12" s="192"/>
      <c r="OV12" s="192"/>
      <c r="OW12" s="192"/>
      <c r="OX12" s="192"/>
      <c r="OY12" s="192"/>
      <c r="OZ12" s="192"/>
      <c r="PA12" s="192"/>
      <c r="PB12" s="192"/>
      <c r="PC12" s="192"/>
      <c r="PD12" s="192"/>
      <c r="PE12" s="192"/>
      <c r="PF12" s="192"/>
      <c r="PG12" s="192"/>
      <c r="PH12" s="192"/>
      <c r="PI12" s="192"/>
      <c r="PJ12" s="192" t="s">
        <v>47</v>
      </c>
      <c r="PK12" s="192"/>
      <c r="PL12" s="192"/>
      <c r="PM12" s="192"/>
      <c r="PN12" s="192"/>
      <c r="PO12" s="192"/>
      <c r="PP12" s="192"/>
      <c r="PQ12" s="192"/>
      <c r="PR12" s="192"/>
      <c r="PS12" s="192"/>
      <c r="PT12" s="192"/>
      <c r="PU12" s="192"/>
      <c r="PV12" s="192"/>
      <c r="PW12" s="192"/>
      <c r="PX12" s="192"/>
      <c r="PY12" s="192"/>
      <c r="PZ12" s="192"/>
      <c r="QA12" s="192"/>
      <c r="QB12" s="192"/>
      <c r="QC12" s="192"/>
      <c r="QD12" s="192"/>
      <c r="QE12" s="192"/>
      <c r="QF12" s="192"/>
      <c r="QG12" s="192"/>
      <c r="QH12" s="192"/>
      <c r="QI12" s="192"/>
      <c r="QJ12" s="192"/>
      <c r="QK12" s="192"/>
      <c r="QL12" s="192"/>
      <c r="QM12" s="192"/>
      <c r="QN12" s="192"/>
      <c r="QO12" s="192"/>
      <c r="QP12" s="192"/>
      <c r="QQ12" s="192"/>
      <c r="QR12" s="192"/>
      <c r="QS12" s="192"/>
      <c r="QT12" s="192"/>
      <c r="QU12" s="192"/>
      <c r="QV12" s="192"/>
      <c r="QW12" s="192"/>
      <c r="QX12" s="192"/>
      <c r="QY12" s="192"/>
      <c r="QZ12" s="192"/>
      <c r="RA12" s="192"/>
      <c r="RB12" s="192"/>
      <c r="RC12" s="192"/>
      <c r="RD12" s="192"/>
      <c r="RE12" s="192"/>
      <c r="RF12" s="192"/>
      <c r="RG12" s="192"/>
      <c r="RH12" s="192"/>
      <c r="RI12" s="192"/>
      <c r="RJ12" s="192"/>
      <c r="RK12" s="192"/>
      <c r="RL12" s="192"/>
      <c r="RM12" s="192"/>
      <c r="RN12" s="192"/>
      <c r="RO12" s="192"/>
      <c r="RP12" s="192"/>
      <c r="RQ12" s="192"/>
      <c r="RR12" s="192" t="s">
        <v>46</v>
      </c>
      <c r="RS12" s="192"/>
      <c r="RT12" s="192"/>
      <c r="RU12" s="192"/>
      <c r="RV12" s="192"/>
      <c r="RW12" s="192"/>
      <c r="RX12" s="192"/>
      <c r="RY12" s="192"/>
      <c r="RZ12" s="192"/>
      <c r="SA12" s="192"/>
      <c r="SB12" s="192"/>
      <c r="SC12" s="192"/>
      <c r="SD12" s="192"/>
      <c r="SE12" s="192"/>
      <c r="SF12" s="192"/>
      <c r="SG12" s="192"/>
      <c r="SH12" s="192"/>
      <c r="SI12" s="192"/>
      <c r="SJ12" s="192"/>
      <c r="SK12" s="192"/>
      <c r="SL12" s="192"/>
      <c r="SM12" s="192"/>
      <c r="SN12" s="192"/>
      <c r="SO12" s="192"/>
      <c r="SP12" s="192"/>
      <c r="SQ12" s="192"/>
      <c r="SR12" s="192"/>
      <c r="SS12" s="192"/>
      <c r="ST12" s="192"/>
      <c r="SU12" s="192"/>
      <c r="SV12" s="192"/>
      <c r="SW12" s="192"/>
      <c r="SX12" s="192"/>
      <c r="SY12" s="192"/>
      <c r="SZ12" s="192"/>
      <c r="TA12" s="192"/>
      <c r="TB12" s="192"/>
      <c r="TC12" s="192"/>
      <c r="TD12" s="192"/>
      <c r="TE12" s="192"/>
      <c r="TF12" s="192"/>
      <c r="TG12" s="192"/>
      <c r="TH12" s="192"/>
      <c r="TI12" s="192"/>
      <c r="TJ12" s="192"/>
      <c r="TK12" s="192"/>
      <c r="TL12" s="192"/>
      <c r="TM12" s="192"/>
      <c r="TN12" s="192"/>
      <c r="TO12" s="192"/>
      <c r="TP12" s="192"/>
      <c r="TQ12" s="192"/>
      <c r="TR12" s="192"/>
      <c r="TS12" s="192"/>
      <c r="TT12" s="192"/>
      <c r="TU12" s="192"/>
      <c r="TV12" s="192"/>
      <c r="TW12" s="192"/>
      <c r="TX12" s="192"/>
      <c r="TY12" s="192"/>
      <c r="TZ12" s="192" t="s">
        <v>47</v>
      </c>
      <c r="UA12" s="192"/>
      <c r="UB12" s="192"/>
      <c r="UC12" s="192"/>
      <c r="UD12" s="192"/>
      <c r="UE12" s="192"/>
      <c r="UF12" s="192"/>
      <c r="UG12" s="192"/>
      <c r="UH12" s="192"/>
      <c r="UI12" s="192"/>
      <c r="UJ12" s="192"/>
      <c r="UK12" s="192"/>
      <c r="UL12" s="192"/>
      <c r="UM12" s="192"/>
      <c r="UN12" s="192"/>
      <c r="UO12" s="192"/>
      <c r="UP12" s="192"/>
      <c r="UQ12" s="192"/>
      <c r="UR12" s="192"/>
      <c r="US12" s="192"/>
      <c r="UT12" s="192"/>
      <c r="UU12" s="192"/>
      <c r="UV12" s="192"/>
      <c r="UW12" s="192"/>
      <c r="UX12" s="192"/>
      <c r="UY12" s="192"/>
      <c r="UZ12" s="192"/>
      <c r="VA12" s="192"/>
      <c r="VB12" s="192"/>
      <c r="VC12" s="192"/>
      <c r="VD12" s="192"/>
      <c r="VE12" s="192"/>
      <c r="VF12" s="192"/>
      <c r="VG12" s="192"/>
      <c r="VH12" s="192"/>
      <c r="VI12" s="192"/>
      <c r="VJ12" s="192"/>
      <c r="VK12" s="192"/>
      <c r="VL12" s="192"/>
      <c r="VM12" s="192"/>
      <c r="VN12" s="192"/>
      <c r="VO12" s="192"/>
      <c r="VP12" s="192"/>
      <c r="VQ12" s="192"/>
      <c r="VR12" s="192"/>
      <c r="VS12" s="192"/>
      <c r="VT12" s="192"/>
      <c r="VU12" s="192"/>
      <c r="VV12" s="192"/>
      <c r="VW12" s="192"/>
      <c r="VX12" s="192"/>
      <c r="VY12" s="192"/>
      <c r="VZ12" s="192"/>
      <c r="WA12" s="192"/>
      <c r="WB12" s="192"/>
      <c r="WC12" s="192"/>
      <c r="WD12" s="192"/>
      <c r="WE12" s="192"/>
      <c r="WF12" s="192"/>
      <c r="WG12" s="192"/>
      <c r="WH12" s="192" t="s">
        <v>46</v>
      </c>
      <c r="WI12" s="192"/>
      <c r="WJ12" s="192"/>
      <c r="WK12" s="192"/>
      <c r="WL12" s="192"/>
      <c r="WM12" s="192"/>
      <c r="WN12" s="192"/>
      <c r="WO12" s="192"/>
      <c r="WP12" s="192"/>
      <c r="WQ12" s="192"/>
      <c r="WR12" s="192"/>
      <c r="WS12" s="192"/>
      <c r="WT12" s="192"/>
      <c r="WU12" s="192"/>
      <c r="WV12" s="192"/>
      <c r="WW12" s="192"/>
      <c r="WX12" s="192"/>
      <c r="WY12" s="192"/>
      <c r="WZ12" s="192"/>
      <c r="XA12" s="192"/>
      <c r="XB12" s="192"/>
      <c r="XC12" s="192"/>
      <c r="XD12" s="192"/>
      <c r="XE12" s="192"/>
      <c r="XF12" s="192"/>
      <c r="XG12" s="192"/>
      <c r="XH12" s="192"/>
      <c r="XI12" s="192"/>
      <c r="XJ12" s="192"/>
      <c r="XK12" s="192"/>
      <c r="XL12" s="192"/>
      <c r="XM12" s="192"/>
      <c r="XN12" s="192"/>
      <c r="XO12" s="192"/>
      <c r="XP12" s="192"/>
      <c r="XQ12" s="192"/>
      <c r="XR12" s="192"/>
      <c r="XS12" s="192"/>
      <c r="XT12" s="192"/>
      <c r="XU12" s="192"/>
      <c r="XV12" s="192"/>
      <c r="XW12" s="192"/>
      <c r="XX12" s="192"/>
      <c r="XY12" s="192"/>
      <c r="XZ12" s="192"/>
      <c r="YA12" s="192"/>
      <c r="YB12" s="192"/>
      <c r="YC12" s="192"/>
      <c r="YD12" s="192"/>
      <c r="YE12" s="192"/>
      <c r="YF12" s="192"/>
      <c r="YG12" s="192"/>
      <c r="YH12" s="192"/>
      <c r="YI12" s="192"/>
      <c r="YJ12" s="192"/>
      <c r="YK12" s="192"/>
      <c r="YL12" s="192"/>
      <c r="YM12" s="192"/>
      <c r="YN12" s="192"/>
      <c r="YO12" s="192"/>
      <c r="YP12" s="192" t="s">
        <v>47</v>
      </c>
      <c r="YQ12" s="192"/>
      <c r="YR12" s="192"/>
      <c r="YS12" s="192"/>
      <c r="YT12" s="192"/>
      <c r="YU12" s="192"/>
      <c r="YV12" s="192"/>
      <c r="YW12" s="192"/>
      <c r="YX12" s="192"/>
      <c r="YY12" s="192"/>
      <c r="YZ12" s="192"/>
      <c r="ZA12" s="192"/>
      <c r="ZB12" s="192"/>
      <c r="ZC12" s="192"/>
      <c r="ZD12" s="192"/>
      <c r="ZE12" s="192"/>
      <c r="ZF12" s="192"/>
      <c r="ZG12" s="192"/>
      <c r="ZH12" s="192"/>
      <c r="ZI12" s="192"/>
      <c r="ZJ12" s="192"/>
      <c r="ZK12" s="192"/>
      <c r="ZL12" s="192"/>
      <c r="ZM12" s="192"/>
      <c r="ZN12" s="192"/>
      <c r="ZO12" s="192"/>
      <c r="ZP12" s="192"/>
      <c r="ZQ12" s="192"/>
      <c r="ZR12" s="192"/>
      <c r="ZS12" s="192"/>
      <c r="ZT12" s="192"/>
      <c r="ZU12" s="192"/>
      <c r="ZV12" s="192"/>
      <c r="ZW12" s="192"/>
      <c r="ZX12" s="192"/>
      <c r="ZY12" s="192"/>
      <c r="ZZ12" s="192"/>
      <c r="AAA12" s="192"/>
      <c r="AAB12" s="192"/>
      <c r="AAC12" s="192"/>
      <c r="AAD12" s="192"/>
      <c r="AAE12" s="192"/>
      <c r="AAF12" s="192"/>
      <c r="AAG12" s="192"/>
      <c r="AAH12" s="192"/>
      <c r="AAI12" s="192"/>
      <c r="AAJ12" s="192"/>
      <c r="AAK12" s="192"/>
      <c r="AAL12" s="192"/>
      <c r="AAM12" s="192"/>
      <c r="AAN12" s="192"/>
      <c r="AAO12" s="192"/>
      <c r="AAP12" s="192"/>
      <c r="AAQ12" s="192"/>
      <c r="AAR12" s="192"/>
      <c r="AAS12" s="192"/>
      <c r="AAT12" s="192"/>
      <c r="AAU12" s="192"/>
      <c r="AAV12" s="192"/>
      <c r="AAW12" s="192"/>
      <c r="AAX12" s="192" t="s">
        <v>47</v>
      </c>
      <c r="AAY12" s="192"/>
      <c r="AAZ12" s="192"/>
      <c r="ABA12" s="192"/>
      <c r="ABB12" s="192"/>
      <c r="ABC12" s="192"/>
      <c r="ABD12" s="192"/>
      <c r="ABE12" s="192"/>
      <c r="ABF12" s="192"/>
      <c r="ABG12" s="192"/>
      <c r="ABH12" s="192"/>
      <c r="ABI12" s="192"/>
      <c r="ABJ12" s="192"/>
      <c r="ABK12" s="192"/>
      <c r="ABL12" s="192"/>
      <c r="ABM12" s="192"/>
      <c r="ABN12" s="192"/>
      <c r="ABO12" s="192"/>
      <c r="ABP12" s="192"/>
      <c r="ABQ12" s="192"/>
      <c r="ABR12" s="192"/>
      <c r="ABS12" s="192"/>
      <c r="ABT12" s="192"/>
      <c r="ABU12" s="192"/>
      <c r="ABV12" s="192"/>
      <c r="ABW12" s="192"/>
      <c r="ABX12" s="192"/>
      <c r="ABY12" s="192"/>
      <c r="ABZ12" s="192"/>
      <c r="ACA12" s="192"/>
      <c r="ACB12" s="192"/>
      <c r="ACC12" s="192"/>
      <c r="ACD12" s="192"/>
      <c r="ACE12" s="192"/>
      <c r="ACF12" s="192"/>
      <c r="ACG12" s="192"/>
      <c r="ACH12" s="192"/>
      <c r="ACI12" s="192"/>
      <c r="ACJ12" s="192"/>
      <c r="ACK12" s="192"/>
      <c r="ACL12" s="192"/>
      <c r="ACM12" s="192"/>
      <c r="ACN12" s="192"/>
      <c r="ACO12" s="192"/>
      <c r="ACP12" s="192"/>
      <c r="ACQ12" s="192"/>
      <c r="ACR12" s="192"/>
      <c r="ACS12" s="192"/>
      <c r="ACT12" s="192"/>
      <c r="ACU12" s="192"/>
      <c r="ACV12" s="192"/>
      <c r="ACW12" s="192"/>
      <c r="ACX12" s="192"/>
      <c r="ACY12" s="192"/>
      <c r="ACZ12" s="192"/>
      <c r="ADA12" s="192"/>
      <c r="ADB12" s="192"/>
      <c r="ADC12" s="192"/>
      <c r="ADD12" s="192"/>
      <c r="ADE12" s="192"/>
      <c r="ADF12" s="192" t="s">
        <v>46</v>
      </c>
      <c r="ADG12" s="192"/>
      <c r="ADH12" s="192"/>
      <c r="ADI12" s="192"/>
      <c r="ADJ12" s="192"/>
      <c r="ADK12" s="192"/>
      <c r="ADL12" s="192"/>
      <c r="ADM12" s="192"/>
      <c r="ADN12" s="192"/>
      <c r="ADO12" s="192"/>
      <c r="ADP12" s="192"/>
      <c r="ADQ12" s="192"/>
      <c r="ADR12" s="192"/>
      <c r="ADS12" s="192"/>
      <c r="ADT12" s="192"/>
      <c r="ADU12" s="192"/>
      <c r="ADV12" s="192"/>
      <c r="ADW12" s="192"/>
      <c r="ADX12" s="192"/>
      <c r="ADY12" s="192"/>
      <c r="ADZ12" s="192"/>
      <c r="AEA12" s="192"/>
      <c r="AEB12" s="192"/>
      <c r="AEC12" s="192"/>
      <c r="AED12" s="192"/>
      <c r="AEE12" s="192"/>
      <c r="AEF12" s="192"/>
      <c r="AEG12" s="192"/>
      <c r="AEH12" s="192"/>
      <c r="AEI12" s="192"/>
      <c r="AEJ12" s="192"/>
      <c r="AEK12" s="192"/>
      <c r="AEL12" s="192"/>
      <c r="AEM12" s="192"/>
      <c r="AEN12" s="192"/>
      <c r="AEO12" s="192"/>
      <c r="AEP12" s="192"/>
      <c r="AEQ12" s="192"/>
      <c r="AER12" s="192"/>
      <c r="AES12" s="192"/>
      <c r="AET12" s="192"/>
      <c r="AEU12" s="192"/>
      <c r="AEV12" s="192"/>
      <c r="AEW12" s="192"/>
      <c r="AEX12" s="192"/>
      <c r="AEY12" s="192"/>
      <c r="AEZ12" s="192"/>
      <c r="AFA12" s="192"/>
      <c r="AFB12" s="192"/>
      <c r="AFC12" s="192"/>
      <c r="AFD12" s="192"/>
      <c r="AFE12" s="192"/>
      <c r="AFF12" s="192"/>
      <c r="AFG12" s="192"/>
      <c r="AFH12" s="192"/>
      <c r="AFI12" s="192"/>
      <c r="AFJ12" s="192"/>
      <c r="AFK12" s="192"/>
      <c r="AFL12" s="192"/>
      <c r="AFM12" s="192"/>
      <c r="AFN12" s="192" t="s">
        <v>47</v>
      </c>
      <c r="AFO12" s="192"/>
      <c r="AFP12" s="192"/>
      <c r="AFQ12" s="192"/>
      <c r="AFR12" s="192"/>
      <c r="AFS12" s="192"/>
      <c r="AFT12" s="192"/>
      <c r="AFU12" s="192"/>
      <c r="AFV12" s="192"/>
      <c r="AFW12" s="192"/>
      <c r="AFX12" s="192"/>
      <c r="AFY12" s="192"/>
      <c r="AFZ12" s="192"/>
      <c r="AGA12" s="192"/>
      <c r="AGB12" s="192"/>
      <c r="AGC12" s="192"/>
      <c r="AGD12" s="192"/>
      <c r="AGE12" s="192"/>
      <c r="AGF12" s="192"/>
      <c r="AGG12" s="192"/>
      <c r="AGH12" s="192"/>
      <c r="AGI12" s="192"/>
      <c r="AGJ12" s="192"/>
      <c r="AGK12" s="192"/>
      <c r="AGL12" s="192"/>
      <c r="AGM12" s="192"/>
      <c r="AGN12" s="192"/>
      <c r="AGO12" s="192"/>
      <c r="AGP12" s="192"/>
      <c r="AGQ12" s="192"/>
      <c r="AGR12" s="192"/>
      <c r="AGS12" s="192"/>
      <c r="AGT12" s="192"/>
      <c r="AGU12" s="192"/>
      <c r="AGV12" s="192"/>
      <c r="AGW12" s="192"/>
      <c r="AGX12" s="192"/>
      <c r="AGY12" s="192"/>
      <c r="AGZ12" s="192"/>
      <c r="AHA12" s="192"/>
      <c r="AHB12" s="192"/>
      <c r="AHC12" s="192"/>
      <c r="AHD12" s="192"/>
      <c r="AHE12" s="192"/>
      <c r="AHF12" s="192"/>
      <c r="AHG12" s="192"/>
      <c r="AHH12" s="192"/>
      <c r="AHI12" s="192"/>
      <c r="AHJ12" s="192"/>
      <c r="AHK12" s="192"/>
      <c r="AHL12" s="192"/>
      <c r="AHM12" s="192"/>
      <c r="AHN12" s="192"/>
      <c r="AHO12" s="192"/>
      <c r="AHP12" s="192"/>
      <c r="AHQ12" s="192"/>
      <c r="AHR12" s="192"/>
      <c r="AHS12" s="192"/>
      <c r="AHT12" s="192"/>
      <c r="AHU12" s="192"/>
      <c r="AHV12" s="192" t="s">
        <v>46</v>
      </c>
      <c r="AHW12" s="192"/>
      <c r="AHX12" s="192"/>
      <c r="AHY12" s="192"/>
      <c r="AHZ12" s="192"/>
      <c r="AIA12" s="192"/>
      <c r="AIB12" s="192"/>
      <c r="AIC12" s="192"/>
      <c r="AID12" s="192"/>
      <c r="AIE12" s="192"/>
      <c r="AIF12" s="192"/>
      <c r="AIG12" s="192"/>
      <c r="AIH12" s="192"/>
      <c r="AII12" s="192"/>
      <c r="AIJ12" s="192"/>
      <c r="AIK12" s="192"/>
      <c r="AIL12" s="192"/>
      <c r="AIM12" s="192"/>
      <c r="AIN12" s="192"/>
      <c r="AIO12" s="192"/>
      <c r="AIP12" s="192"/>
      <c r="AIQ12" s="192"/>
      <c r="AIR12" s="192"/>
      <c r="AIS12" s="192"/>
      <c r="AIT12" s="192"/>
      <c r="AIU12" s="192"/>
      <c r="AIV12" s="192"/>
      <c r="AIW12" s="192"/>
      <c r="AIX12" s="192"/>
      <c r="AIY12" s="192"/>
      <c r="AIZ12" s="192"/>
      <c r="AJA12" s="192"/>
      <c r="AJB12" s="192"/>
      <c r="AJC12" s="192"/>
      <c r="AJD12" s="192"/>
      <c r="AJE12" s="192"/>
      <c r="AJF12" s="192"/>
      <c r="AJG12" s="192"/>
      <c r="AJH12" s="192"/>
      <c r="AJI12" s="192"/>
      <c r="AJJ12" s="192"/>
      <c r="AJK12" s="192"/>
      <c r="AJL12" s="192"/>
      <c r="AJM12" s="192"/>
      <c r="AJN12" s="192"/>
      <c r="AJO12" s="192"/>
      <c r="AJP12" s="192"/>
      <c r="AJQ12" s="192"/>
      <c r="AJR12" s="192"/>
      <c r="AJS12" s="192"/>
      <c r="AJT12" s="192"/>
      <c r="AJU12" s="192"/>
      <c r="AJV12" s="192"/>
      <c r="AJW12" s="192"/>
      <c r="AJX12" s="192"/>
      <c r="AJY12" s="192"/>
      <c r="AJZ12" s="192"/>
      <c r="AKA12" s="192"/>
      <c r="AKB12" s="192"/>
      <c r="AKC12" s="192"/>
      <c r="AKD12" s="192" t="s">
        <v>47</v>
      </c>
      <c r="AKE12" s="192"/>
      <c r="AKF12" s="192"/>
      <c r="AKG12" s="192"/>
      <c r="AKH12" s="192"/>
      <c r="AKI12" s="192"/>
      <c r="AKJ12" s="192"/>
      <c r="AKK12" s="192"/>
      <c r="AKL12" s="192"/>
      <c r="AKM12" s="192"/>
      <c r="AKN12" s="192"/>
      <c r="AKO12" s="192"/>
      <c r="AKP12" s="192"/>
      <c r="AKQ12" s="192"/>
      <c r="AKR12" s="192"/>
      <c r="AKS12" s="192"/>
      <c r="AKT12" s="192"/>
      <c r="AKU12" s="192"/>
      <c r="AKV12" s="192"/>
      <c r="AKW12" s="192"/>
      <c r="AKX12" s="192"/>
      <c r="AKY12" s="192"/>
      <c r="AKZ12" s="192"/>
      <c r="ALA12" s="192"/>
      <c r="ALB12" s="192"/>
      <c r="ALC12" s="192"/>
      <c r="ALD12" s="192"/>
      <c r="ALE12" s="192"/>
      <c r="ALF12" s="192"/>
      <c r="ALG12" s="192"/>
      <c r="ALH12" s="192"/>
      <c r="ALI12" s="192"/>
      <c r="ALJ12" s="192"/>
      <c r="ALK12" s="192"/>
      <c r="ALL12" s="192"/>
      <c r="ALM12" s="192"/>
      <c r="ALN12" s="192"/>
      <c r="ALO12" s="192"/>
      <c r="ALP12" s="192"/>
      <c r="ALQ12" s="192"/>
      <c r="ALR12" s="192"/>
      <c r="ALS12" s="192"/>
      <c r="ALT12" s="192"/>
      <c r="ALU12" s="192"/>
      <c r="ALV12" s="192"/>
      <c r="ALW12" s="192"/>
      <c r="ALX12" s="192"/>
      <c r="ALY12" s="192"/>
      <c r="ALZ12" s="192"/>
      <c r="AMA12" s="192"/>
      <c r="AMB12" s="192"/>
      <c r="AMC12" s="192"/>
      <c r="AMD12" s="192"/>
      <c r="AME12" s="192"/>
      <c r="AMF12" s="192"/>
      <c r="AMG12" s="192"/>
      <c r="AMH12" s="192"/>
      <c r="AMI12" s="192"/>
      <c r="AMJ12" s="192"/>
      <c r="AMK12" s="192"/>
      <c r="AML12" s="192" t="s">
        <v>46</v>
      </c>
      <c r="AMM12" s="192"/>
      <c r="AMN12" s="192"/>
      <c r="AMO12" s="192"/>
      <c r="AMP12" s="192"/>
      <c r="AMQ12" s="192"/>
      <c r="AMR12" s="192"/>
      <c r="AMS12" s="192"/>
      <c r="AMT12" s="192"/>
      <c r="AMU12" s="192"/>
      <c r="AMV12" s="192"/>
      <c r="AMW12" s="192"/>
      <c r="AMX12" s="192"/>
      <c r="AMY12" s="192"/>
      <c r="AMZ12" s="192"/>
      <c r="ANA12" s="192"/>
      <c r="ANB12" s="192"/>
      <c r="ANC12" s="192"/>
      <c r="AND12" s="192"/>
      <c r="ANE12" s="192"/>
      <c r="ANF12" s="192"/>
      <c r="ANG12" s="192"/>
      <c r="ANH12" s="192"/>
      <c r="ANI12" s="192"/>
      <c r="ANJ12" s="192"/>
      <c r="ANK12" s="192"/>
      <c r="ANL12" s="192"/>
      <c r="ANM12" s="192"/>
      <c r="ANN12" s="192"/>
      <c r="ANO12" s="192"/>
      <c r="ANP12" s="192"/>
      <c r="ANQ12" s="192"/>
      <c r="ANR12" s="192"/>
      <c r="ANS12" s="192"/>
      <c r="ANT12" s="192"/>
      <c r="ANU12" s="192"/>
      <c r="ANV12" s="192"/>
      <c r="ANW12" s="192"/>
      <c r="ANX12" s="192"/>
      <c r="ANY12" s="192"/>
      <c r="ANZ12" s="192"/>
      <c r="AOA12" s="192"/>
      <c r="AOB12" s="192"/>
      <c r="AOC12" s="192"/>
      <c r="AOD12" s="192"/>
      <c r="AOE12" s="192"/>
      <c r="AOF12" s="192"/>
      <c r="AOG12" s="192"/>
      <c r="AOH12" s="192"/>
      <c r="AOI12" s="192"/>
      <c r="AOJ12" s="192"/>
      <c r="AOK12" s="192"/>
      <c r="AOL12" s="192"/>
      <c r="AOM12" s="192"/>
      <c r="AON12" s="192"/>
      <c r="AOO12" s="192"/>
      <c r="AOP12" s="192"/>
      <c r="AOQ12" s="192"/>
      <c r="AOR12" s="192"/>
      <c r="AOS12" s="192"/>
      <c r="AOT12" s="192" t="s">
        <v>47</v>
      </c>
      <c r="AOU12" s="192"/>
      <c r="AOV12" s="192"/>
      <c r="AOW12" s="192"/>
      <c r="AOX12" s="192"/>
      <c r="AOY12" s="192"/>
      <c r="AOZ12" s="192"/>
      <c r="APA12" s="192"/>
      <c r="APB12" s="192"/>
      <c r="APC12" s="192"/>
      <c r="APD12" s="192"/>
      <c r="APE12" s="192"/>
      <c r="APF12" s="192"/>
      <c r="APG12" s="192"/>
      <c r="APH12" s="192"/>
      <c r="API12" s="192"/>
      <c r="APJ12" s="192"/>
      <c r="APK12" s="192"/>
      <c r="APL12" s="192"/>
      <c r="APM12" s="192"/>
      <c r="APN12" s="192"/>
      <c r="APO12" s="192"/>
      <c r="APP12" s="192"/>
      <c r="APQ12" s="192"/>
      <c r="APR12" s="192"/>
      <c r="APS12" s="192"/>
      <c r="APT12" s="192"/>
      <c r="APU12" s="192"/>
      <c r="APV12" s="192"/>
      <c r="APW12" s="192"/>
      <c r="APX12" s="192"/>
      <c r="APY12" s="192"/>
      <c r="APZ12" s="192"/>
      <c r="AQA12" s="192"/>
      <c r="AQB12" s="192"/>
      <c r="AQC12" s="192"/>
      <c r="AQD12" s="192"/>
      <c r="AQE12" s="192"/>
      <c r="AQF12" s="192"/>
      <c r="AQG12" s="192"/>
      <c r="AQH12" s="192"/>
      <c r="AQI12" s="192"/>
      <c r="AQJ12" s="192"/>
      <c r="AQK12" s="192"/>
      <c r="AQL12" s="192"/>
      <c r="AQM12" s="192"/>
      <c r="AQN12" s="192"/>
      <c r="AQO12" s="192"/>
      <c r="AQP12" s="192"/>
      <c r="AQQ12" s="192"/>
      <c r="AQR12" s="192"/>
      <c r="AQS12" s="192"/>
      <c r="AQT12" s="192"/>
      <c r="AQU12" s="192"/>
      <c r="AQV12" s="192"/>
      <c r="AQW12" s="192"/>
      <c r="AQX12" s="192"/>
      <c r="AQY12" s="192"/>
      <c r="AQZ12" s="192"/>
      <c r="ARA12" s="192"/>
      <c r="ARB12" s="192" t="s">
        <v>46</v>
      </c>
      <c r="ARC12" s="192"/>
      <c r="ARD12" s="192"/>
      <c r="ARE12" s="192"/>
      <c r="ARF12" s="192"/>
      <c r="ARG12" s="192"/>
      <c r="ARH12" s="192"/>
      <c r="ARI12" s="192"/>
      <c r="ARJ12" s="192"/>
      <c r="ARK12" s="192"/>
      <c r="ARL12" s="192"/>
      <c r="ARM12" s="192"/>
      <c r="ARN12" s="192"/>
      <c r="ARO12" s="192"/>
      <c r="ARP12" s="192"/>
      <c r="ARQ12" s="192"/>
      <c r="ARR12" s="192"/>
      <c r="ARS12" s="192"/>
      <c r="ART12" s="192"/>
      <c r="ARU12" s="192"/>
      <c r="ARV12" s="192"/>
      <c r="ARW12" s="192"/>
      <c r="ARX12" s="192"/>
      <c r="ARY12" s="192"/>
      <c r="ARZ12" s="192"/>
      <c r="ASA12" s="192"/>
      <c r="ASB12" s="192"/>
      <c r="ASC12" s="192"/>
      <c r="ASD12" s="192"/>
      <c r="ASE12" s="192"/>
      <c r="ASF12" s="192"/>
      <c r="ASG12" s="192"/>
      <c r="ASH12" s="192"/>
      <c r="ASI12" s="192"/>
      <c r="ASJ12" s="192"/>
      <c r="ASK12" s="192"/>
      <c r="ASL12" s="192"/>
      <c r="ASM12" s="192"/>
      <c r="ASN12" s="192"/>
      <c r="ASO12" s="192"/>
      <c r="ASP12" s="192"/>
      <c r="ASQ12" s="192"/>
      <c r="ASR12" s="192"/>
      <c r="ASS12" s="192"/>
      <c r="AST12" s="192"/>
      <c r="ASU12" s="192"/>
      <c r="ASV12" s="192"/>
      <c r="ASW12" s="192"/>
      <c r="ASX12" s="192"/>
      <c r="ASY12" s="192"/>
      <c r="ASZ12" s="192"/>
      <c r="ATA12" s="192"/>
      <c r="ATB12" s="192"/>
      <c r="ATC12" s="192"/>
      <c r="ATD12" s="192"/>
      <c r="ATE12" s="192"/>
      <c r="ATF12" s="192"/>
      <c r="ATG12" s="192"/>
      <c r="ATH12" s="192"/>
      <c r="ATI12" s="192"/>
      <c r="ATJ12" s="192" t="s">
        <v>47</v>
      </c>
      <c r="ATK12" s="192"/>
      <c r="ATL12" s="192"/>
      <c r="ATM12" s="192"/>
      <c r="ATN12" s="192"/>
      <c r="ATO12" s="192"/>
      <c r="ATP12" s="192"/>
      <c r="ATQ12" s="192"/>
      <c r="ATR12" s="192"/>
      <c r="ATS12" s="192"/>
      <c r="ATT12" s="192"/>
      <c r="ATU12" s="192"/>
      <c r="ATV12" s="192"/>
      <c r="ATW12" s="192"/>
      <c r="ATX12" s="192"/>
      <c r="ATY12" s="192"/>
      <c r="ATZ12" s="192"/>
      <c r="AUA12" s="192"/>
      <c r="AUB12" s="192"/>
      <c r="AUC12" s="192"/>
      <c r="AUD12" s="192"/>
      <c r="AUE12" s="192"/>
      <c r="AUF12" s="192"/>
      <c r="AUG12" s="192"/>
      <c r="AUH12" s="192"/>
      <c r="AUI12" s="192"/>
      <c r="AUJ12" s="192"/>
      <c r="AUK12" s="192"/>
      <c r="AUL12" s="192"/>
      <c r="AUM12" s="192"/>
      <c r="AUN12" s="192"/>
      <c r="AUO12" s="192"/>
      <c r="AUP12" s="192"/>
      <c r="AUQ12" s="192"/>
      <c r="AUR12" s="192"/>
      <c r="AUS12" s="192"/>
      <c r="AUT12" s="192"/>
      <c r="AUU12" s="192"/>
      <c r="AUV12" s="192"/>
      <c r="AUW12" s="192"/>
      <c r="AUX12" s="192"/>
      <c r="AUY12" s="192"/>
      <c r="AUZ12" s="192"/>
      <c r="AVA12" s="192"/>
      <c r="AVB12" s="192"/>
      <c r="AVC12" s="192"/>
      <c r="AVD12" s="192"/>
      <c r="AVE12" s="192"/>
      <c r="AVF12" s="192"/>
      <c r="AVG12" s="192"/>
      <c r="AVH12" s="192"/>
      <c r="AVI12" s="192"/>
      <c r="AVJ12" s="192"/>
      <c r="AVK12" s="192"/>
      <c r="AVL12" s="192"/>
      <c r="AVM12" s="192"/>
      <c r="AVN12" s="192"/>
      <c r="AVO12" s="192"/>
      <c r="AVP12" s="192"/>
      <c r="AVQ12" s="192"/>
      <c r="AVR12" s="192" t="s">
        <v>47</v>
      </c>
      <c r="AVS12" s="192"/>
      <c r="AVT12" s="192"/>
      <c r="AVU12" s="192"/>
      <c r="AVV12" s="192"/>
      <c r="AVW12" s="192"/>
      <c r="AVX12" s="192"/>
      <c r="AVY12" s="192"/>
      <c r="AVZ12" s="192"/>
      <c r="AWA12" s="192"/>
      <c r="AWB12" s="192"/>
      <c r="AWC12" s="192"/>
      <c r="AWD12" s="192"/>
      <c r="AWE12" s="192"/>
      <c r="AWF12" s="192"/>
      <c r="AWG12" s="192"/>
      <c r="AWH12" s="192"/>
      <c r="AWI12" s="192"/>
      <c r="AWJ12" s="192"/>
      <c r="AWK12" s="192"/>
      <c r="AWL12" s="192"/>
      <c r="AWM12" s="192"/>
      <c r="AWN12" s="192"/>
      <c r="AWO12" s="192"/>
      <c r="AWP12" s="192"/>
      <c r="AWQ12" s="192"/>
      <c r="AWR12" s="192"/>
      <c r="AWS12" s="192"/>
      <c r="AWT12" s="192"/>
      <c r="AWU12" s="192"/>
      <c r="AWV12" s="192"/>
      <c r="AWW12" s="192"/>
      <c r="AWX12" s="192"/>
      <c r="AWY12" s="192"/>
      <c r="AWZ12" s="192"/>
      <c r="AXA12" s="192"/>
      <c r="AXB12" s="192"/>
      <c r="AXC12" s="192"/>
      <c r="AXD12" s="192"/>
      <c r="AXE12" s="192"/>
      <c r="AXF12" s="192"/>
      <c r="AXG12" s="192"/>
      <c r="AXH12" s="192"/>
      <c r="AXI12" s="192"/>
      <c r="AXJ12" s="192"/>
      <c r="AXK12" s="192"/>
      <c r="AXL12" s="192"/>
      <c r="AXM12" s="192"/>
      <c r="AXN12" s="192"/>
      <c r="AXO12" s="192"/>
      <c r="AXP12" s="192"/>
      <c r="AXQ12" s="192"/>
      <c r="AXR12" s="192"/>
      <c r="AXS12" s="192"/>
      <c r="AXT12" s="192"/>
      <c r="AXU12" s="192"/>
      <c r="AXV12" s="192"/>
      <c r="AXW12" s="192"/>
      <c r="AXX12" s="192"/>
      <c r="AXY12" s="192"/>
      <c r="AXZ12" s="192" t="s">
        <v>46</v>
      </c>
      <c r="AYA12" s="192"/>
      <c r="AYB12" s="192"/>
      <c r="AYC12" s="192"/>
      <c r="AYD12" s="192"/>
      <c r="AYE12" s="192"/>
      <c r="AYF12" s="192"/>
      <c r="AYG12" s="192"/>
      <c r="AYH12" s="192"/>
      <c r="AYI12" s="192"/>
      <c r="AYJ12" s="192"/>
      <c r="AYK12" s="192"/>
      <c r="AYL12" s="192"/>
      <c r="AYM12" s="192"/>
      <c r="AYN12" s="192"/>
      <c r="AYO12" s="192"/>
      <c r="AYP12" s="192"/>
      <c r="AYQ12" s="192"/>
      <c r="AYR12" s="192"/>
      <c r="AYS12" s="192"/>
      <c r="AYT12" s="192"/>
      <c r="AYU12" s="192"/>
      <c r="AYV12" s="192"/>
      <c r="AYW12" s="192"/>
      <c r="AYX12" s="192"/>
      <c r="AYY12" s="192"/>
      <c r="AYZ12" s="192"/>
      <c r="AZA12" s="192"/>
      <c r="AZB12" s="192"/>
      <c r="AZC12" s="192"/>
      <c r="AZD12" s="192"/>
      <c r="AZE12" s="192"/>
      <c r="AZF12" s="192"/>
      <c r="AZG12" s="192"/>
      <c r="AZH12" s="192"/>
      <c r="AZI12" s="192"/>
      <c r="AZJ12" s="192"/>
      <c r="AZK12" s="192"/>
      <c r="AZL12" s="192"/>
      <c r="AZM12" s="192"/>
      <c r="AZN12" s="192"/>
      <c r="AZO12" s="192"/>
      <c r="AZP12" s="192"/>
      <c r="AZQ12" s="192"/>
      <c r="AZR12" s="192"/>
      <c r="AZS12" s="192"/>
      <c r="AZT12" s="192"/>
      <c r="AZU12" s="192"/>
      <c r="AZV12" s="192"/>
      <c r="AZW12" s="192"/>
      <c r="AZX12" s="192"/>
      <c r="AZY12" s="192"/>
      <c r="AZZ12" s="192"/>
      <c r="BAA12" s="192"/>
      <c r="BAB12" s="192"/>
      <c r="BAC12" s="192"/>
      <c r="BAD12" s="192"/>
      <c r="BAE12" s="192"/>
      <c r="BAF12" s="192"/>
      <c r="BAG12" s="192"/>
      <c r="BAH12" s="192" t="s">
        <v>47</v>
      </c>
      <c r="BAI12" s="192"/>
      <c r="BAJ12" s="192"/>
      <c r="BAK12" s="192"/>
      <c r="BAL12" s="192"/>
      <c r="BAM12" s="192"/>
      <c r="BAN12" s="192"/>
      <c r="BAO12" s="192"/>
      <c r="BAP12" s="192"/>
      <c r="BAQ12" s="192"/>
      <c r="BAR12" s="192"/>
      <c r="BAS12" s="192"/>
      <c r="BAT12" s="192"/>
      <c r="BAU12" s="192"/>
      <c r="BAV12" s="192"/>
      <c r="BAW12" s="192"/>
      <c r="BAX12" s="192"/>
      <c r="BAY12" s="192"/>
      <c r="BAZ12" s="192"/>
      <c r="BBA12" s="192"/>
      <c r="BBB12" s="192"/>
      <c r="BBC12" s="192"/>
      <c r="BBD12" s="192"/>
      <c r="BBE12" s="192"/>
      <c r="BBF12" s="192"/>
      <c r="BBG12" s="192"/>
      <c r="BBH12" s="192"/>
      <c r="BBI12" s="192"/>
      <c r="BBJ12" s="192"/>
      <c r="BBK12" s="192"/>
      <c r="BBL12" s="192"/>
      <c r="BBM12" s="192"/>
      <c r="BBN12" s="192"/>
      <c r="BBO12" s="192"/>
      <c r="BBP12" s="192"/>
      <c r="BBQ12" s="192"/>
      <c r="BBR12" s="192"/>
      <c r="BBS12" s="192"/>
      <c r="BBT12" s="192"/>
      <c r="BBU12" s="192"/>
      <c r="BBV12" s="192"/>
      <c r="BBW12" s="192"/>
      <c r="BBX12" s="192"/>
      <c r="BBY12" s="192"/>
      <c r="BBZ12" s="192"/>
      <c r="BCA12" s="192"/>
      <c r="BCB12" s="192"/>
      <c r="BCC12" s="192"/>
      <c r="BCD12" s="192"/>
      <c r="BCE12" s="192"/>
      <c r="BCF12" s="192"/>
      <c r="BCG12" s="192"/>
      <c r="BCH12" s="192"/>
      <c r="BCI12" s="192"/>
      <c r="BCJ12" s="192"/>
      <c r="BCK12" s="192"/>
      <c r="BCL12" s="192"/>
      <c r="BCM12" s="192"/>
      <c r="BCN12" s="192"/>
      <c r="BCO12" s="192"/>
      <c r="BCP12" s="192" t="s">
        <v>46</v>
      </c>
      <c r="BCQ12" s="192"/>
      <c r="BCR12" s="192"/>
      <c r="BCS12" s="192"/>
      <c r="BCT12" s="192"/>
      <c r="BCU12" s="192"/>
      <c r="BCV12" s="192"/>
      <c r="BCW12" s="192"/>
      <c r="BCX12" s="192"/>
      <c r="BCY12" s="192"/>
      <c r="BCZ12" s="192"/>
      <c r="BDA12" s="192"/>
      <c r="BDB12" s="192"/>
      <c r="BDC12" s="192"/>
      <c r="BDD12" s="192"/>
      <c r="BDE12" s="192"/>
      <c r="BDF12" s="192"/>
      <c r="BDG12" s="192"/>
      <c r="BDH12" s="192"/>
      <c r="BDI12" s="192"/>
      <c r="BDJ12" s="192"/>
      <c r="BDK12" s="192"/>
      <c r="BDL12" s="192"/>
      <c r="BDM12" s="192"/>
      <c r="BDN12" s="192"/>
      <c r="BDO12" s="192"/>
      <c r="BDP12" s="192"/>
      <c r="BDQ12" s="192"/>
      <c r="BDR12" s="192"/>
      <c r="BDS12" s="192"/>
      <c r="BDT12" s="192"/>
      <c r="BDU12" s="192"/>
      <c r="BDV12" s="192"/>
      <c r="BDW12" s="192"/>
      <c r="BDX12" s="192"/>
      <c r="BDY12" s="192"/>
      <c r="BDZ12" s="192"/>
      <c r="BEA12" s="192"/>
      <c r="BEB12" s="192"/>
      <c r="BEC12" s="192"/>
      <c r="BED12" s="192"/>
      <c r="BEE12" s="192"/>
      <c r="BEF12" s="192"/>
      <c r="BEG12" s="192"/>
      <c r="BEH12" s="192"/>
      <c r="BEI12" s="192"/>
      <c r="BEJ12" s="192"/>
      <c r="BEK12" s="192"/>
      <c r="BEL12" s="192"/>
      <c r="BEM12" s="192"/>
      <c r="BEN12" s="192"/>
      <c r="BEO12" s="192"/>
      <c r="BEP12" s="192"/>
      <c r="BEQ12" s="192"/>
      <c r="BER12" s="192"/>
      <c r="BES12" s="192"/>
      <c r="BET12" s="192"/>
      <c r="BEU12" s="192"/>
      <c r="BEV12" s="192"/>
      <c r="BEW12" s="192"/>
      <c r="BEX12" s="192" t="s">
        <v>47</v>
      </c>
      <c r="BEY12" s="192"/>
      <c r="BEZ12" s="192"/>
      <c r="BFA12" s="192"/>
      <c r="BFB12" s="192"/>
      <c r="BFC12" s="192"/>
      <c r="BFD12" s="192"/>
      <c r="BFE12" s="192"/>
      <c r="BFF12" s="192"/>
      <c r="BFG12" s="192"/>
      <c r="BFH12" s="192"/>
      <c r="BFI12" s="192"/>
      <c r="BFJ12" s="192"/>
      <c r="BFK12" s="192"/>
      <c r="BFL12" s="192"/>
      <c r="BFM12" s="192"/>
      <c r="BFN12" s="192"/>
      <c r="BFO12" s="192"/>
      <c r="BFP12" s="192"/>
      <c r="BFQ12" s="192"/>
      <c r="BFR12" s="192"/>
      <c r="BFS12" s="192"/>
      <c r="BFT12" s="192"/>
      <c r="BFU12" s="192"/>
      <c r="BFV12" s="192"/>
      <c r="BFW12" s="192"/>
      <c r="BFX12" s="192"/>
      <c r="BFY12" s="192"/>
      <c r="BFZ12" s="192"/>
      <c r="BGA12" s="192"/>
      <c r="BGB12" s="192"/>
      <c r="BGC12" s="192"/>
      <c r="BGD12" s="192"/>
      <c r="BGE12" s="192"/>
      <c r="BGF12" s="192"/>
      <c r="BGG12" s="192"/>
      <c r="BGH12" s="192"/>
      <c r="BGI12" s="192"/>
      <c r="BGJ12" s="192"/>
      <c r="BGK12" s="192"/>
      <c r="BGL12" s="192"/>
      <c r="BGM12" s="192"/>
      <c r="BGN12" s="192"/>
      <c r="BGO12" s="192"/>
      <c r="BGP12" s="192"/>
      <c r="BGQ12" s="192"/>
      <c r="BGR12" s="192"/>
      <c r="BGS12" s="192"/>
      <c r="BGT12" s="192"/>
      <c r="BGU12" s="192"/>
      <c r="BGV12" s="192"/>
      <c r="BGW12" s="192"/>
      <c r="BGX12" s="192"/>
      <c r="BGY12" s="192"/>
      <c r="BGZ12" s="192"/>
      <c r="BHA12" s="192"/>
      <c r="BHB12" s="192"/>
      <c r="BHC12" s="192"/>
      <c r="BHD12" s="192"/>
      <c r="BHE12" s="192"/>
      <c r="BHF12" s="192" t="s">
        <v>46</v>
      </c>
      <c r="BHG12" s="192"/>
      <c r="BHH12" s="192"/>
      <c r="BHI12" s="192"/>
      <c r="BHJ12" s="192"/>
      <c r="BHK12" s="192"/>
      <c r="BHL12" s="192"/>
      <c r="BHM12" s="192"/>
      <c r="BHN12" s="192"/>
      <c r="BHO12" s="192"/>
      <c r="BHP12" s="192"/>
      <c r="BHQ12" s="192"/>
      <c r="BHR12" s="192"/>
      <c r="BHS12" s="192"/>
      <c r="BHT12" s="192"/>
      <c r="BHU12" s="192"/>
      <c r="BHV12" s="192"/>
      <c r="BHW12" s="192"/>
      <c r="BHX12" s="192"/>
      <c r="BHY12" s="192"/>
      <c r="BHZ12" s="192"/>
      <c r="BIA12" s="192"/>
      <c r="BIB12" s="192"/>
      <c r="BIC12" s="192"/>
      <c r="BID12" s="192"/>
      <c r="BIE12" s="192"/>
      <c r="BIF12" s="192"/>
      <c r="BIG12" s="192"/>
      <c r="BIH12" s="192"/>
      <c r="BII12" s="192"/>
      <c r="BIJ12" s="192"/>
      <c r="BIK12" s="192"/>
      <c r="BIL12" s="192"/>
      <c r="BIM12" s="192"/>
      <c r="BIN12" s="192"/>
      <c r="BIO12" s="192"/>
      <c r="BIP12" s="192"/>
      <c r="BIQ12" s="192"/>
      <c r="BIR12" s="192"/>
      <c r="BIS12" s="192"/>
      <c r="BIT12" s="192"/>
      <c r="BIU12" s="192"/>
      <c r="BIV12" s="192"/>
      <c r="BIW12" s="192"/>
      <c r="BIX12" s="192"/>
      <c r="BIY12" s="192"/>
      <c r="BIZ12" s="192"/>
      <c r="BJA12" s="192"/>
      <c r="BJB12" s="192"/>
      <c r="BJC12" s="192"/>
      <c r="BJD12" s="192"/>
      <c r="BJE12" s="192"/>
      <c r="BJF12" s="192"/>
      <c r="BJG12" s="192"/>
      <c r="BJH12" s="192"/>
      <c r="BJI12" s="192"/>
      <c r="BJJ12" s="192"/>
      <c r="BJK12" s="192"/>
      <c r="BJL12" s="192"/>
      <c r="BJM12" s="192"/>
      <c r="BJN12" s="192"/>
      <c r="BJO12" s="192"/>
      <c r="BJP12" s="192"/>
      <c r="BJQ12" s="192"/>
      <c r="BJR12" s="192"/>
      <c r="BJS12" s="192"/>
      <c r="BJT12" s="192"/>
      <c r="BJU12" s="192"/>
      <c r="BJV12" s="192"/>
      <c r="BJW12" s="192"/>
      <c r="BJX12" s="192"/>
      <c r="BJY12" s="192"/>
      <c r="BJZ12" s="192"/>
      <c r="BKA12" s="192"/>
      <c r="BKB12" s="192"/>
      <c r="BKC12" s="192"/>
      <c r="BKD12" s="192"/>
      <c r="BKE12" s="192"/>
      <c r="BKF12" s="192"/>
      <c r="BKG12" s="192"/>
      <c r="BKH12" s="192"/>
      <c r="BKI12" s="192"/>
      <c r="BKJ12" s="192"/>
      <c r="BKK12" s="192"/>
      <c r="BKL12" s="192"/>
      <c r="BKM12" s="192"/>
      <c r="BKN12" s="192"/>
      <c r="BKO12" s="192"/>
      <c r="BKP12" s="192"/>
      <c r="BKQ12" s="192"/>
      <c r="BKR12" s="192"/>
      <c r="BKS12" s="192"/>
      <c r="BKT12" s="192"/>
      <c r="BKU12" s="192"/>
      <c r="BKV12" s="192"/>
      <c r="BKW12" s="192"/>
      <c r="BKX12" s="192"/>
      <c r="BKY12" s="192"/>
      <c r="BKZ12" s="192"/>
      <c r="BLA12" s="192"/>
      <c r="BLB12" s="192"/>
      <c r="BLC12" s="192"/>
      <c r="BLD12" s="192"/>
      <c r="BLE12" s="192"/>
      <c r="BLF12" s="192"/>
      <c r="BLG12" s="192"/>
      <c r="BLH12" s="192"/>
      <c r="BLI12" s="192"/>
      <c r="BLJ12" s="192"/>
      <c r="BLK12" s="192"/>
      <c r="BLL12" s="192"/>
      <c r="BLM12" s="192"/>
      <c r="BLN12" s="192"/>
      <c r="BLO12" s="192"/>
      <c r="BLP12" s="192"/>
      <c r="BLQ12" s="192"/>
      <c r="BLR12" s="192"/>
      <c r="BLS12" s="192"/>
      <c r="BLT12" s="192"/>
      <c r="BLU12" s="192"/>
      <c r="BLV12" s="192"/>
      <c r="BLW12" s="192"/>
      <c r="BLX12" s="192"/>
      <c r="BLY12" s="192"/>
      <c r="BLZ12" s="192"/>
      <c r="BMA12" s="192"/>
      <c r="BMB12" s="192"/>
      <c r="BMC12" s="192"/>
      <c r="BMD12" s="192"/>
      <c r="BME12" s="192"/>
      <c r="BMF12" s="192"/>
      <c r="BMG12" s="192"/>
      <c r="BMH12" s="192"/>
      <c r="BMI12" s="192"/>
      <c r="BMJ12" s="192"/>
      <c r="BMK12" s="192"/>
      <c r="BML12" s="192"/>
      <c r="BMM12" s="192"/>
      <c r="BMN12" s="192"/>
      <c r="BMO12" s="192"/>
      <c r="BMP12" s="192"/>
      <c r="BMQ12" s="192"/>
      <c r="BMR12" s="192"/>
      <c r="BMS12" s="192"/>
      <c r="BMT12" s="192"/>
      <c r="BMU12" s="192"/>
      <c r="BMV12" s="192"/>
      <c r="BMW12" s="192"/>
      <c r="BMX12" s="192"/>
      <c r="BMY12" s="192"/>
      <c r="BMZ12" s="192"/>
      <c r="BNA12" s="192"/>
      <c r="BNB12" s="192"/>
      <c r="BNC12" s="192"/>
      <c r="BND12" s="192"/>
      <c r="BNE12" s="192"/>
      <c r="BNF12" s="192"/>
      <c r="BNG12" s="192"/>
      <c r="BNH12" s="192"/>
      <c r="BNI12" s="192"/>
      <c r="BNJ12" s="192"/>
      <c r="BNK12" s="192"/>
      <c r="BNL12" s="192"/>
      <c r="BNM12" s="192"/>
      <c r="BNN12" s="192"/>
      <c r="BNO12" s="192"/>
      <c r="BNP12" s="192"/>
      <c r="BNQ12" s="192"/>
      <c r="BNR12" s="192"/>
      <c r="BNS12" s="192"/>
      <c r="BNT12" s="192"/>
      <c r="BNU12" s="192"/>
      <c r="BNV12" s="192"/>
      <c r="BNW12" s="192"/>
      <c r="BNX12" s="192"/>
      <c r="BNY12" s="192"/>
      <c r="BNZ12" s="192"/>
      <c r="BOA12" s="192"/>
      <c r="BOB12" s="192"/>
      <c r="BOC12" s="192"/>
      <c r="BOD12" s="192"/>
      <c r="BOE12" s="192"/>
      <c r="BOF12" s="192"/>
      <c r="BOG12" s="192"/>
      <c r="BOH12" s="192"/>
      <c r="BOI12" s="192"/>
      <c r="BOJ12" s="192"/>
      <c r="BOK12" s="192"/>
      <c r="BOL12" s="192"/>
      <c r="BOM12" s="192"/>
      <c r="BON12" s="192"/>
      <c r="BOO12" s="192"/>
      <c r="BOP12" s="192"/>
      <c r="BOQ12" s="192"/>
      <c r="BOR12" s="192"/>
      <c r="BOS12" s="192"/>
      <c r="BOT12" s="192"/>
      <c r="BOU12" s="192"/>
      <c r="BOV12" s="192"/>
      <c r="BOW12" s="192"/>
      <c r="BOX12" s="192"/>
      <c r="BOY12" s="192"/>
      <c r="BOZ12" s="192"/>
      <c r="BPA12" s="192"/>
      <c r="BPB12" s="192"/>
      <c r="BPC12" s="192"/>
      <c r="BPD12" s="192"/>
      <c r="BPE12" s="192"/>
      <c r="BPF12" s="192"/>
      <c r="BPG12" s="192"/>
      <c r="BPH12" s="192"/>
      <c r="BPI12" s="192"/>
      <c r="BPJ12" s="192"/>
      <c r="BPK12" s="192"/>
      <c r="BPL12" s="192"/>
      <c r="BPM12" s="192"/>
      <c r="BPN12" s="192"/>
      <c r="BPO12" s="192"/>
      <c r="BPP12" s="192"/>
      <c r="BPQ12" s="192"/>
      <c r="BPR12" s="192"/>
      <c r="BPS12" s="192"/>
      <c r="BPT12" s="192"/>
      <c r="BPU12" s="192"/>
      <c r="BPV12" s="192"/>
      <c r="BPW12" s="192"/>
      <c r="BPX12" s="192"/>
      <c r="BPY12" s="192"/>
      <c r="BPZ12" s="192"/>
      <c r="BQA12" s="192"/>
      <c r="BQB12" s="192"/>
      <c r="BQC12" s="192"/>
      <c r="BQD12" s="192"/>
      <c r="BQE12" s="192"/>
      <c r="BQF12" s="192"/>
      <c r="BQG12" s="192"/>
      <c r="BQH12" s="192"/>
      <c r="BQI12" s="192"/>
      <c r="BQJ12" s="192"/>
      <c r="BQK12" s="192"/>
      <c r="BQL12" s="192"/>
      <c r="BQM12" s="192"/>
      <c r="BQN12" s="192"/>
      <c r="BQO12" s="192"/>
      <c r="BQP12" s="192"/>
      <c r="BQQ12" s="192"/>
      <c r="BQR12" s="192"/>
      <c r="BQS12" s="192"/>
      <c r="BQT12" s="192"/>
      <c r="BQU12" s="192"/>
      <c r="BQV12" s="192"/>
      <c r="BQW12" s="192"/>
      <c r="BQX12" s="192"/>
      <c r="BQY12" s="192"/>
      <c r="BQZ12" s="192"/>
      <c r="BRA12" s="192"/>
      <c r="BRB12" s="192"/>
      <c r="BRC12" s="192"/>
      <c r="BRD12" s="192"/>
      <c r="BRE12" s="192"/>
      <c r="BRF12" s="192"/>
      <c r="BRG12" s="192"/>
      <c r="BRH12" s="192"/>
      <c r="BRI12" s="192"/>
      <c r="BRJ12" s="192"/>
      <c r="BRK12" s="192"/>
      <c r="BRL12" s="192"/>
      <c r="BRM12" s="192"/>
      <c r="BRN12" s="192"/>
      <c r="BRO12" s="192"/>
      <c r="BRP12" s="192"/>
      <c r="BRQ12" s="192"/>
      <c r="BRR12" s="192"/>
      <c r="BRS12" s="192"/>
      <c r="BRT12" s="192"/>
      <c r="BRU12" s="192"/>
      <c r="BRV12" s="192"/>
      <c r="BRW12" s="192"/>
      <c r="BRX12" s="192"/>
      <c r="BRY12" s="192"/>
      <c r="BRZ12" s="192"/>
      <c r="BSA12" s="192"/>
      <c r="BSB12" s="192"/>
      <c r="BSC12" s="192"/>
      <c r="BSD12" s="192"/>
      <c r="BSE12" s="192"/>
      <c r="BSF12" s="192"/>
      <c r="BSG12" s="192"/>
      <c r="BSH12" s="192"/>
      <c r="BSI12" s="192"/>
      <c r="BSJ12" s="192"/>
      <c r="BSK12" s="192"/>
      <c r="BSL12" s="192"/>
      <c r="BSM12" s="192"/>
      <c r="BSN12" s="192"/>
      <c r="BSO12" s="192"/>
      <c r="BSP12" s="192"/>
      <c r="BSQ12" s="192"/>
      <c r="BSR12" s="192"/>
      <c r="BSS12" s="192"/>
      <c r="BST12" s="192"/>
      <c r="BSU12" s="192"/>
      <c r="BSV12" s="192"/>
      <c r="BSW12" s="192"/>
      <c r="BSX12" s="192"/>
      <c r="BSY12" s="192"/>
      <c r="BSZ12" s="192"/>
      <c r="BTA12" s="192"/>
      <c r="BTB12" s="192"/>
      <c r="BTC12" s="192"/>
      <c r="BTD12" s="192"/>
      <c r="BTE12" s="192"/>
      <c r="BTF12" s="192"/>
      <c r="BTG12" s="192"/>
      <c r="BTH12" s="192"/>
      <c r="BTI12" s="192"/>
      <c r="BTJ12" s="192"/>
      <c r="BTK12" s="192"/>
      <c r="BTL12" s="192"/>
      <c r="BTM12" s="192"/>
      <c r="BTN12" s="192"/>
      <c r="BTO12" s="192"/>
      <c r="BTP12" s="192"/>
      <c r="BTQ12" s="192"/>
      <c r="BTR12" s="192"/>
      <c r="BTS12" s="192"/>
      <c r="BTT12" s="192"/>
      <c r="BTU12" s="192"/>
      <c r="BTV12" s="192"/>
      <c r="BTW12" s="192"/>
      <c r="BTX12" s="192"/>
      <c r="BTY12" s="192"/>
      <c r="BTZ12" s="192"/>
      <c r="BUA12" s="192"/>
      <c r="BUB12" s="192"/>
      <c r="BUC12" s="192"/>
      <c r="BUD12" s="192"/>
      <c r="BUE12" s="192"/>
      <c r="BUF12" s="192"/>
      <c r="BUG12" s="192"/>
      <c r="BUH12" s="192"/>
      <c r="BUI12" s="192"/>
      <c r="BUJ12" s="192"/>
      <c r="BUK12" s="192"/>
      <c r="BUL12" s="192"/>
      <c r="BUM12" s="192"/>
      <c r="BUN12" s="192"/>
      <c r="BUO12" s="192"/>
      <c r="BUP12" s="192"/>
      <c r="BUQ12" s="192"/>
      <c r="BUR12" s="192"/>
      <c r="BUS12" s="192"/>
      <c r="BUT12" s="192"/>
      <c r="BUU12" s="192"/>
      <c r="BUV12" s="192"/>
      <c r="BUW12" s="192"/>
      <c r="BUX12" s="192"/>
      <c r="BUY12" s="192"/>
      <c r="BUZ12" s="192"/>
      <c r="BVA12" s="192"/>
      <c r="BVB12" s="75"/>
    </row>
    <row r="13" spans="1:1926" ht="42.75" customHeight="1" thickBot="1" x14ac:dyDescent="0.3">
      <c r="B13" s="53"/>
      <c r="C13" s="197" t="s">
        <v>7</v>
      </c>
      <c r="D13" s="127"/>
      <c r="E13" s="199" t="s">
        <v>40</v>
      </c>
      <c r="F13" s="193" t="s">
        <v>8</v>
      </c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5"/>
      <c r="BN13" s="193" t="s">
        <v>28</v>
      </c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  <c r="DA13" s="194"/>
      <c r="DB13" s="194"/>
      <c r="DC13" s="194"/>
      <c r="DD13" s="194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5"/>
      <c r="DV13" s="193" t="s">
        <v>19</v>
      </c>
      <c r="DW13" s="194"/>
      <c r="DX13" s="194"/>
      <c r="DY13" s="194"/>
      <c r="DZ13" s="194"/>
      <c r="EA13" s="194"/>
      <c r="EB13" s="194"/>
      <c r="EC13" s="194"/>
      <c r="ED13" s="194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4"/>
      <c r="EZ13" s="194"/>
      <c r="FA13" s="194"/>
      <c r="FB13" s="194"/>
      <c r="FC13" s="194"/>
      <c r="FD13" s="194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4"/>
      <c r="FZ13" s="194"/>
      <c r="GA13" s="194"/>
      <c r="GB13" s="194"/>
      <c r="GC13" s="195"/>
      <c r="GD13" s="193" t="s">
        <v>106</v>
      </c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4"/>
      <c r="GZ13" s="194"/>
      <c r="HA13" s="194"/>
      <c r="HB13" s="194"/>
      <c r="HC13" s="194"/>
      <c r="HD13" s="194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4"/>
      <c r="HZ13" s="194"/>
      <c r="IA13" s="194"/>
      <c r="IB13" s="194"/>
      <c r="IC13" s="194"/>
      <c r="ID13" s="194"/>
      <c r="IE13" s="194"/>
      <c r="IF13" s="194"/>
      <c r="IG13" s="194"/>
      <c r="IH13" s="194"/>
      <c r="II13" s="194"/>
      <c r="IJ13" s="194"/>
      <c r="IK13" s="195"/>
      <c r="IL13" s="193" t="s">
        <v>104</v>
      </c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4"/>
      <c r="IZ13" s="194"/>
      <c r="JA13" s="194"/>
      <c r="JB13" s="194"/>
      <c r="JC13" s="194"/>
      <c r="JD13" s="194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4"/>
      <c r="JZ13" s="194"/>
      <c r="KA13" s="194"/>
      <c r="KB13" s="194"/>
      <c r="KC13" s="194"/>
      <c r="KD13" s="194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5"/>
      <c r="KT13" s="193" t="s">
        <v>103</v>
      </c>
      <c r="KU13" s="194"/>
      <c r="KV13" s="194"/>
      <c r="KW13" s="194"/>
      <c r="KX13" s="194"/>
      <c r="KY13" s="194"/>
      <c r="KZ13" s="194"/>
      <c r="LA13" s="194"/>
      <c r="LB13" s="194"/>
      <c r="LC13" s="194"/>
      <c r="LD13" s="194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4"/>
      <c r="LZ13" s="194"/>
      <c r="MA13" s="194"/>
      <c r="MB13" s="194"/>
      <c r="MC13" s="194"/>
      <c r="MD13" s="194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4"/>
      <c r="MZ13" s="194"/>
      <c r="NA13" s="195"/>
      <c r="NB13" s="193" t="s">
        <v>101</v>
      </c>
      <c r="NC13" s="194"/>
      <c r="ND13" s="194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4"/>
      <c r="NZ13" s="194"/>
      <c r="OA13" s="194"/>
      <c r="OB13" s="194"/>
      <c r="OC13" s="194"/>
      <c r="OD13" s="194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4"/>
      <c r="OZ13" s="194"/>
      <c r="PA13" s="194"/>
      <c r="PB13" s="194"/>
      <c r="PC13" s="194"/>
      <c r="PD13" s="194"/>
      <c r="PE13" s="194"/>
      <c r="PF13" s="194"/>
      <c r="PG13" s="194"/>
      <c r="PH13" s="194"/>
      <c r="PI13" s="195"/>
      <c r="PJ13" s="193" t="s">
        <v>100</v>
      </c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4"/>
      <c r="PZ13" s="194"/>
      <c r="QA13" s="194"/>
      <c r="QB13" s="194"/>
      <c r="QC13" s="194"/>
      <c r="QD13" s="194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4"/>
      <c r="QZ13" s="194"/>
      <c r="RA13" s="194"/>
      <c r="RB13" s="194"/>
      <c r="RC13" s="194"/>
      <c r="RD13" s="194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5"/>
      <c r="RR13" s="193" t="s">
        <v>98</v>
      </c>
      <c r="RS13" s="194"/>
      <c r="RT13" s="194"/>
      <c r="RU13" s="194"/>
      <c r="RV13" s="194"/>
      <c r="RW13" s="194"/>
      <c r="RX13" s="194"/>
      <c r="RY13" s="194"/>
      <c r="RZ13" s="194"/>
      <c r="SA13" s="194"/>
      <c r="SB13" s="194"/>
      <c r="SC13" s="194"/>
      <c r="SD13" s="194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4"/>
      <c r="SZ13" s="194"/>
      <c r="TA13" s="194"/>
      <c r="TB13" s="194"/>
      <c r="TC13" s="194"/>
      <c r="TD13" s="194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193" t="s">
        <v>97</v>
      </c>
      <c r="UA13" s="194"/>
      <c r="UB13" s="194"/>
      <c r="UC13" s="194"/>
      <c r="UD13" s="194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4"/>
      <c r="UZ13" s="194"/>
      <c r="VA13" s="194"/>
      <c r="VB13" s="194"/>
      <c r="VC13" s="194"/>
      <c r="VD13" s="194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4"/>
      <c r="VZ13" s="194"/>
      <c r="WA13" s="194"/>
      <c r="WB13" s="194"/>
      <c r="WC13" s="194"/>
      <c r="WD13" s="194"/>
      <c r="WE13" s="194"/>
      <c r="WF13" s="194"/>
      <c r="WG13" s="195"/>
      <c r="WH13" s="193" t="s">
        <v>95</v>
      </c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4"/>
      <c r="WZ13" s="194"/>
      <c r="XA13" s="194"/>
      <c r="XB13" s="194"/>
      <c r="XC13" s="194"/>
      <c r="XD13" s="194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4"/>
      <c r="XZ13" s="194"/>
      <c r="YA13" s="194"/>
      <c r="YB13" s="194"/>
      <c r="YC13" s="194"/>
      <c r="YD13" s="194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5"/>
      <c r="YP13" s="193" t="s">
        <v>93</v>
      </c>
      <c r="YQ13" s="194"/>
      <c r="YR13" s="194"/>
      <c r="YS13" s="194"/>
      <c r="YT13" s="194"/>
      <c r="YU13" s="194"/>
      <c r="YV13" s="194"/>
      <c r="YW13" s="194"/>
      <c r="YX13" s="194"/>
      <c r="YY13" s="194"/>
      <c r="YZ13" s="194"/>
      <c r="ZA13" s="194"/>
      <c r="ZB13" s="194"/>
      <c r="ZC13" s="194"/>
      <c r="ZD13" s="194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4"/>
      <c r="ZZ13" s="194"/>
      <c r="AAA13" s="194"/>
      <c r="AAB13" s="194"/>
      <c r="AAC13" s="194"/>
      <c r="AAD13" s="194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5"/>
      <c r="AAX13" s="193" t="s">
        <v>92</v>
      </c>
      <c r="AAY13" s="194"/>
      <c r="AAZ13" s="194"/>
      <c r="ABA13" s="194"/>
      <c r="ABB13" s="194"/>
      <c r="ABC13" s="194"/>
      <c r="ABD13" s="194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4"/>
      <c r="ABZ13" s="194"/>
      <c r="ACA13" s="194"/>
      <c r="ACB13" s="194"/>
      <c r="ACC13" s="194"/>
      <c r="ACD13" s="194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4"/>
      <c r="ACZ13" s="194"/>
      <c r="ADA13" s="194"/>
      <c r="ADB13" s="194"/>
      <c r="ADC13" s="194"/>
      <c r="ADD13" s="194"/>
      <c r="ADE13" s="195"/>
      <c r="ADF13" s="193" t="s">
        <v>90</v>
      </c>
      <c r="ADG13" s="194"/>
      <c r="ADH13" s="194"/>
      <c r="ADI13" s="194"/>
      <c r="ADJ13" s="194"/>
      <c r="ADK13" s="194"/>
      <c r="ADL13" s="194"/>
      <c r="ADM13" s="194"/>
      <c r="ADN13" s="194"/>
      <c r="ADO13" s="194"/>
      <c r="ADP13" s="194"/>
      <c r="ADQ13" s="194"/>
      <c r="ADR13" s="194"/>
      <c r="ADS13" s="194"/>
      <c r="ADT13" s="194"/>
      <c r="ADU13" s="194"/>
      <c r="ADV13" s="194"/>
      <c r="ADW13" s="194"/>
      <c r="ADX13" s="194"/>
      <c r="ADY13" s="194"/>
      <c r="ADZ13" s="194"/>
      <c r="AEA13" s="194"/>
      <c r="AEB13" s="194"/>
      <c r="AEC13" s="194"/>
      <c r="AED13" s="194"/>
      <c r="AEE13" s="194"/>
      <c r="AEF13" s="194"/>
      <c r="AEG13" s="194"/>
      <c r="AEH13" s="194"/>
      <c r="AEI13" s="194"/>
      <c r="AEJ13" s="194"/>
      <c r="AEK13" s="194"/>
      <c r="AEL13" s="194"/>
      <c r="AEM13" s="194"/>
      <c r="AEN13" s="194"/>
      <c r="AEO13" s="194"/>
      <c r="AEP13" s="194"/>
      <c r="AEQ13" s="194"/>
      <c r="AER13" s="194"/>
      <c r="AES13" s="194"/>
      <c r="AET13" s="194"/>
      <c r="AEU13" s="194"/>
      <c r="AEV13" s="194"/>
      <c r="AEW13" s="194"/>
      <c r="AEX13" s="194"/>
      <c r="AEY13" s="194"/>
      <c r="AEZ13" s="194"/>
      <c r="AFA13" s="194"/>
      <c r="AFB13" s="194"/>
      <c r="AFC13" s="194"/>
      <c r="AFD13" s="194"/>
      <c r="AFE13" s="194"/>
      <c r="AFF13" s="194"/>
      <c r="AFG13" s="194"/>
      <c r="AFH13" s="194"/>
      <c r="AFI13" s="194"/>
      <c r="AFJ13" s="194"/>
      <c r="AFK13" s="194"/>
      <c r="AFL13" s="194"/>
      <c r="AFM13" s="195"/>
      <c r="AFN13" s="193" t="s">
        <v>89</v>
      </c>
      <c r="AFO13" s="194"/>
      <c r="AFP13" s="194"/>
      <c r="AFQ13" s="194"/>
      <c r="AFR13" s="194"/>
      <c r="AFS13" s="194"/>
      <c r="AFT13" s="194"/>
      <c r="AFU13" s="194"/>
      <c r="AFV13" s="194"/>
      <c r="AFW13" s="194"/>
      <c r="AFX13" s="194"/>
      <c r="AFY13" s="194"/>
      <c r="AFZ13" s="194"/>
      <c r="AGA13" s="194"/>
      <c r="AGB13" s="194"/>
      <c r="AGC13" s="194"/>
      <c r="AGD13" s="194"/>
      <c r="AGE13" s="194"/>
      <c r="AGF13" s="194"/>
      <c r="AGG13" s="194"/>
      <c r="AGH13" s="194"/>
      <c r="AGI13" s="194"/>
      <c r="AGJ13" s="194"/>
      <c r="AGK13" s="194"/>
      <c r="AGL13" s="194"/>
      <c r="AGM13" s="194"/>
      <c r="AGN13" s="194"/>
      <c r="AGO13" s="194"/>
      <c r="AGP13" s="194"/>
      <c r="AGQ13" s="194"/>
      <c r="AGR13" s="194"/>
      <c r="AGS13" s="194"/>
      <c r="AGT13" s="194"/>
      <c r="AGU13" s="194"/>
      <c r="AGV13" s="194"/>
      <c r="AGW13" s="194"/>
      <c r="AGX13" s="194"/>
      <c r="AGY13" s="194"/>
      <c r="AGZ13" s="194"/>
      <c r="AHA13" s="194"/>
      <c r="AHB13" s="194"/>
      <c r="AHC13" s="194"/>
      <c r="AHD13" s="194"/>
      <c r="AHE13" s="194"/>
      <c r="AHF13" s="194"/>
      <c r="AHG13" s="194"/>
      <c r="AHH13" s="194"/>
      <c r="AHI13" s="194"/>
      <c r="AHJ13" s="194"/>
      <c r="AHK13" s="194"/>
      <c r="AHL13" s="194"/>
      <c r="AHM13" s="194"/>
      <c r="AHN13" s="194"/>
      <c r="AHO13" s="194"/>
      <c r="AHP13" s="194"/>
      <c r="AHQ13" s="194"/>
      <c r="AHR13" s="194"/>
      <c r="AHS13" s="194"/>
      <c r="AHT13" s="194"/>
      <c r="AHU13" s="195"/>
      <c r="AHV13" s="193" t="s">
        <v>87</v>
      </c>
      <c r="AHW13" s="194"/>
      <c r="AHX13" s="194"/>
      <c r="AHY13" s="194"/>
      <c r="AHZ13" s="194"/>
      <c r="AIA13" s="194"/>
      <c r="AIB13" s="194"/>
      <c r="AIC13" s="194"/>
      <c r="AID13" s="194"/>
      <c r="AIE13" s="194"/>
      <c r="AIF13" s="194"/>
      <c r="AIG13" s="194"/>
      <c r="AIH13" s="194"/>
      <c r="AII13" s="194"/>
      <c r="AIJ13" s="194"/>
      <c r="AIK13" s="194"/>
      <c r="AIL13" s="194"/>
      <c r="AIM13" s="194"/>
      <c r="AIN13" s="194"/>
      <c r="AIO13" s="194"/>
      <c r="AIP13" s="194"/>
      <c r="AIQ13" s="194"/>
      <c r="AIR13" s="194"/>
      <c r="AIS13" s="194"/>
      <c r="AIT13" s="194"/>
      <c r="AIU13" s="194"/>
      <c r="AIV13" s="194"/>
      <c r="AIW13" s="194"/>
      <c r="AIX13" s="194"/>
      <c r="AIY13" s="194"/>
      <c r="AIZ13" s="194"/>
      <c r="AJA13" s="194"/>
      <c r="AJB13" s="194"/>
      <c r="AJC13" s="194"/>
      <c r="AJD13" s="194"/>
      <c r="AJE13" s="194"/>
      <c r="AJF13" s="194"/>
      <c r="AJG13" s="194"/>
      <c r="AJH13" s="194"/>
      <c r="AJI13" s="194"/>
      <c r="AJJ13" s="194"/>
      <c r="AJK13" s="194"/>
      <c r="AJL13" s="194"/>
      <c r="AJM13" s="194"/>
      <c r="AJN13" s="194"/>
      <c r="AJO13" s="194"/>
      <c r="AJP13" s="194"/>
      <c r="AJQ13" s="194"/>
      <c r="AJR13" s="194"/>
      <c r="AJS13" s="194"/>
      <c r="AJT13" s="194"/>
      <c r="AJU13" s="194"/>
      <c r="AJV13" s="194"/>
      <c r="AJW13" s="194"/>
      <c r="AJX13" s="194"/>
      <c r="AJY13" s="194"/>
      <c r="AJZ13" s="194"/>
      <c r="AKA13" s="194"/>
      <c r="AKB13" s="194"/>
      <c r="AKC13" s="195"/>
      <c r="AKD13" s="193" t="s">
        <v>86</v>
      </c>
      <c r="AKE13" s="194"/>
      <c r="AKF13" s="194"/>
      <c r="AKG13" s="194"/>
      <c r="AKH13" s="194"/>
      <c r="AKI13" s="194"/>
      <c r="AKJ13" s="194"/>
      <c r="AKK13" s="194"/>
      <c r="AKL13" s="194"/>
      <c r="AKM13" s="194"/>
      <c r="AKN13" s="194"/>
      <c r="AKO13" s="194"/>
      <c r="AKP13" s="194"/>
      <c r="AKQ13" s="194"/>
      <c r="AKR13" s="194"/>
      <c r="AKS13" s="194"/>
      <c r="AKT13" s="194"/>
      <c r="AKU13" s="194"/>
      <c r="AKV13" s="194"/>
      <c r="AKW13" s="194"/>
      <c r="AKX13" s="194"/>
      <c r="AKY13" s="194"/>
      <c r="AKZ13" s="194"/>
      <c r="ALA13" s="194"/>
      <c r="ALB13" s="194"/>
      <c r="ALC13" s="194"/>
      <c r="ALD13" s="194"/>
      <c r="ALE13" s="194"/>
      <c r="ALF13" s="194"/>
      <c r="ALG13" s="194"/>
      <c r="ALH13" s="194"/>
      <c r="ALI13" s="194"/>
      <c r="ALJ13" s="194"/>
      <c r="ALK13" s="194"/>
      <c r="ALL13" s="194"/>
      <c r="ALM13" s="194"/>
      <c r="ALN13" s="194"/>
      <c r="ALO13" s="194"/>
      <c r="ALP13" s="194"/>
      <c r="ALQ13" s="194"/>
      <c r="ALR13" s="194"/>
      <c r="ALS13" s="194"/>
      <c r="ALT13" s="194"/>
      <c r="ALU13" s="194"/>
      <c r="ALV13" s="194"/>
      <c r="ALW13" s="194"/>
      <c r="ALX13" s="194"/>
      <c r="ALY13" s="194"/>
      <c r="ALZ13" s="194"/>
      <c r="AMA13" s="194"/>
      <c r="AMB13" s="194"/>
      <c r="AMC13" s="194"/>
      <c r="AMD13" s="194"/>
      <c r="AME13" s="194"/>
      <c r="AMF13" s="194"/>
      <c r="AMG13" s="194"/>
      <c r="AMH13" s="194"/>
      <c r="AMI13" s="194"/>
      <c r="AMJ13" s="194"/>
      <c r="AMK13" s="195"/>
      <c r="AML13" s="193" t="s">
        <v>84</v>
      </c>
      <c r="AMM13" s="194"/>
      <c r="AMN13" s="194"/>
      <c r="AMO13" s="194"/>
      <c r="AMP13" s="194"/>
      <c r="AMQ13" s="194"/>
      <c r="AMR13" s="194"/>
      <c r="AMS13" s="194"/>
      <c r="AMT13" s="194"/>
      <c r="AMU13" s="194"/>
      <c r="AMV13" s="194"/>
      <c r="AMW13" s="194"/>
      <c r="AMX13" s="194"/>
      <c r="AMY13" s="194"/>
      <c r="AMZ13" s="194"/>
      <c r="ANA13" s="194"/>
      <c r="ANB13" s="194"/>
      <c r="ANC13" s="194"/>
      <c r="AND13" s="194"/>
      <c r="ANE13" s="194"/>
      <c r="ANF13" s="194"/>
      <c r="ANG13" s="194"/>
      <c r="ANH13" s="194"/>
      <c r="ANI13" s="194"/>
      <c r="ANJ13" s="194"/>
      <c r="ANK13" s="194"/>
      <c r="ANL13" s="194"/>
      <c r="ANM13" s="194"/>
      <c r="ANN13" s="194"/>
      <c r="ANO13" s="194"/>
      <c r="ANP13" s="194"/>
      <c r="ANQ13" s="194"/>
      <c r="ANR13" s="194"/>
      <c r="ANS13" s="194"/>
      <c r="ANT13" s="194"/>
      <c r="ANU13" s="194"/>
      <c r="ANV13" s="194"/>
      <c r="ANW13" s="194"/>
      <c r="ANX13" s="194"/>
      <c r="ANY13" s="194"/>
      <c r="ANZ13" s="194"/>
      <c r="AOA13" s="194"/>
      <c r="AOB13" s="194"/>
      <c r="AOC13" s="194"/>
      <c r="AOD13" s="194"/>
      <c r="AOE13" s="194"/>
      <c r="AOF13" s="194"/>
      <c r="AOG13" s="194"/>
      <c r="AOH13" s="194"/>
      <c r="AOI13" s="194"/>
      <c r="AOJ13" s="194"/>
      <c r="AOK13" s="194"/>
      <c r="AOL13" s="194"/>
      <c r="AOM13" s="194"/>
      <c r="AON13" s="194"/>
      <c r="AOO13" s="194"/>
      <c r="AOP13" s="194"/>
      <c r="AOQ13" s="194"/>
      <c r="AOR13" s="194"/>
      <c r="AOS13" s="195"/>
      <c r="AOT13" s="193" t="s">
        <v>83</v>
      </c>
      <c r="AOU13" s="194"/>
      <c r="AOV13" s="194"/>
      <c r="AOW13" s="194"/>
      <c r="AOX13" s="194"/>
      <c r="AOY13" s="194"/>
      <c r="AOZ13" s="194"/>
      <c r="APA13" s="194"/>
      <c r="APB13" s="194"/>
      <c r="APC13" s="194"/>
      <c r="APD13" s="194"/>
      <c r="APE13" s="194"/>
      <c r="APF13" s="194"/>
      <c r="APG13" s="194"/>
      <c r="APH13" s="194"/>
      <c r="API13" s="194"/>
      <c r="APJ13" s="194"/>
      <c r="APK13" s="194"/>
      <c r="APL13" s="194"/>
      <c r="APM13" s="194"/>
      <c r="APN13" s="194"/>
      <c r="APO13" s="194"/>
      <c r="APP13" s="194"/>
      <c r="APQ13" s="194"/>
      <c r="APR13" s="194"/>
      <c r="APS13" s="194"/>
      <c r="APT13" s="194"/>
      <c r="APU13" s="194"/>
      <c r="APV13" s="194"/>
      <c r="APW13" s="194"/>
      <c r="APX13" s="194"/>
      <c r="APY13" s="194"/>
      <c r="APZ13" s="194"/>
      <c r="AQA13" s="194"/>
      <c r="AQB13" s="194"/>
      <c r="AQC13" s="194"/>
      <c r="AQD13" s="194"/>
      <c r="AQE13" s="194"/>
      <c r="AQF13" s="194"/>
      <c r="AQG13" s="194"/>
      <c r="AQH13" s="194"/>
      <c r="AQI13" s="194"/>
      <c r="AQJ13" s="194"/>
      <c r="AQK13" s="194"/>
      <c r="AQL13" s="194"/>
      <c r="AQM13" s="194"/>
      <c r="AQN13" s="194"/>
      <c r="AQO13" s="194"/>
      <c r="AQP13" s="194"/>
      <c r="AQQ13" s="194"/>
      <c r="AQR13" s="194"/>
      <c r="AQS13" s="194"/>
      <c r="AQT13" s="194"/>
      <c r="AQU13" s="194"/>
      <c r="AQV13" s="194"/>
      <c r="AQW13" s="194"/>
      <c r="AQX13" s="194"/>
      <c r="AQY13" s="194"/>
      <c r="AQZ13" s="194"/>
      <c r="ARA13" s="195"/>
      <c r="ARB13" s="193" t="s">
        <v>81</v>
      </c>
      <c r="ARC13" s="194"/>
      <c r="ARD13" s="194"/>
      <c r="ARE13" s="194"/>
      <c r="ARF13" s="194"/>
      <c r="ARG13" s="194"/>
      <c r="ARH13" s="194"/>
      <c r="ARI13" s="194"/>
      <c r="ARJ13" s="194"/>
      <c r="ARK13" s="194"/>
      <c r="ARL13" s="194"/>
      <c r="ARM13" s="194"/>
      <c r="ARN13" s="194"/>
      <c r="ARO13" s="194"/>
      <c r="ARP13" s="194"/>
      <c r="ARQ13" s="194"/>
      <c r="ARR13" s="194"/>
      <c r="ARS13" s="194"/>
      <c r="ART13" s="194"/>
      <c r="ARU13" s="194"/>
      <c r="ARV13" s="194"/>
      <c r="ARW13" s="194"/>
      <c r="ARX13" s="194"/>
      <c r="ARY13" s="194"/>
      <c r="ARZ13" s="194"/>
      <c r="ASA13" s="194"/>
      <c r="ASB13" s="194"/>
      <c r="ASC13" s="194"/>
      <c r="ASD13" s="194"/>
      <c r="ASE13" s="194"/>
      <c r="ASF13" s="194"/>
      <c r="ASG13" s="194"/>
      <c r="ASH13" s="194"/>
      <c r="ASI13" s="194"/>
      <c r="ASJ13" s="194"/>
      <c r="ASK13" s="194"/>
      <c r="ASL13" s="194"/>
      <c r="ASM13" s="194"/>
      <c r="ASN13" s="194"/>
      <c r="ASO13" s="194"/>
      <c r="ASP13" s="194"/>
      <c r="ASQ13" s="194"/>
      <c r="ASR13" s="194"/>
      <c r="ASS13" s="194"/>
      <c r="AST13" s="194"/>
      <c r="ASU13" s="194"/>
      <c r="ASV13" s="194"/>
      <c r="ASW13" s="194"/>
      <c r="ASX13" s="194"/>
      <c r="ASY13" s="194"/>
      <c r="ASZ13" s="194"/>
      <c r="ATA13" s="194"/>
      <c r="ATB13" s="194"/>
      <c r="ATC13" s="194"/>
      <c r="ATD13" s="194"/>
      <c r="ATE13" s="194"/>
      <c r="ATF13" s="194"/>
      <c r="ATG13" s="194"/>
      <c r="ATH13" s="194"/>
      <c r="ATI13" s="195"/>
      <c r="ATJ13" s="193" t="s">
        <v>79</v>
      </c>
      <c r="ATK13" s="194"/>
      <c r="ATL13" s="194"/>
      <c r="ATM13" s="194"/>
      <c r="ATN13" s="194"/>
      <c r="ATO13" s="194"/>
      <c r="ATP13" s="194"/>
      <c r="ATQ13" s="194"/>
      <c r="ATR13" s="194"/>
      <c r="ATS13" s="194"/>
      <c r="ATT13" s="194"/>
      <c r="ATU13" s="194"/>
      <c r="ATV13" s="194"/>
      <c r="ATW13" s="194"/>
      <c r="ATX13" s="194"/>
      <c r="ATY13" s="194"/>
      <c r="ATZ13" s="194"/>
      <c r="AUA13" s="194"/>
      <c r="AUB13" s="194"/>
      <c r="AUC13" s="194"/>
      <c r="AUD13" s="194"/>
      <c r="AUE13" s="194"/>
      <c r="AUF13" s="194"/>
      <c r="AUG13" s="194"/>
      <c r="AUH13" s="194"/>
      <c r="AUI13" s="194"/>
      <c r="AUJ13" s="194"/>
      <c r="AUK13" s="194"/>
      <c r="AUL13" s="194"/>
      <c r="AUM13" s="194"/>
      <c r="AUN13" s="194"/>
      <c r="AUO13" s="194"/>
      <c r="AUP13" s="194"/>
      <c r="AUQ13" s="194"/>
      <c r="AUR13" s="194"/>
      <c r="AUS13" s="194"/>
      <c r="AUT13" s="194"/>
      <c r="AUU13" s="194"/>
      <c r="AUV13" s="194"/>
      <c r="AUW13" s="194"/>
      <c r="AUX13" s="194"/>
      <c r="AUY13" s="194"/>
      <c r="AUZ13" s="194"/>
      <c r="AVA13" s="194"/>
      <c r="AVB13" s="194"/>
      <c r="AVC13" s="194"/>
      <c r="AVD13" s="194"/>
      <c r="AVE13" s="194"/>
      <c r="AVF13" s="194"/>
      <c r="AVG13" s="194"/>
      <c r="AVH13" s="194"/>
      <c r="AVI13" s="194"/>
      <c r="AVJ13" s="194"/>
      <c r="AVK13" s="194"/>
      <c r="AVL13" s="194"/>
      <c r="AVM13" s="194"/>
      <c r="AVN13" s="194"/>
      <c r="AVO13" s="194"/>
      <c r="AVP13" s="194"/>
      <c r="AVQ13" s="195"/>
      <c r="AVR13" s="193" t="s">
        <v>78</v>
      </c>
      <c r="AVS13" s="194"/>
      <c r="AVT13" s="194"/>
      <c r="AVU13" s="194"/>
      <c r="AVV13" s="194"/>
      <c r="AVW13" s="194"/>
      <c r="AVX13" s="194"/>
      <c r="AVY13" s="194"/>
      <c r="AVZ13" s="194"/>
      <c r="AWA13" s="194"/>
      <c r="AWB13" s="194"/>
      <c r="AWC13" s="194"/>
      <c r="AWD13" s="194"/>
      <c r="AWE13" s="194"/>
      <c r="AWF13" s="194"/>
      <c r="AWG13" s="194"/>
      <c r="AWH13" s="194"/>
      <c r="AWI13" s="194"/>
      <c r="AWJ13" s="194"/>
      <c r="AWK13" s="194"/>
      <c r="AWL13" s="194"/>
      <c r="AWM13" s="194"/>
      <c r="AWN13" s="194"/>
      <c r="AWO13" s="194"/>
      <c r="AWP13" s="194"/>
      <c r="AWQ13" s="194"/>
      <c r="AWR13" s="194"/>
      <c r="AWS13" s="194"/>
      <c r="AWT13" s="194"/>
      <c r="AWU13" s="194"/>
      <c r="AWV13" s="194"/>
      <c r="AWW13" s="194"/>
      <c r="AWX13" s="194"/>
      <c r="AWY13" s="194"/>
      <c r="AWZ13" s="194"/>
      <c r="AXA13" s="194"/>
      <c r="AXB13" s="194"/>
      <c r="AXC13" s="194"/>
      <c r="AXD13" s="194"/>
      <c r="AXE13" s="194"/>
      <c r="AXF13" s="194"/>
      <c r="AXG13" s="194"/>
      <c r="AXH13" s="194"/>
      <c r="AXI13" s="194"/>
      <c r="AXJ13" s="194"/>
      <c r="AXK13" s="194"/>
      <c r="AXL13" s="194"/>
      <c r="AXM13" s="194"/>
      <c r="AXN13" s="194"/>
      <c r="AXO13" s="194"/>
      <c r="AXP13" s="194"/>
      <c r="AXQ13" s="194"/>
      <c r="AXR13" s="194"/>
      <c r="AXS13" s="194"/>
      <c r="AXT13" s="194"/>
      <c r="AXU13" s="194"/>
      <c r="AXV13" s="194"/>
      <c r="AXW13" s="194"/>
      <c r="AXX13" s="194"/>
      <c r="AXY13" s="195"/>
      <c r="AXZ13" s="193" t="s">
        <v>76</v>
      </c>
      <c r="AYA13" s="194"/>
      <c r="AYB13" s="194"/>
      <c r="AYC13" s="194"/>
      <c r="AYD13" s="194"/>
      <c r="AYE13" s="194"/>
      <c r="AYF13" s="194"/>
      <c r="AYG13" s="194"/>
      <c r="AYH13" s="194"/>
      <c r="AYI13" s="194"/>
      <c r="AYJ13" s="194"/>
      <c r="AYK13" s="194"/>
      <c r="AYL13" s="194"/>
      <c r="AYM13" s="194"/>
      <c r="AYN13" s="194"/>
      <c r="AYO13" s="194"/>
      <c r="AYP13" s="194"/>
      <c r="AYQ13" s="194"/>
      <c r="AYR13" s="194"/>
      <c r="AYS13" s="194"/>
      <c r="AYT13" s="194"/>
      <c r="AYU13" s="194"/>
      <c r="AYV13" s="194"/>
      <c r="AYW13" s="194"/>
      <c r="AYX13" s="194"/>
      <c r="AYY13" s="194"/>
      <c r="AYZ13" s="194"/>
      <c r="AZA13" s="194"/>
      <c r="AZB13" s="194"/>
      <c r="AZC13" s="194"/>
      <c r="AZD13" s="194"/>
      <c r="AZE13" s="194"/>
      <c r="AZF13" s="194"/>
      <c r="AZG13" s="194"/>
      <c r="AZH13" s="194"/>
      <c r="AZI13" s="194"/>
      <c r="AZJ13" s="194"/>
      <c r="AZK13" s="194"/>
      <c r="AZL13" s="194"/>
      <c r="AZM13" s="194"/>
      <c r="AZN13" s="194"/>
      <c r="AZO13" s="194"/>
      <c r="AZP13" s="194"/>
      <c r="AZQ13" s="194"/>
      <c r="AZR13" s="194"/>
      <c r="AZS13" s="194"/>
      <c r="AZT13" s="194"/>
      <c r="AZU13" s="194"/>
      <c r="AZV13" s="194"/>
      <c r="AZW13" s="194"/>
      <c r="AZX13" s="194"/>
      <c r="AZY13" s="194"/>
      <c r="AZZ13" s="194"/>
      <c r="BAA13" s="194"/>
      <c r="BAB13" s="194"/>
      <c r="BAC13" s="194"/>
      <c r="BAD13" s="194"/>
      <c r="BAE13" s="194"/>
      <c r="BAF13" s="194"/>
      <c r="BAG13" s="195"/>
      <c r="BAH13" s="193" t="s">
        <v>75</v>
      </c>
      <c r="BAI13" s="194"/>
      <c r="BAJ13" s="194"/>
      <c r="BAK13" s="194"/>
      <c r="BAL13" s="194"/>
      <c r="BAM13" s="194"/>
      <c r="BAN13" s="194"/>
      <c r="BAO13" s="194"/>
      <c r="BAP13" s="194"/>
      <c r="BAQ13" s="194"/>
      <c r="BAR13" s="194"/>
      <c r="BAS13" s="194"/>
      <c r="BAT13" s="194"/>
      <c r="BAU13" s="194"/>
      <c r="BAV13" s="194"/>
      <c r="BAW13" s="194"/>
      <c r="BAX13" s="194"/>
      <c r="BAY13" s="194"/>
      <c r="BAZ13" s="194"/>
      <c r="BBA13" s="194"/>
      <c r="BBB13" s="194"/>
      <c r="BBC13" s="194"/>
      <c r="BBD13" s="194"/>
      <c r="BBE13" s="194"/>
      <c r="BBF13" s="194"/>
      <c r="BBG13" s="194"/>
      <c r="BBH13" s="194"/>
      <c r="BBI13" s="194"/>
      <c r="BBJ13" s="194"/>
      <c r="BBK13" s="194"/>
      <c r="BBL13" s="194"/>
      <c r="BBM13" s="194"/>
      <c r="BBN13" s="194"/>
      <c r="BBO13" s="194"/>
      <c r="BBP13" s="194"/>
      <c r="BBQ13" s="194"/>
      <c r="BBR13" s="194"/>
      <c r="BBS13" s="194"/>
      <c r="BBT13" s="194"/>
      <c r="BBU13" s="194"/>
      <c r="BBV13" s="194"/>
      <c r="BBW13" s="194"/>
      <c r="BBX13" s="194"/>
      <c r="BBY13" s="194"/>
      <c r="BBZ13" s="194"/>
      <c r="BCA13" s="194"/>
      <c r="BCB13" s="194"/>
      <c r="BCC13" s="194"/>
      <c r="BCD13" s="194"/>
      <c r="BCE13" s="194"/>
      <c r="BCF13" s="194"/>
      <c r="BCG13" s="194"/>
      <c r="BCH13" s="194"/>
      <c r="BCI13" s="194"/>
      <c r="BCJ13" s="194"/>
      <c r="BCK13" s="194"/>
      <c r="BCL13" s="194"/>
      <c r="BCM13" s="194"/>
      <c r="BCN13" s="194"/>
      <c r="BCO13" s="195"/>
      <c r="BCP13" s="193" t="s">
        <v>73</v>
      </c>
      <c r="BCQ13" s="194"/>
      <c r="BCR13" s="194"/>
      <c r="BCS13" s="194"/>
      <c r="BCT13" s="194"/>
      <c r="BCU13" s="194"/>
      <c r="BCV13" s="194"/>
      <c r="BCW13" s="194"/>
      <c r="BCX13" s="194"/>
      <c r="BCY13" s="194"/>
      <c r="BCZ13" s="194"/>
      <c r="BDA13" s="194"/>
      <c r="BDB13" s="194"/>
      <c r="BDC13" s="194"/>
      <c r="BDD13" s="194"/>
      <c r="BDE13" s="194"/>
      <c r="BDF13" s="194"/>
      <c r="BDG13" s="194"/>
      <c r="BDH13" s="194"/>
      <c r="BDI13" s="194"/>
      <c r="BDJ13" s="194"/>
      <c r="BDK13" s="194"/>
      <c r="BDL13" s="194"/>
      <c r="BDM13" s="194"/>
      <c r="BDN13" s="194"/>
      <c r="BDO13" s="194"/>
      <c r="BDP13" s="194"/>
      <c r="BDQ13" s="194"/>
      <c r="BDR13" s="194"/>
      <c r="BDS13" s="194"/>
      <c r="BDT13" s="194"/>
      <c r="BDU13" s="194"/>
      <c r="BDV13" s="194"/>
      <c r="BDW13" s="194"/>
      <c r="BDX13" s="194"/>
      <c r="BDY13" s="194"/>
      <c r="BDZ13" s="194"/>
      <c r="BEA13" s="194"/>
      <c r="BEB13" s="194"/>
      <c r="BEC13" s="194"/>
      <c r="BED13" s="194"/>
      <c r="BEE13" s="194"/>
      <c r="BEF13" s="194"/>
      <c r="BEG13" s="194"/>
      <c r="BEH13" s="194"/>
      <c r="BEI13" s="194"/>
      <c r="BEJ13" s="194"/>
      <c r="BEK13" s="194"/>
      <c r="BEL13" s="194"/>
      <c r="BEM13" s="194"/>
      <c r="BEN13" s="194"/>
      <c r="BEO13" s="194"/>
      <c r="BEP13" s="194"/>
      <c r="BEQ13" s="194"/>
      <c r="BER13" s="194"/>
      <c r="BES13" s="194"/>
      <c r="BET13" s="194"/>
      <c r="BEU13" s="194"/>
      <c r="BEV13" s="194"/>
      <c r="BEW13" s="195"/>
      <c r="BEX13" s="193" t="s">
        <v>72</v>
      </c>
      <c r="BEY13" s="194"/>
      <c r="BEZ13" s="194"/>
      <c r="BFA13" s="194"/>
      <c r="BFB13" s="194"/>
      <c r="BFC13" s="194"/>
      <c r="BFD13" s="194"/>
      <c r="BFE13" s="194"/>
      <c r="BFF13" s="194"/>
      <c r="BFG13" s="194"/>
      <c r="BFH13" s="194"/>
      <c r="BFI13" s="194"/>
      <c r="BFJ13" s="194"/>
      <c r="BFK13" s="194"/>
      <c r="BFL13" s="194"/>
      <c r="BFM13" s="194"/>
      <c r="BFN13" s="194"/>
      <c r="BFO13" s="194"/>
      <c r="BFP13" s="194"/>
      <c r="BFQ13" s="194"/>
      <c r="BFR13" s="194"/>
      <c r="BFS13" s="194"/>
      <c r="BFT13" s="194"/>
      <c r="BFU13" s="194"/>
      <c r="BFV13" s="194"/>
      <c r="BFW13" s="194"/>
      <c r="BFX13" s="194"/>
      <c r="BFY13" s="194"/>
      <c r="BFZ13" s="194"/>
      <c r="BGA13" s="194"/>
      <c r="BGB13" s="194"/>
      <c r="BGC13" s="194"/>
      <c r="BGD13" s="194"/>
      <c r="BGE13" s="194"/>
      <c r="BGF13" s="194"/>
      <c r="BGG13" s="194"/>
      <c r="BGH13" s="194"/>
      <c r="BGI13" s="194"/>
      <c r="BGJ13" s="194"/>
      <c r="BGK13" s="194"/>
      <c r="BGL13" s="194"/>
      <c r="BGM13" s="194"/>
      <c r="BGN13" s="194"/>
      <c r="BGO13" s="194"/>
      <c r="BGP13" s="194"/>
      <c r="BGQ13" s="194"/>
      <c r="BGR13" s="194"/>
      <c r="BGS13" s="194"/>
      <c r="BGT13" s="194"/>
      <c r="BGU13" s="194"/>
      <c r="BGV13" s="194"/>
      <c r="BGW13" s="194"/>
      <c r="BGX13" s="194"/>
      <c r="BGY13" s="194"/>
      <c r="BGZ13" s="194"/>
      <c r="BHA13" s="194"/>
      <c r="BHB13" s="194"/>
      <c r="BHC13" s="194"/>
      <c r="BHD13" s="194"/>
      <c r="BHE13" s="195"/>
      <c r="BHF13" s="193" t="s">
        <v>70</v>
      </c>
      <c r="BHG13" s="194"/>
      <c r="BHH13" s="194"/>
      <c r="BHI13" s="194"/>
      <c r="BHJ13" s="194"/>
      <c r="BHK13" s="194"/>
      <c r="BHL13" s="194"/>
      <c r="BHM13" s="194"/>
      <c r="BHN13" s="194"/>
      <c r="BHO13" s="194"/>
      <c r="BHP13" s="194"/>
      <c r="BHQ13" s="194"/>
      <c r="BHR13" s="194"/>
      <c r="BHS13" s="194"/>
      <c r="BHT13" s="194"/>
      <c r="BHU13" s="194"/>
      <c r="BHV13" s="194"/>
      <c r="BHW13" s="194"/>
      <c r="BHX13" s="194"/>
      <c r="BHY13" s="194"/>
      <c r="BHZ13" s="194"/>
      <c r="BIA13" s="194"/>
      <c r="BIB13" s="194"/>
      <c r="BIC13" s="194"/>
      <c r="BID13" s="194"/>
      <c r="BIE13" s="194"/>
      <c r="BIF13" s="194"/>
      <c r="BIG13" s="194"/>
      <c r="BIH13" s="194"/>
      <c r="BII13" s="194"/>
      <c r="BIJ13" s="194"/>
      <c r="BIK13" s="194"/>
      <c r="BIL13" s="194"/>
      <c r="BIM13" s="194"/>
      <c r="BIN13" s="194"/>
      <c r="BIO13" s="194"/>
      <c r="BIP13" s="194"/>
      <c r="BIQ13" s="194"/>
      <c r="BIR13" s="194"/>
      <c r="BIS13" s="194"/>
      <c r="BIT13" s="194"/>
      <c r="BIU13" s="194"/>
      <c r="BIV13" s="194"/>
      <c r="BIW13" s="194"/>
      <c r="BIX13" s="194"/>
      <c r="BIY13" s="194"/>
      <c r="BIZ13" s="194"/>
      <c r="BJA13" s="194"/>
      <c r="BJB13" s="194"/>
      <c r="BJC13" s="194"/>
      <c r="BJD13" s="194"/>
      <c r="BJE13" s="194"/>
      <c r="BJF13" s="194"/>
      <c r="BJG13" s="194"/>
      <c r="BJH13" s="194"/>
      <c r="BJI13" s="194"/>
      <c r="BJJ13" s="194"/>
      <c r="BJK13" s="194"/>
      <c r="BJL13" s="194"/>
      <c r="BJM13" s="195"/>
      <c r="BJN13" s="193" t="s">
        <v>12</v>
      </c>
      <c r="BJO13" s="194"/>
      <c r="BJP13" s="194"/>
      <c r="BJQ13" s="194"/>
      <c r="BJR13" s="194"/>
      <c r="BJS13" s="194"/>
      <c r="BJT13" s="194"/>
      <c r="BJU13" s="194"/>
      <c r="BJV13" s="194"/>
      <c r="BJW13" s="194"/>
      <c r="BJX13" s="194"/>
      <c r="BJY13" s="194"/>
      <c r="BJZ13" s="194"/>
      <c r="BKA13" s="194"/>
      <c r="BKB13" s="194"/>
      <c r="BKC13" s="194"/>
      <c r="BKD13" s="194"/>
      <c r="BKE13" s="194"/>
      <c r="BKF13" s="194"/>
      <c r="BKG13" s="194"/>
      <c r="BKH13" s="194"/>
      <c r="BKI13" s="194"/>
      <c r="BKJ13" s="194"/>
      <c r="BKK13" s="194"/>
      <c r="BKL13" s="194"/>
      <c r="BKM13" s="194"/>
      <c r="BKN13" s="194"/>
      <c r="BKO13" s="194"/>
      <c r="BKP13" s="194"/>
      <c r="BKQ13" s="194"/>
      <c r="BKR13" s="194"/>
      <c r="BKS13" s="194"/>
      <c r="BKT13" s="194"/>
      <c r="BKU13" s="194"/>
      <c r="BKV13" s="194"/>
      <c r="BKW13" s="194"/>
      <c r="BKX13" s="194"/>
      <c r="BKY13" s="194"/>
      <c r="BKZ13" s="194"/>
      <c r="BLA13" s="194"/>
      <c r="BLB13" s="194"/>
      <c r="BLC13" s="194"/>
      <c r="BLD13" s="194"/>
      <c r="BLE13" s="194"/>
      <c r="BLF13" s="194"/>
      <c r="BLG13" s="194"/>
      <c r="BLH13" s="194"/>
      <c r="BLI13" s="194"/>
      <c r="BLJ13" s="194"/>
      <c r="BLK13" s="194"/>
      <c r="BLL13" s="194"/>
      <c r="BLM13" s="194"/>
      <c r="BLN13" s="194"/>
      <c r="BLO13" s="194"/>
      <c r="BLP13" s="194"/>
      <c r="BLQ13" s="194"/>
      <c r="BLR13" s="194"/>
      <c r="BLS13" s="194"/>
      <c r="BLT13" s="194"/>
      <c r="BLU13" s="195"/>
      <c r="BLV13" s="193" t="s">
        <v>12</v>
      </c>
      <c r="BLW13" s="194"/>
      <c r="BLX13" s="194"/>
      <c r="BLY13" s="194"/>
      <c r="BLZ13" s="194"/>
      <c r="BMA13" s="194"/>
      <c r="BMB13" s="194"/>
      <c r="BMC13" s="194"/>
      <c r="BMD13" s="194"/>
      <c r="BME13" s="194"/>
      <c r="BMF13" s="194"/>
      <c r="BMG13" s="194"/>
      <c r="BMH13" s="194"/>
      <c r="BMI13" s="194"/>
      <c r="BMJ13" s="194"/>
      <c r="BMK13" s="194"/>
      <c r="BML13" s="194"/>
      <c r="BMM13" s="194"/>
      <c r="BMN13" s="194"/>
      <c r="BMO13" s="194"/>
      <c r="BMP13" s="194"/>
      <c r="BMQ13" s="194"/>
      <c r="BMR13" s="194"/>
      <c r="BMS13" s="194"/>
      <c r="BMT13" s="194"/>
      <c r="BMU13" s="194"/>
      <c r="BMV13" s="194"/>
      <c r="BMW13" s="194"/>
      <c r="BMX13" s="194"/>
      <c r="BMY13" s="194"/>
      <c r="BMZ13" s="194"/>
      <c r="BNA13" s="194"/>
      <c r="BNB13" s="194"/>
      <c r="BNC13" s="194"/>
      <c r="BND13" s="194"/>
      <c r="BNE13" s="194"/>
      <c r="BNF13" s="194"/>
      <c r="BNG13" s="194"/>
      <c r="BNH13" s="194"/>
      <c r="BNI13" s="194"/>
      <c r="BNJ13" s="194"/>
      <c r="BNK13" s="194"/>
      <c r="BNL13" s="194"/>
      <c r="BNM13" s="194"/>
      <c r="BNN13" s="194"/>
      <c r="BNO13" s="194"/>
      <c r="BNP13" s="194"/>
      <c r="BNQ13" s="194"/>
      <c r="BNR13" s="194"/>
      <c r="BNS13" s="194"/>
      <c r="BNT13" s="194"/>
      <c r="BNU13" s="194"/>
      <c r="BNV13" s="194"/>
      <c r="BNW13" s="194"/>
      <c r="BNX13" s="194"/>
      <c r="BNY13" s="194"/>
      <c r="BNZ13" s="194"/>
      <c r="BOA13" s="194"/>
      <c r="BOB13" s="194"/>
      <c r="BOC13" s="195"/>
      <c r="BOD13" s="193" t="s">
        <v>12</v>
      </c>
      <c r="BOE13" s="194"/>
      <c r="BOF13" s="194"/>
      <c r="BOG13" s="194"/>
      <c r="BOH13" s="194"/>
      <c r="BOI13" s="194"/>
      <c r="BOJ13" s="194"/>
      <c r="BOK13" s="194"/>
      <c r="BOL13" s="194"/>
      <c r="BOM13" s="194"/>
      <c r="BON13" s="194"/>
      <c r="BOO13" s="194"/>
      <c r="BOP13" s="194"/>
      <c r="BOQ13" s="194"/>
      <c r="BOR13" s="194"/>
      <c r="BOS13" s="194"/>
      <c r="BOT13" s="194"/>
      <c r="BOU13" s="194"/>
      <c r="BOV13" s="194"/>
      <c r="BOW13" s="194"/>
      <c r="BOX13" s="194"/>
      <c r="BOY13" s="194"/>
      <c r="BOZ13" s="194"/>
      <c r="BPA13" s="194"/>
      <c r="BPB13" s="194"/>
      <c r="BPC13" s="194"/>
      <c r="BPD13" s="194"/>
      <c r="BPE13" s="194"/>
      <c r="BPF13" s="194"/>
      <c r="BPG13" s="194"/>
      <c r="BPH13" s="194"/>
      <c r="BPI13" s="194"/>
      <c r="BPJ13" s="194"/>
      <c r="BPK13" s="194"/>
      <c r="BPL13" s="194"/>
      <c r="BPM13" s="194"/>
      <c r="BPN13" s="194"/>
      <c r="BPO13" s="194"/>
      <c r="BPP13" s="194"/>
      <c r="BPQ13" s="194"/>
      <c r="BPR13" s="194"/>
      <c r="BPS13" s="194"/>
      <c r="BPT13" s="194"/>
      <c r="BPU13" s="194"/>
      <c r="BPV13" s="194"/>
      <c r="BPW13" s="194"/>
      <c r="BPX13" s="194"/>
      <c r="BPY13" s="194"/>
      <c r="BPZ13" s="194"/>
      <c r="BQA13" s="194"/>
      <c r="BQB13" s="194"/>
      <c r="BQC13" s="194"/>
      <c r="BQD13" s="194"/>
      <c r="BQE13" s="194"/>
      <c r="BQF13" s="194"/>
      <c r="BQG13" s="194"/>
      <c r="BQH13" s="194"/>
      <c r="BQI13" s="194"/>
      <c r="BQJ13" s="194"/>
      <c r="BQK13" s="195"/>
      <c r="BQL13" s="193" t="s">
        <v>12</v>
      </c>
      <c r="BQM13" s="194"/>
      <c r="BQN13" s="194"/>
      <c r="BQO13" s="194"/>
      <c r="BQP13" s="194"/>
      <c r="BQQ13" s="194"/>
      <c r="BQR13" s="194"/>
      <c r="BQS13" s="194"/>
      <c r="BQT13" s="194"/>
      <c r="BQU13" s="194"/>
      <c r="BQV13" s="194"/>
      <c r="BQW13" s="194"/>
      <c r="BQX13" s="194"/>
      <c r="BQY13" s="194"/>
      <c r="BQZ13" s="194"/>
      <c r="BRA13" s="194"/>
      <c r="BRB13" s="194"/>
      <c r="BRC13" s="194"/>
      <c r="BRD13" s="194"/>
      <c r="BRE13" s="194"/>
      <c r="BRF13" s="194"/>
      <c r="BRG13" s="194"/>
      <c r="BRH13" s="194"/>
      <c r="BRI13" s="194"/>
      <c r="BRJ13" s="194"/>
      <c r="BRK13" s="194"/>
      <c r="BRL13" s="194"/>
      <c r="BRM13" s="194"/>
      <c r="BRN13" s="194"/>
      <c r="BRO13" s="194"/>
      <c r="BRP13" s="194"/>
      <c r="BRQ13" s="194"/>
      <c r="BRR13" s="194"/>
      <c r="BRS13" s="194"/>
      <c r="BRT13" s="194"/>
      <c r="BRU13" s="194"/>
      <c r="BRV13" s="194"/>
      <c r="BRW13" s="194"/>
      <c r="BRX13" s="194"/>
      <c r="BRY13" s="194"/>
      <c r="BRZ13" s="194"/>
      <c r="BSA13" s="194"/>
      <c r="BSB13" s="194"/>
      <c r="BSC13" s="194"/>
      <c r="BSD13" s="194"/>
      <c r="BSE13" s="194"/>
      <c r="BSF13" s="194"/>
      <c r="BSG13" s="194"/>
      <c r="BSH13" s="194"/>
      <c r="BSI13" s="194"/>
      <c r="BSJ13" s="194"/>
      <c r="BSK13" s="194"/>
      <c r="BSL13" s="194"/>
      <c r="BSM13" s="194"/>
      <c r="BSN13" s="194"/>
      <c r="BSO13" s="194"/>
      <c r="BSP13" s="194"/>
      <c r="BSQ13" s="194"/>
      <c r="BSR13" s="194"/>
      <c r="BSS13" s="195"/>
      <c r="BST13" s="193" t="s">
        <v>12</v>
      </c>
      <c r="BSU13" s="194"/>
      <c r="BSV13" s="194"/>
      <c r="BSW13" s="194"/>
      <c r="BSX13" s="194"/>
      <c r="BSY13" s="194"/>
      <c r="BSZ13" s="194"/>
      <c r="BTA13" s="194"/>
      <c r="BTB13" s="194"/>
      <c r="BTC13" s="194"/>
      <c r="BTD13" s="194"/>
      <c r="BTE13" s="194"/>
      <c r="BTF13" s="194"/>
      <c r="BTG13" s="194"/>
      <c r="BTH13" s="194"/>
      <c r="BTI13" s="194"/>
      <c r="BTJ13" s="194"/>
      <c r="BTK13" s="194"/>
      <c r="BTL13" s="194"/>
      <c r="BTM13" s="194"/>
      <c r="BTN13" s="194"/>
      <c r="BTO13" s="194"/>
      <c r="BTP13" s="194"/>
      <c r="BTQ13" s="194"/>
      <c r="BTR13" s="194"/>
      <c r="BTS13" s="194"/>
      <c r="BTT13" s="194"/>
      <c r="BTU13" s="194"/>
      <c r="BTV13" s="194"/>
      <c r="BTW13" s="194"/>
      <c r="BTX13" s="194"/>
      <c r="BTY13" s="194"/>
      <c r="BTZ13" s="194"/>
      <c r="BUA13" s="194"/>
      <c r="BUB13" s="194"/>
      <c r="BUC13" s="194"/>
      <c r="BUD13" s="194"/>
      <c r="BUE13" s="194"/>
      <c r="BUF13" s="194"/>
      <c r="BUG13" s="194"/>
      <c r="BUH13" s="194"/>
      <c r="BUI13" s="194"/>
      <c r="BUJ13" s="194"/>
      <c r="BUK13" s="194"/>
      <c r="BUL13" s="194"/>
      <c r="BUM13" s="194"/>
      <c r="BUN13" s="194"/>
      <c r="BUO13" s="194"/>
      <c r="BUP13" s="194"/>
      <c r="BUQ13" s="194"/>
      <c r="BUR13" s="194"/>
      <c r="BUS13" s="194"/>
      <c r="BUT13" s="194"/>
      <c r="BUU13" s="194"/>
      <c r="BUV13" s="194"/>
      <c r="BUW13" s="194"/>
      <c r="BUX13" s="194"/>
      <c r="BUY13" s="194"/>
      <c r="BUZ13" s="194"/>
      <c r="BVA13" s="195"/>
      <c r="BVB13" s="75"/>
    </row>
    <row r="14" spans="1:1926" ht="12.75" customHeight="1" thickBot="1" x14ac:dyDescent="0.35">
      <c r="B14" s="53"/>
      <c r="C14" s="198"/>
      <c r="D14" s="128"/>
      <c r="E14" s="200"/>
      <c r="F14" s="87"/>
      <c r="G14" s="88"/>
      <c r="H14" s="88"/>
      <c r="I14" s="88"/>
      <c r="J14" s="180" t="s">
        <v>35</v>
      </c>
      <c r="K14" s="180"/>
      <c r="L14" s="180"/>
      <c r="M14" s="180"/>
      <c r="N14" s="88"/>
      <c r="O14" s="88"/>
      <c r="P14" s="181" t="s">
        <v>24</v>
      </c>
      <c r="Q14" s="181"/>
      <c r="R14" s="181"/>
      <c r="S14" s="181"/>
      <c r="T14" s="112"/>
      <c r="U14" s="112"/>
      <c r="V14" s="180" t="s">
        <v>36</v>
      </c>
      <c r="W14" s="180"/>
      <c r="X14" s="180"/>
      <c r="Y14" s="180"/>
      <c r="Z14" s="88"/>
      <c r="AA14" s="88"/>
      <c r="AB14" s="181" t="s">
        <v>25</v>
      </c>
      <c r="AC14" s="181"/>
      <c r="AD14" s="181"/>
      <c r="AE14" s="181"/>
      <c r="AF14" s="112"/>
      <c r="AG14" s="112"/>
      <c r="AH14" s="180" t="s">
        <v>37</v>
      </c>
      <c r="AI14" s="180"/>
      <c r="AJ14" s="180"/>
      <c r="AK14" s="180"/>
      <c r="AL14" s="88"/>
      <c r="AM14" s="88"/>
      <c r="AN14" s="181" t="s">
        <v>26</v>
      </c>
      <c r="AO14" s="181"/>
      <c r="AP14" s="181"/>
      <c r="AQ14" s="181"/>
      <c r="AR14" s="112"/>
      <c r="AS14" s="112"/>
      <c r="AT14" s="180" t="s">
        <v>38</v>
      </c>
      <c r="AU14" s="180"/>
      <c r="AV14" s="180"/>
      <c r="AW14" s="180"/>
      <c r="AX14" s="88"/>
      <c r="AY14" s="88"/>
      <c r="AZ14" s="181" t="s">
        <v>27</v>
      </c>
      <c r="BA14" s="181"/>
      <c r="BB14" s="181"/>
      <c r="BC14" s="181"/>
      <c r="BD14" s="112"/>
      <c r="BE14" s="112"/>
      <c r="BF14" s="180" t="s">
        <v>39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35</v>
      </c>
      <c r="BS14" s="180"/>
      <c r="BT14" s="180"/>
      <c r="BU14" s="180"/>
      <c r="BV14" s="88"/>
      <c r="BW14" s="88"/>
      <c r="BX14" s="181" t="s">
        <v>24</v>
      </c>
      <c r="BY14" s="181"/>
      <c r="BZ14" s="181"/>
      <c r="CA14" s="181"/>
      <c r="CB14" s="112"/>
      <c r="CC14" s="112"/>
      <c r="CD14" s="180" t="s">
        <v>36</v>
      </c>
      <c r="CE14" s="180"/>
      <c r="CF14" s="180"/>
      <c r="CG14" s="180"/>
      <c r="CH14" s="88"/>
      <c r="CI14" s="88"/>
      <c r="CJ14" s="181" t="s">
        <v>25</v>
      </c>
      <c r="CK14" s="181"/>
      <c r="CL14" s="181"/>
      <c r="CM14" s="181"/>
      <c r="CN14" s="112"/>
      <c r="CO14" s="112"/>
      <c r="CP14" s="180" t="s">
        <v>37</v>
      </c>
      <c r="CQ14" s="180"/>
      <c r="CR14" s="180"/>
      <c r="CS14" s="180"/>
      <c r="CT14" s="88"/>
      <c r="CU14" s="88"/>
      <c r="CV14" s="181" t="s">
        <v>26</v>
      </c>
      <c r="CW14" s="181"/>
      <c r="CX14" s="181"/>
      <c r="CY14" s="181"/>
      <c r="CZ14" s="112"/>
      <c r="DA14" s="112"/>
      <c r="DB14" s="180" t="s">
        <v>38</v>
      </c>
      <c r="DC14" s="180"/>
      <c r="DD14" s="180"/>
      <c r="DE14" s="180"/>
      <c r="DF14" s="88"/>
      <c r="DG14" s="88"/>
      <c r="DH14" s="181" t="s">
        <v>27</v>
      </c>
      <c r="DI14" s="181"/>
      <c r="DJ14" s="181"/>
      <c r="DK14" s="181"/>
      <c r="DL14" s="112"/>
      <c r="DM14" s="112"/>
      <c r="DN14" s="180" t="s">
        <v>39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35</v>
      </c>
      <c r="EA14" s="180"/>
      <c r="EB14" s="180"/>
      <c r="EC14" s="180"/>
      <c r="ED14" s="88"/>
      <c r="EE14" s="88"/>
      <c r="EF14" s="181" t="s">
        <v>24</v>
      </c>
      <c r="EG14" s="181"/>
      <c r="EH14" s="181"/>
      <c r="EI14" s="181"/>
      <c r="EJ14" s="112"/>
      <c r="EK14" s="112"/>
      <c r="EL14" s="180" t="s">
        <v>36</v>
      </c>
      <c r="EM14" s="180"/>
      <c r="EN14" s="180"/>
      <c r="EO14" s="180"/>
      <c r="EP14" s="88"/>
      <c r="EQ14" s="88"/>
      <c r="ER14" s="181" t="s">
        <v>25</v>
      </c>
      <c r="ES14" s="181"/>
      <c r="ET14" s="181"/>
      <c r="EU14" s="181"/>
      <c r="EV14" s="112"/>
      <c r="EW14" s="112"/>
      <c r="EX14" s="180" t="s">
        <v>37</v>
      </c>
      <c r="EY14" s="180"/>
      <c r="EZ14" s="180"/>
      <c r="FA14" s="180"/>
      <c r="FB14" s="88"/>
      <c r="FC14" s="88"/>
      <c r="FD14" s="181" t="s">
        <v>26</v>
      </c>
      <c r="FE14" s="181"/>
      <c r="FF14" s="181"/>
      <c r="FG14" s="181"/>
      <c r="FH14" s="112"/>
      <c r="FI14" s="112"/>
      <c r="FJ14" s="180" t="s">
        <v>38</v>
      </c>
      <c r="FK14" s="180"/>
      <c r="FL14" s="180"/>
      <c r="FM14" s="180"/>
      <c r="FN14" s="88"/>
      <c r="FO14" s="88"/>
      <c r="FP14" s="181" t="s">
        <v>27</v>
      </c>
      <c r="FQ14" s="181"/>
      <c r="FR14" s="181"/>
      <c r="FS14" s="181"/>
      <c r="FT14" s="112"/>
      <c r="FU14" s="112"/>
      <c r="FV14" s="180" t="s">
        <v>39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35</v>
      </c>
      <c r="GI14" s="180"/>
      <c r="GJ14" s="180"/>
      <c r="GK14" s="180"/>
      <c r="GL14" s="88"/>
      <c r="GM14" s="88"/>
      <c r="GN14" s="181" t="s">
        <v>24</v>
      </c>
      <c r="GO14" s="181"/>
      <c r="GP14" s="181"/>
      <c r="GQ14" s="181"/>
      <c r="GR14" s="112"/>
      <c r="GS14" s="112"/>
      <c r="GT14" s="180" t="s">
        <v>36</v>
      </c>
      <c r="GU14" s="180"/>
      <c r="GV14" s="180"/>
      <c r="GW14" s="180"/>
      <c r="GX14" s="88"/>
      <c r="GY14" s="88"/>
      <c r="GZ14" s="181" t="s">
        <v>25</v>
      </c>
      <c r="HA14" s="181"/>
      <c r="HB14" s="181"/>
      <c r="HC14" s="181"/>
      <c r="HD14" s="112"/>
      <c r="HE14" s="112"/>
      <c r="HF14" s="180" t="s">
        <v>37</v>
      </c>
      <c r="HG14" s="180"/>
      <c r="HH14" s="180"/>
      <c r="HI14" s="180"/>
      <c r="HJ14" s="88"/>
      <c r="HK14" s="88"/>
      <c r="HL14" s="181" t="s">
        <v>26</v>
      </c>
      <c r="HM14" s="181"/>
      <c r="HN14" s="181"/>
      <c r="HO14" s="181"/>
      <c r="HP14" s="112"/>
      <c r="HQ14" s="112"/>
      <c r="HR14" s="180" t="s">
        <v>38</v>
      </c>
      <c r="HS14" s="180"/>
      <c r="HT14" s="180"/>
      <c r="HU14" s="180"/>
      <c r="HV14" s="88"/>
      <c r="HW14" s="88"/>
      <c r="HX14" s="181" t="s">
        <v>27</v>
      </c>
      <c r="HY14" s="181"/>
      <c r="HZ14" s="181"/>
      <c r="IA14" s="181"/>
      <c r="IB14" s="112"/>
      <c r="IC14" s="112"/>
      <c r="ID14" s="180" t="s">
        <v>39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35</v>
      </c>
      <c r="IQ14" s="180"/>
      <c r="IR14" s="180"/>
      <c r="IS14" s="180"/>
      <c r="IT14" s="88"/>
      <c r="IU14" s="88"/>
      <c r="IV14" s="181" t="s">
        <v>24</v>
      </c>
      <c r="IW14" s="181"/>
      <c r="IX14" s="181"/>
      <c r="IY14" s="181"/>
      <c r="IZ14" s="112"/>
      <c r="JA14" s="112"/>
      <c r="JB14" s="180" t="s">
        <v>36</v>
      </c>
      <c r="JC14" s="180"/>
      <c r="JD14" s="180"/>
      <c r="JE14" s="180"/>
      <c r="JF14" s="88"/>
      <c r="JG14" s="88"/>
      <c r="JH14" s="181" t="s">
        <v>25</v>
      </c>
      <c r="JI14" s="181"/>
      <c r="JJ14" s="181"/>
      <c r="JK14" s="181"/>
      <c r="JL14" s="112"/>
      <c r="JM14" s="112"/>
      <c r="JN14" s="180" t="s">
        <v>37</v>
      </c>
      <c r="JO14" s="180"/>
      <c r="JP14" s="180"/>
      <c r="JQ14" s="180"/>
      <c r="JR14" s="88"/>
      <c r="JS14" s="88"/>
      <c r="JT14" s="181" t="s">
        <v>26</v>
      </c>
      <c r="JU14" s="181"/>
      <c r="JV14" s="181"/>
      <c r="JW14" s="181"/>
      <c r="JX14" s="112"/>
      <c r="JY14" s="112"/>
      <c r="JZ14" s="180" t="s">
        <v>38</v>
      </c>
      <c r="KA14" s="180"/>
      <c r="KB14" s="180"/>
      <c r="KC14" s="180"/>
      <c r="KD14" s="88"/>
      <c r="KE14" s="88"/>
      <c r="KF14" s="181" t="s">
        <v>27</v>
      </c>
      <c r="KG14" s="181"/>
      <c r="KH14" s="181"/>
      <c r="KI14" s="181"/>
      <c r="KJ14" s="112"/>
      <c r="KK14" s="112"/>
      <c r="KL14" s="180" t="s">
        <v>39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35</v>
      </c>
      <c r="KY14" s="180"/>
      <c r="KZ14" s="180"/>
      <c r="LA14" s="180"/>
      <c r="LB14" s="88"/>
      <c r="LC14" s="88"/>
      <c r="LD14" s="181" t="s">
        <v>24</v>
      </c>
      <c r="LE14" s="181"/>
      <c r="LF14" s="181"/>
      <c r="LG14" s="181"/>
      <c r="LH14" s="112"/>
      <c r="LI14" s="112"/>
      <c r="LJ14" s="180" t="s">
        <v>36</v>
      </c>
      <c r="LK14" s="180"/>
      <c r="LL14" s="180"/>
      <c r="LM14" s="180"/>
      <c r="LN14" s="88"/>
      <c r="LO14" s="88"/>
      <c r="LP14" s="181" t="s">
        <v>25</v>
      </c>
      <c r="LQ14" s="181"/>
      <c r="LR14" s="181"/>
      <c r="LS14" s="181"/>
      <c r="LT14" s="112"/>
      <c r="LU14" s="112"/>
      <c r="LV14" s="180" t="s">
        <v>37</v>
      </c>
      <c r="LW14" s="180"/>
      <c r="LX14" s="180"/>
      <c r="LY14" s="180"/>
      <c r="LZ14" s="88"/>
      <c r="MA14" s="88"/>
      <c r="MB14" s="181" t="s">
        <v>26</v>
      </c>
      <c r="MC14" s="181"/>
      <c r="MD14" s="181"/>
      <c r="ME14" s="181"/>
      <c r="MF14" s="112"/>
      <c r="MG14" s="112"/>
      <c r="MH14" s="180" t="s">
        <v>38</v>
      </c>
      <c r="MI14" s="180"/>
      <c r="MJ14" s="180"/>
      <c r="MK14" s="180"/>
      <c r="ML14" s="88"/>
      <c r="MM14" s="88"/>
      <c r="MN14" s="181" t="s">
        <v>27</v>
      </c>
      <c r="MO14" s="181"/>
      <c r="MP14" s="181"/>
      <c r="MQ14" s="181"/>
      <c r="MR14" s="112"/>
      <c r="MS14" s="112"/>
      <c r="MT14" s="180" t="s">
        <v>39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35</v>
      </c>
      <c r="NG14" s="180"/>
      <c r="NH14" s="180"/>
      <c r="NI14" s="180"/>
      <c r="NJ14" s="88"/>
      <c r="NK14" s="88"/>
      <c r="NL14" s="181" t="s">
        <v>24</v>
      </c>
      <c r="NM14" s="181"/>
      <c r="NN14" s="181"/>
      <c r="NO14" s="181"/>
      <c r="NP14" s="112"/>
      <c r="NQ14" s="112"/>
      <c r="NR14" s="180" t="s">
        <v>36</v>
      </c>
      <c r="NS14" s="180"/>
      <c r="NT14" s="180"/>
      <c r="NU14" s="180"/>
      <c r="NV14" s="88"/>
      <c r="NW14" s="88"/>
      <c r="NX14" s="181" t="s">
        <v>25</v>
      </c>
      <c r="NY14" s="181"/>
      <c r="NZ14" s="181"/>
      <c r="OA14" s="181"/>
      <c r="OB14" s="112"/>
      <c r="OC14" s="112"/>
      <c r="OD14" s="180" t="s">
        <v>37</v>
      </c>
      <c r="OE14" s="180"/>
      <c r="OF14" s="180"/>
      <c r="OG14" s="180"/>
      <c r="OH14" s="88"/>
      <c r="OI14" s="88"/>
      <c r="OJ14" s="181" t="s">
        <v>26</v>
      </c>
      <c r="OK14" s="181"/>
      <c r="OL14" s="181"/>
      <c r="OM14" s="181"/>
      <c r="ON14" s="112"/>
      <c r="OO14" s="112"/>
      <c r="OP14" s="180" t="s">
        <v>38</v>
      </c>
      <c r="OQ14" s="180"/>
      <c r="OR14" s="180"/>
      <c r="OS14" s="180"/>
      <c r="OT14" s="88"/>
      <c r="OU14" s="88"/>
      <c r="OV14" s="181" t="s">
        <v>27</v>
      </c>
      <c r="OW14" s="181"/>
      <c r="OX14" s="181"/>
      <c r="OY14" s="181"/>
      <c r="OZ14" s="112"/>
      <c r="PA14" s="112"/>
      <c r="PB14" s="180" t="s">
        <v>39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35</v>
      </c>
      <c r="PO14" s="180"/>
      <c r="PP14" s="180"/>
      <c r="PQ14" s="180"/>
      <c r="PR14" s="88"/>
      <c r="PS14" s="88"/>
      <c r="PT14" s="181" t="s">
        <v>24</v>
      </c>
      <c r="PU14" s="181"/>
      <c r="PV14" s="181"/>
      <c r="PW14" s="181"/>
      <c r="PX14" s="112"/>
      <c r="PY14" s="112"/>
      <c r="PZ14" s="180" t="s">
        <v>36</v>
      </c>
      <c r="QA14" s="180"/>
      <c r="QB14" s="180"/>
      <c r="QC14" s="180"/>
      <c r="QD14" s="88"/>
      <c r="QE14" s="88"/>
      <c r="QF14" s="181" t="s">
        <v>25</v>
      </c>
      <c r="QG14" s="181"/>
      <c r="QH14" s="181"/>
      <c r="QI14" s="181"/>
      <c r="QJ14" s="112"/>
      <c r="QK14" s="112"/>
      <c r="QL14" s="180" t="s">
        <v>37</v>
      </c>
      <c r="QM14" s="180"/>
      <c r="QN14" s="180"/>
      <c r="QO14" s="180"/>
      <c r="QP14" s="88"/>
      <c r="QQ14" s="88"/>
      <c r="QR14" s="181" t="s">
        <v>26</v>
      </c>
      <c r="QS14" s="181"/>
      <c r="QT14" s="181"/>
      <c r="QU14" s="181"/>
      <c r="QV14" s="112"/>
      <c r="QW14" s="112"/>
      <c r="QX14" s="180" t="s">
        <v>38</v>
      </c>
      <c r="QY14" s="180"/>
      <c r="QZ14" s="180"/>
      <c r="RA14" s="180"/>
      <c r="RB14" s="88"/>
      <c r="RC14" s="88"/>
      <c r="RD14" s="181" t="s">
        <v>27</v>
      </c>
      <c r="RE14" s="181"/>
      <c r="RF14" s="181"/>
      <c r="RG14" s="181"/>
      <c r="RH14" s="112"/>
      <c r="RI14" s="112"/>
      <c r="RJ14" s="180" t="s">
        <v>39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35</v>
      </c>
      <c r="RW14" s="180"/>
      <c r="RX14" s="180"/>
      <c r="RY14" s="180"/>
      <c r="RZ14" s="88"/>
      <c r="SA14" s="88"/>
      <c r="SB14" s="181" t="s">
        <v>24</v>
      </c>
      <c r="SC14" s="181"/>
      <c r="SD14" s="181"/>
      <c r="SE14" s="181"/>
      <c r="SF14" s="112"/>
      <c r="SG14" s="112"/>
      <c r="SH14" s="180" t="s">
        <v>36</v>
      </c>
      <c r="SI14" s="180"/>
      <c r="SJ14" s="180"/>
      <c r="SK14" s="180"/>
      <c r="SL14" s="88"/>
      <c r="SM14" s="88"/>
      <c r="SN14" s="181" t="s">
        <v>25</v>
      </c>
      <c r="SO14" s="181"/>
      <c r="SP14" s="181"/>
      <c r="SQ14" s="181"/>
      <c r="SR14" s="112"/>
      <c r="SS14" s="112"/>
      <c r="ST14" s="180" t="s">
        <v>37</v>
      </c>
      <c r="SU14" s="180"/>
      <c r="SV14" s="180"/>
      <c r="SW14" s="180"/>
      <c r="SX14" s="88"/>
      <c r="SY14" s="88"/>
      <c r="SZ14" s="181" t="s">
        <v>26</v>
      </c>
      <c r="TA14" s="181"/>
      <c r="TB14" s="181"/>
      <c r="TC14" s="181"/>
      <c r="TD14" s="112"/>
      <c r="TE14" s="112"/>
      <c r="TF14" s="180" t="s">
        <v>38</v>
      </c>
      <c r="TG14" s="180"/>
      <c r="TH14" s="180"/>
      <c r="TI14" s="180"/>
      <c r="TJ14" s="88"/>
      <c r="TK14" s="88"/>
      <c r="TL14" s="181" t="s">
        <v>27</v>
      </c>
      <c r="TM14" s="181"/>
      <c r="TN14" s="181"/>
      <c r="TO14" s="181"/>
      <c r="TP14" s="112"/>
      <c r="TQ14" s="112"/>
      <c r="TR14" s="180" t="s">
        <v>39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35</v>
      </c>
      <c r="UE14" s="180"/>
      <c r="UF14" s="180"/>
      <c r="UG14" s="180"/>
      <c r="UH14" s="88"/>
      <c r="UI14" s="88"/>
      <c r="UJ14" s="181" t="s">
        <v>24</v>
      </c>
      <c r="UK14" s="181"/>
      <c r="UL14" s="181"/>
      <c r="UM14" s="181"/>
      <c r="UN14" s="112"/>
      <c r="UO14" s="112"/>
      <c r="UP14" s="180" t="s">
        <v>36</v>
      </c>
      <c r="UQ14" s="180"/>
      <c r="UR14" s="180"/>
      <c r="US14" s="180"/>
      <c r="UT14" s="88"/>
      <c r="UU14" s="88"/>
      <c r="UV14" s="181" t="s">
        <v>25</v>
      </c>
      <c r="UW14" s="181"/>
      <c r="UX14" s="181"/>
      <c r="UY14" s="181"/>
      <c r="UZ14" s="112"/>
      <c r="VA14" s="112"/>
      <c r="VB14" s="180" t="s">
        <v>37</v>
      </c>
      <c r="VC14" s="180"/>
      <c r="VD14" s="180"/>
      <c r="VE14" s="180"/>
      <c r="VF14" s="88"/>
      <c r="VG14" s="88"/>
      <c r="VH14" s="181" t="s">
        <v>26</v>
      </c>
      <c r="VI14" s="181"/>
      <c r="VJ14" s="181"/>
      <c r="VK14" s="181"/>
      <c r="VL14" s="112"/>
      <c r="VM14" s="112"/>
      <c r="VN14" s="180" t="s">
        <v>38</v>
      </c>
      <c r="VO14" s="180"/>
      <c r="VP14" s="180"/>
      <c r="VQ14" s="180"/>
      <c r="VR14" s="88"/>
      <c r="VS14" s="88"/>
      <c r="VT14" s="181" t="s">
        <v>27</v>
      </c>
      <c r="VU14" s="181"/>
      <c r="VV14" s="181"/>
      <c r="VW14" s="181"/>
      <c r="VX14" s="112"/>
      <c r="VY14" s="112"/>
      <c r="VZ14" s="180" t="s">
        <v>39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35</v>
      </c>
      <c r="WM14" s="180"/>
      <c r="WN14" s="180"/>
      <c r="WO14" s="180"/>
      <c r="WP14" s="88"/>
      <c r="WQ14" s="88"/>
      <c r="WR14" s="181" t="s">
        <v>24</v>
      </c>
      <c r="WS14" s="181"/>
      <c r="WT14" s="181"/>
      <c r="WU14" s="181"/>
      <c r="WV14" s="112"/>
      <c r="WW14" s="112"/>
      <c r="WX14" s="180" t="s">
        <v>36</v>
      </c>
      <c r="WY14" s="180"/>
      <c r="WZ14" s="180"/>
      <c r="XA14" s="180"/>
      <c r="XB14" s="88"/>
      <c r="XC14" s="88"/>
      <c r="XD14" s="181" t="s">
        <v>25</v>
      </c>
      <c r="XE14" s="181"/>
      <c r="XF14" s="181"/>
      <c r="XG14" s="181"/>
      <c r="XH14" s="112"/>
      <c r="XI14" s="112"/>
      <c r="XJ14" s="180" t="s">
        <v>37</v>
      </c>
      <c r="XK14" s="180"/>
      <c r="XL14" s="180"/>
      <c r="XM14" s="180"/>
      <c r="XN14" s="88"/>
      <c r="XO14" s="88"/>
      <c r="XP14" s="181" t="s">
        <v>26</v>
      </c>
      <c r="XQ14" s="181"/>
      <c r="XR14" s="181"/>
      <c r="XS14" s="181"/>
      <c r="XT14" s="112"/>
      <c r="XU14" s="112"/>
      <c r="XV14" s="180" t="s">
        <v>38</v>
      </c>
      <c r="XW14" s="180"/>
      <c r="XX14" s="180"/>
      <c r="XY14" s="180"/>
      <c r="XZ14" s="88"/>
      <c r="YA14" s="88"/>
      <c r="YB14" s="181" t="s">
        <v>27</v>
      </c>
      <c r="YC14" s="181"/>
      <c r="YD14" s="181"/>
      <c r="YE14" s="181"/>
      <c r="YF14" s="112"/>
      <c r="YG14" s="112"/>
      <c r="YH14" s="180" t="s">
        <v>39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35</v>
      </c>
      <c r="YU14" s="180"/>
      <c r="YV14" s="180"/>
      <c r="YW14" s="180"/>
      <c r="YX14" s="88"/>
      <c r="YY14" s="88"/>
      <c r="YZ14" s="181" t="s">
        <v>24</v>
      </c>
      <c r="ZA14" s="181"/>
      <c r="ZB14" s="181"/>
      <c r="ZC14" s="181"/>
      <c r="ZD14" s="112"/>
      <c r="ZE14" s="112"/>
      <c r="ZF14" s="180" t="s">
        <v>36</v>
      </c>
      <c r="ZG14" s="180"/>
      <c r="ZH14" s="180"/>
      <c r="ZI14" s="180"/>
      <c r="ZJ14" s="88"/>
      <c r="ZK14" s="88"/>
      <c r="ZL14" s="181" t="s">
        <v>25</v>
      </c>
      <c r="ZM14" s="181"/>
      <c r="ZN14" s="181"/>
      <c r="ZO14" s="181"/>
      <c r="ZP14" s="112"/>
      <c r="ZQ14" s="112"/>
      <c r="ZR14" s="180" t="s">
        <v>37</v>
      </c>
      <c r="ZS14" s="180"/>
      <c r="ZT14" s="180"/>
      <c r="ZU14" s="180"/>
      <c r="ZV14" s="88"/>
      <c r="ZW14" s="88"/>
      <c r="ZX14" s="181" t="s">
        <v>26</v>
      </c>
      <c r="ZY14" s="181"/>
      <c r="ZZ14" s="181"/>
      <c r="AAA14" s="181"/>
      <c r="AAB14" s="112"/>
      <c r="AAC14" s="112"/>
      <c r="AAD14" s="180" t="s">
        <v>38</v>
      </c>
      <c r="AAE14" s="180"/>
      <c r="AAF14" s="180"/>
      <c r="AAG14" s="180"/>
      <c r="AAH14" s="88"/>
      <c r="AAI14" s="88"/>
      <c r="AAJ14" s="181" t="s">
        <v>27</v>
      </c>
      <c r="AAK14" s="181"/>
      <c r="AAL14" s="181"/>
      <c r="AAM14" s="181"/>
      <c r="AAN14" s="112"/>
      <c r="AAO14" s="112"/>
      <c r="AAP14" s="180" t="s">
        <v>39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35</v>
      </c>
      <c r="ABC14" s="180"/>
      <c r="ABD14" s="180"/>
      <c r="ABE14" s="180"/>
      <c r="ABF14" s="88"/>
      <c r="ABG14" s="88"/>
      <c r="ABH14" s="181" t="s">
        <v>24</v>
      </c>
      <c r="ABI14" s="181"/>
      <c r="ABJ14" s="181"/>
      <c r="ABK14" s="181"/>
      <c r="ABL14" s="112"/>
      <c r="ABM14" s="112"/>
      <c r="ABN14" s="180" t="s">
        <v>36</v>
      </c>
      <c r="ABO14" s="180"/>
      <c r="ABP14" s="180"/>
      <c r="ABQ14" s="180"/>
      <c r="ABR14" s="88"/>
      <c r="ABS14" s="88"/>
      <c r="ABT14" s="181" t="s">
        <v>25</v>
      </c>
      <c r="ABU14" s="181"/>
      <c r="ABV14" s="181"/>
      <c r="ABW14" s="181"/>
      <c r="ABX14" s="112"/>
      <c r="ABY14" s="112"/>
      <c r="ABZ14" s="180" t="s">
        <v>37</v>
      </c>
      <c r="ACA14" s="180"/>
      <c r="ACB14" s="180"/>
      <c r="ACC14" s="180"/>
      <c r="ACD14" s="88"/>
      <c r="ACE14" s="88"/>
      <c r="ACF14" s="181" t="s">
        <v>26</v>
      </c>
      <c r="ACG14" s="181"/>
      <c r="ACH14" s="181"/>
      <c r="ACI14" s="181"/>
      <c r="ACJ14" s="112"/>
      <c r="ACK14" s="112"/>
      <c r="ACL14" s="180" t="s">
        <v>38</v>
      </c>
      <c r="ACM14" s="180"/>
      <c r="ACN14" s="180"/>
      <c r="ACO14" s="180"/>
      <c r="ACP14" s="88"/>
      <c r="ACQ14" s="88"/>
      <c r="ACR14" s="181" t="s">
        <v>27</v>
      </c>
      <c r="ACS14" s="181"/>
      <c r="ACT14" s="181"/>
      <c r="ACU14" s="181"/>
      <c r="ACV14" s="112"/>
      <c r="ACW14" s="112"/>
      <c r="ACX14" s="180" t="s">
        <v>39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35</v>
      </c>
      <c r="ADK14" s="180"/>
      <c r="ADL14" s="180"/>
      <c r="ADM14" s="180"/>
      <c r="ADN14" s="88"/>
      <c r="ADO14" s="88"/>
      <c r="ADP14" s="181" t="s">
        <v>24</v>
      </c>
      <c r="ADQ14" s="181"/>
      <c r="ADR14" s="181"/>
      <c r="ADS14" s="181"/>
      <c r="ADT14" s="112"/>
      <c r="ADU14" s="112"/>
      <c r="ADV14" s="180" t="s">
        <v>36</v>
      </c>
      <c r="ADW14" s="180"/>
      <c r="ADX14" s="180"/>
      <c r="ADY14" s="180"/>
      <c r="ADZ14" s="88"/>
      <c r="AEA14" s="88"/>
      <c r="AEB14" s="181" t="s">
        <v>25</v>
      </c>
      <c r="AEC14" s="181"/>
      <c r="AED14" s="181"/>
      <c r="AEE14" s="181"/>
      <c r="AEF14" s="112"/>
      <c r="AEG14" s="112"/>
      <c r="AEH14" s="180" t="s">
        <v>37</v>
      </c>
      <c r="AEI14" s="180"/>
      <c r="AEJ14" s="180"/>
      <c r="AEK14" s="180"/>
      <c r="AEL14" s="88"/>
      <c r="AEM14" s="88"/>
      <c r="AEN14" s="181" t="s">
        <v>26</v>
      </c>
      <c r="AEO14" s="181"/>
      <c r="AEP14" s="181"/>
      <c r="AEQ14" s="181"/>
      <c r="AER14" s="112"/>
      <c r="AES14" s="112"/>
      <c r="AET14" s="180" t="s">
        <v>38</v>
      </c>
      <c r="AEU14" s="180"/>
      <c r="AEV14" s="180"/>
      <c r="AEW14" s="180"/>
      <c r="AEX14" s="88"/>
      <c r="AEY14" s="88"/>
      <c r="AEZ14" s="181" t="s">
        <v>27</v>
      </c>
      <c r="AFA14" s="181"/>
      <c r="AFB14" s="181"/>
      <c r="AFC14" s="181"/>
      <c r="AFD14" s="112"/>
      <c r="AFE14" s="112"/>
      <c r="AFF14" s="180" t="s">
        <v>39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35</v>
      </c>
      <c r="AFS14" s="180"/>
      <c r="AFT14" s="180"/>
      <c r="AFU14" s="180"/>
      <c r="AFV14" s="88"/>
      <c r="AFW14" s="88"/>
      <c r="AFX14" s="181" t="s">
        <v>24</v>
      </c>
      <c r="AFY14" s="181"/>
      <c r="AFZ14" s="181"/>
      <c r="AGA14" s="181"/>
      <c r="AGB14" s="112"/>
      <c r="AGC14" s="112"/>
      <c r="AGD14" s="180" t="s">
        <v>36</v>
      </c>
      <c r="AGE14" s="180"/>
      <c r="AGF14" s="180"/>
      <c r="AGG14" s="180"/>
      <c r="AGH14" s="88"/>
      <c r="AGI14" s="88"/>
      <c r="AGJ14" s="181" t="s">
        <v>25</v>
      </c>
      <c r="AGK14" s="181"/>
      <c r="AGL14" s="181"/>
      <c r="AGM14" s="181"/>
      <c r="AGN14" s="112"/>
      <c r="AGO14" s="112"/>
      <c r="AGP14" s="180" t="s">
        <v>37</v>
      </c>
      <c r="AGQ14" s="180"/>
      <c r="AGR14" s="180"/>
      <c r="AGS14" s="180"/>
      <c r="AGT14" s="88"/>
      <c r="AGU14" s="88"/>
      <c r="AGV14" s="181" t="s">
        <v>26</v>
      </c>
      <c r="AGW14" s="181"/>
      <c r="AGX14" s="181"/>
      <c r="AGY14" s="181"/>
      <c r="AGZ14" s="112"/>
      <c r="AHA14" s="112"/>
      <c r="AHB14" s="180" t="s">
        <v>38</v>
      </c>
      <c r="AHC14" s="180"/>
      <c r="AHD14" s="180"/>
      <c r="AHE14" s="180"/>
      <c r="AHF14" s="88"/>
      <c r="AHG14" s="88"/>
      <c r="AHH14" s="181" t="s">
        <v>27</v>
      </c>
      <c r="AHI14" s="181"/>
      <c r="AHJ14" s="181"/>
      <c r="AHK14" s="181"/>
      <c r="AHL14" s="112"/>
      <c r="AHM14" s="112"/>
      <c r="AHN14" s="180" t="s">
        <v>39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35</v>
      </c>
      <c r="AIA14" s="180"/>
      <c r="AIB14" s="180"/>
      <c r="AIC14" s="180"/>
      <c r="AID14" s="88"/>
      <c r="AIE14" s="88"/>
      <c r="AIF14" s="181" t="s">
        <v>24</v>
      </c>
      <c r="AIG14" s="181"/>
      <c r="AIH14" s="181"/>
      <c r="AII14" s="181"/>
      <c r="AIJ14" s="112"/>
      <c r="AIK14" s="112"/>
      <c r="AIL14" s="180" t="s">
        <v>36</v>
      </c>
      <c r="AIM14" s="180"/>
      <c r="AIN14" s="180"/>
      <c r="AIO14" s="180"/>
      <c r="AIP14" s="88"/>
      <c r="AIQ14" s="88"/>
      <c r="AIR14" s="181" t="s">
        <v>25</v>
      </c>
      <c r="AIS14" s="181"/>
      <c r="AIT14" s="181"/>
      <c r="AIU14" s="181"/>
      <c r="AIV14" s="112"/>
      <c r="AIW14" s="112"/>
      <c r="AIX14" s="180" t="s">
        <v>37</v>
      </c>
      <c r="AIY14" s="180"/>
      <c r="AIZ14" s="180"/>
      <c r="AJA14" s="180"/>
      <c r="AJB14" s="88"/>
      <c r="AJC14" s="88"/>
      <c r="AJD14" s="181" t="s">
        <v>26</v>
      </c>
      <c r="AJE14" s="181"/>
      <c r="AJF14" s="181"/>
      <c r="AJG14" s="181"/>
      <c r="AJH14" s="112"/>
      <c r="AJI14" s="112"/>
      <c r="AJJ14" s="180" t="s">
        <v>38</v>
      </c>
      <c r="AJK14" s="180"/>
      <c r="AJL14" s="180"/>
      <c r="AJM14" s="180"/>
      <c r="AJN14" s="88"/>
      <c r="AJO14" s="88"/>
      <c r="AJP14" s="181" t="s">
        <v>27</v>
      </c>
      <c r="AJQ14" s="181"/>
      <c r="AJR14" s="181"/>
      <c r="AJS14" s="181"/>
      <c r="AJT14" s="112"/>
      <c r="AJU14" s="112"/>
      <c r="AJV14" s="180" t="s">
        <v>39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35</v>
      </c>
      <c r="AKI14" s="180"/>
      <c r="AKJ14" s="180"/>
      <c r="AKK14" s="180"/>
      <c r="AKL14" s="88"/>
      <c r="AKM14" s="88"/>
      <c r="AKN14" s="181" t="s">
        <v>24</v>
      </c>
      <c r="AKO14" s="181"/>
      <c r="AKP14" s="181"/>
      <c r="AKQ14" s="181"/>
      <c r="AKR14" s="112"/>
      <c r="AKS14" s="112"/>
      <c r="AKT14" s="180" t="s">
        <v>36</v>
      </c>
      <c r="AKU14" s="180"/>
      <c r="AKV14" s="180"/>
      <c r="AKW14" s="180"/>
      <c r="AKX14" s="88"/>
      <c r="AKY14" s="88"/>
      <c r="AKZ14" s="181" t="s">
        <v>25</v>
      </c>
      <c r="ALA14" s="181"/>
      <c r="ALB14" s="181"/>
      <c r="ALC14" s="181"/>
      <c r="ALD14" s="112"/>
      <c r="ALE14" s="112"/>
      <c r="ALF14" s="180" t="s">
        <v>37</v>
      </c>
      <c r="ALG14" s="180"/>
      <c r="ALH14" s="180"/>
      <c r="ALI14" s="180"/>
      <c r="ALJ14" s="88"/>
      <c r="ALK14" s="88"/>
      <c r="ALL14" s="181" t="s">
        <v>26</v>
      </c>
      <c r="ALM14" s="181"/>
      <c r="ALN14" s="181"/>
      <c r="ALO14" s="181"/>
      <c r="ALP14" s="112"/>
      <c r="ALQ14" s="112"/>
      <c r="ALR14" s="180" t="s">
        <v>38</v>
      </c>
      <c r="ALS14" s="180"/>
      <c r="ALT14" s="180"/>
      <c r="ALU14" s="180"/>
      <c r="ALV14" s="88"/>
      <c r="ALW14" s="88"/>
      <c r="ALX14" s="181" t="s">
        <v>27</v>
      </c>
      <c r="ALY14" s="181"/>
      <c r="ALZ14" s="181"/>
      <c r="AMA14" s="181"/>
      <c r="AMB14" s="112"/>
      <c r="AMC14" s="112"/>
      <c r="AMD14" s="180" t="s">
        <v>39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35</v>
      </c>
      <c r="AMQ14" s="180"/>
      <c r="AMR14" s="180"/>
      <c r="AMS14" s="180"/>
      <c r="AMT14" s="88"/>
      <c r="AMU14" s="88"/>
      <c r="AMV14" s="181" t="s">
        <v>24</v>
      </c>
      <c r="AMW14" s="181"/>
      <c r="AMX14" s="181"/>
      <c r="AMY14" s="181"/>
      <c r="AMZ14" s="112"/>
      <c r="ANA14" s="112"/>
      <c r="ANB14" s="180" t="s">
        <v>36</v>
      </c>
      <c r="ANC14" s="180"/>
      <c r="AND14" s="180"/>
      <c r="ANE14" s="180"/>
      <c r="ANF14" s="88"/>
      <c r="ANG14" s="88"/>
      <c r="ANH14" s="181" t="s">
        <v>25</v>
      </c>
      <c r="ANI14" s="181"/>
      <c r="ANJ14" s="181"/>
      <c r="ANK14" s="181"/>
      <c r="ANL14" s="112"/>
      <c r="ANM14" s="112"/>
      <c r="ANN14" s="180" t="s">
        <v>37</v>
      </c>
      <c r="ANO14" s="180"/>
      <c r="ANP14" s="180"/>
      <c r="ANQ14" s="180"/>
      <c r="ANR14" s="88"/>
      <c r="ANS14" s="88"/>
      <c r="ANT14" s="181" t="s">
        <v>26</v>
      </c>
      <c r="ANU14" s="181"/>
      <c r="ANV14" s="181"/>
      <c r="ANW14" s="181"/>
      <c r="ANX14" s="112"/>
      <c r="ANY14" s="112"/>
      <c r="ANZ14" s="180" t="s">
        <v>38</v>
      </c>
      <c r="AOA14" s="180"/>
      <c r="AOB14" s="180"/>
      <c r="AOC14" s="180"/>
      <c r="AOD14" s="88"/>
      <c r="AOE14" s="88"/>
      <c r="AOF14" s="181" t="s">
        <v>27</v>
      </c>
      <c r="AOG14" s="181"/>
      <c r="AOH14" s="181"/>
      <c r="AOI14" s="181"/>
      <c r="AOJ14" s="112"/>
      <c r="AOK14" s="112"/>
      <c r="AOL14" s="180" t="s">
        <v>39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35</v>
      </c>
      <c r="AOY14" s="180"/>
      <c r="AOZ14" s="180"/>
      <c r="APA14" s="180"/>
      <c r="APB14" s="88"/>
      <c r="APC14" s="88"/>
      <c r="APD14" s="181" t="s">
        <v>24</v>
      </c>
      <c r="APE14" s="181"/>
      <c r="APF14" s="181"/>
      <c r="APG14" s="181"/>
      <c r="APH14" s="112"/>
      <c r="API14" s="112"/>
      <c r="APJ14" s="180" t="s">
        <v>36</v>
      </c>
      <c r="APK14" s="180"/>
      <c r="APL14" s="180"/>
      <c r="APM14" s="180"/>
      <c r="APN14" s="88"/>
      <c r="APO14" s="88"/>
      <c r="APP14" s="181" t="s">
        <v>25</v>
      </c>
      <c r="APQ14" s="181"/>
      <c r="APR14" s="181"/>
      <c r="APS14" s="181"/>
      <c r="APT14" s="112"/>
      <c r="APU14" s="112"/>
      <c r="APV14" s="180" t="s">
        <v>37</v>
      </c>
      <c r="APW14" s="180"/>
      <c r="APX14" s="180"/>
      <c r="APY14" s="180"/>
      <c r="APZ14" s="88"/>
      <c r="AQA14" s="88"/>
      <c r="AQB14" s="181" t="s">
        <v>26</v>
      </c>
      <c r="AQC14" s="181"/>
      <c r="AQD14" s="181"/>
      <c r="AQE14" s="181"/>
      <c r="AQF14" s="112"/>
      <c r="AQG14" s="112"/>
      <c r="AQH14" s="180" t="s">
        <v>38</v>
      </c>
      <c r="AQI14" s="180"/>
      <c r="AQJ14" s="180"/>
      <c r="AQK14" s="180"/>
      <c r="AQL14" s="88"/>
      <c r="AQM14" s="88"/>
      <c r="AQN14" s="181" t="s">
        <v>27</v>
      </c>
      <c r="AQO14" s="181"/>
      <c r="AQP14" s="181"/>
      <c r="AQQ14" s="181"/>
      <c r="AQR14" s="112"/>
      <c r="AQS14" s="112"/>
      <c r="AQT14" s="180" t="s">
        <v>39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35</v>
      </c>
      <c r="ARG14" s="180"/>
      <c r="ARH14" s="180"/>
      <c r="ARI14" s="180"/>
      <c r="ARJ14" s="88"/>
      <c r="ARK14" s="88"/>
      <c r="ARL14" s="181" t="s">
        <v>24</v>
      </c>
      <c r="ARM14" s="181"/>
      <c r="ARN14" s="181"/>
      <c r="ARO14" s="181"/>
      <c r="ARP14" s="112"/>
      <c r="ARQ14" s="112"/>
      <c r="ARR14" s="180" t="s">
        <v>36</v>
      </c>
      <c r="ARS14" s="180"/>
      <c r="ART14" s="180"/>
      <c r="ARU14" s="180"/>
      <c r="ARV14" s="88"/>
      <c r="ARW14" s="88"/>
      <c r="ARX14" s="181" t="s">
        <v>25</v>
      </c>
      <c r="ARY14" s="181"/>
      <c r="ARZ14" s="181"/>
      <c r="ASA14" s="181"/>
      <c r="ASB14" s="112"/>
      <c r="ASC14" s="112"/>
      <c r="ASD14" s="180" t="s">
        <v>37</v>
      </c>
      <c r="ASE14" s="180"/>
      <c r="ASF14" s="180"/>
      <c r="ASG14" s="180"/>
      <c r="ASH14" s="88"/>
      <c r="ASI14" s="88"/>
      <c r="ASJ14" s="181" t="s">
        <v>26</v>
      </c>
      <c r="ASK14" s="181"/>
      <c r="ASL14" s="181"/>
      <c r="ASM14" s="181"/>
      <c r="ASN14" s="112"/>
      <c r="ASO14" s="112"/>
      <c r="ASP14" s="180" t="s">
        <v>38</v>
      </c>
      <c r="ASQ14" s="180"/>
      <c r="ASR14" s="180"/>
      <c r="ASS14" s="180"/>
      <c r="AST14" s="88"/>
      <c r="ASU14" s="88"/>
      <c r="ASV14" s="181" t="s">
        <v>27</v>
      </c>
      <c r="ASW14" s="181"/>
      <c r="ASX14" s="181"/>
      <c r="ASY14" s="181"/>
      <c r="ASZ14" s="112"/>
      <c r="ATA14" s="112"/>
      <c r="ATB14" s="180" t="s">
        <v>39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35</v>
      </c>
      <c r="ATO14" s="180"/>
      <c r="ATP14" s="180"/>
      <c r="ATQ14" s="180"/>
      <c r="ATR14" s="88"/>
      <c r="ATS14" s="88"/>
      <c r="ATT14" s="181" t="s">
        <v>24</v>
      </c>
      <c r="ATU14" s="181"/>
      <c r="ATV14" s="181"/>
      <c r="ATW14" s="181"/>
      <c r="ATX14" s="112"/>
      <c r="ATY14" s="112"/>
      <c r="ATZ14" s="180" t="s">
        <v>36</v>
      </c>
      <c r="AUA14" s="180"/>
      <c r="AUB14" s="180"/>
      <c r="AUC14" s="180"/>
      <c r="AUD14" s="88"/>
      <c r="AUE14" s="88"/>
      <c r="AUF14" s="181" t="s">
        <v>25</v>
      </c>
      <c r="AUG14" s="181"/>
      <c r="AUH14" s="181"/>
      <c r="AUI14" s="181"/>
      <c r="AUJ14" s="112"/>
      <c r="AUK14" s="112"/>
      <c r="AUL14" s="180" t="s">
        <v>37</v>
      </c>
      <c r="AUM14" s="180"/>
      <c r="AUN14" s="180"/>
      <c r="AUO14" s="180"/>
      <c r="AUP14" s="88"/>
      <c r="AUQ14" s="88"/>
      <c r="AUR14" s="181" t="s">
        <v>26</v>
      </c>
      <c r="AUS14" s="181"/>
      <c r="AUT14" s="181"/>
      <c r="AUU14" s="181"/>
      <c r="AUV14" s="112"/>
      <c r="AUW14" s="112"/>
      <c r="AUX14" s="180" t="s">
        <v>38</v>
      </c>
      <c r="AUY14" s="180"/>
      <c r="AUZ14" s="180"/>
      <c r="AVA14" s="180"/>
      <c r="AVB14" s="88"/>
      <c r="AVC14" s="88"/>
      <c r="AVD14" s="181" t="s">
        <v>27</v>
      </c>
      <c r="AVE14" s="181"/>
      <c r="AVF14" s="181"/>
      <c r="AVG14" s="181"/>
      <c r="AVH14" s="112"/>
      <c r="AVI14" s="112"/>
      <c r="AVJ14" s="180" t="s">
        <v>39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35</v>
      </c>
      <c r="AVW14" s="180"/>
      <c r="AVX14" s="180"/>
      <c r="AVY14" s="180"/>
      <c r="AVZ14" s="88"/>
      <c r="AWA14" s="88"/>
      <c r="AWB14" s="181" t="s">
        <v>24</v>
      </c>
      <c r="AWC14" s="181"/>
      <c r="AWD14" s="181"/>
      <c r="AWE14" s="181"/>
      <c r="AWF14" s="112"/>
      <c r="AWG14" s="112"/>
      <c r="AWH14" s="180" t="s">
        <v>36</v>
      </c>
      <c r="AWI14" s="180"/>
      <c r="AWJ14" s="180"/>
      <c r="AWK14" s="180"/>
      <c r="AWL14" s="88"/>
      <c r="AWM14" s="88"/>
      <c r="AWN14" s="181" t="s">
        <v>25</v>
      </c>
      <c r="AWO14" s="181"/>
      <c r="AWP14" s="181"/>
      <c r="AWQ14" s="181"/>
      <c r="AWR14" s="112"/>
      <c r="AWS14" s="112"/>
      <c r="AWT14" s="180" t="s">
        <v>37</v>
      </c>
      <c r="AWU14" s="180"/>
      <c r="AWV14" s="180"/>
      <c r="AWW14" s="180"/>
      <c r="AWX14" s="88"/>
      <c r="AWY14" s="88"/>
      <c r="AWZ14" s="181" t="s">
        <v>26</v>
      </c>
      <c r="AXA14" s="181"/>
      <c r="AXB14" s="181"/>
      <c r="AXC14" s="181"/>
      <c r="AXD14" s="112"/>
      <c r="AXE14" s="112"/>
      <c r="AXF14" s="180" t="s">
        <v>38</v>
      </c>
      <c r="AXG14" s="180"/>
      <c r="AXH14" s="180"/>
      <c r="AXI14" s="180"/>
      <c r="AXJ14" s="88"/>
      <c r="AXK14" s="88"/>
      <c r="AXL14" s="181" t="s">
        <v>27</v>
      </c>
      <c r="AXM14" s="181"/>
      <c r="AXN14" s="181"/>
      <c r="AXO14" s="181"/>
      <c r="AXP14" s="112"/>
      <c r="AXQ14" s="112"/>
      <c r="AXR14" s="180" t="s">
        <v>39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35</v>
      </c>
      <c r="AYE14" s="180"/>
      <c r="AYF14" s="180"/>
      <c r="AYG14" s="180"/>
      <c r="AYH14" s="88"/>
      <c r="AYI14" s="88"/>
      <c r="AYJ14" s="181" t="s">
        <v>24</v>
      </c>
      <c r="AYK14" s="181"/>
      <c r="AYL14" s="181"/>
      <c r="AYM14" s="181"/>
      <c r="AYN14" s="112"/>
      <c r="AYO14" s="112"/>
      <c r="AYP14" s="180" t="s">
        <v>36</v>
      </c>
      <c r="AYQ14" s="180"/>
      <c r="AYR14" s="180"/>
      <c r="AYS14" s="180"/>
      <c r="AYT14" s="88"/>
      <c r="AYU14" s="88"/>
      <c r="AYV14" s="181" t="s">
        <v>25</v>
      </c>
      <c r="AYW14" s="181"/>
      <c r="AYX14" s="181"/>
      <c r="AYY14" s="181"/>
      <c r="AYZ14" s="112"/>
      <c r="AZA14" s="112"/>
      <c r="AZB14" s="180" t="s">
        <v>37</v>
      </c>
      <c r="AZC14" s="180"/>
      <c r="AZD14" s="180"/>
      <c r="AZE14" s="180"/>
      <c r="AZF14" s="88"/>
      <c r="AZG14" s="88"/>
      <c r="AZH14" s="181" t="s">
        <v>26</v>
      </c>
      <c r="AZI14" s="181"/>
      <c r="AZJ14" s="181"/>
      <c r="AZK14" s="181"/>
      <c r="AZL14" s="112"/>
      <c r="AZM14" s="112"/>
      <c r="AZN14" s="180" t="s">
        <v>38</v>
      </c>
      <c r="AZO14" s="180"/>
      <c r="AZP14" s="180"/>
      <c r="AZQ14" s="180"/>
      <c r="AZR14" s="88"/>
      <c r="AZS14" s="88"/>
      <c r="AZT14" s="181" t="s">
        <v>27</v>
      </c>
      <c r="AZU14" s="181"/>
      <c r="AZV14" s="181"/>
      <c r="AZW14" s="181"/>
      <c r="AZX14" s="112"/>
      <c r="AZY14" s="112"/>
      <c r="AZZ14" s="180" t="s">
        <v>39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35</v>
      </c>
      <c r="BAM14" s="180"/>
      <c r="BAN14" s="180"/>
      <c r="BAO14" s="180"/>
      <c r="BAP14" s="88"/>
      <c r="BAQ14" s="88"/>
      <c r="BAR14" s="181" t="s">
        <v>24</v>
      </c>
      <c r="BAS14" s="181"/>
      <c r="BAT14" s="181"/>
      <c r="BAU14" s="181"/>
      <c r="BAV14" s="112"/>
      <c r="BAW14" s="112"/>
      <c r="BAX14" s="180" t="s">
        <v>36</v>
      </c>
      <c r="BAY14" s="180"/>
      <c r="BAZ14" s="180"/>
      <c r="BBA14" s="180"/>
      <c r="BBB14" s="88"/>
      <c r="BBC14" s="88"/>
      <c r="BBD14" s="181" t="s">
        <v>25</v>
      </c>
      <c r="BBE14" s="181"/>
      <c r="BBF14" s="181"/>
      <c r="BBG14" s="181"/>
      <c r="BBH14" s="112"/>
      <c r="BBI14" s="112"/>
      <c r="BBJ14" s="180" t="s">
        <v>37</v>
      </c>
      <c r="BBK14" s="180"/>
      <c r="BBL14" s="180"/>
      <c r="BBM14" s="180"/>
      <c r="BBN14" s="88"/>
      <c r="BBO14" s="88"/>
      <c r="BBP14" s="181" t="s">
        <v>26</v>
      </c>
      <c r="BBQ14" s="181"/>
      <c r="BBR14" s="181"/>
      <c r="BBS14" s="181"/>
      <c r="BBT14" s="112"/>
      <c r="BBU14" s="112"/>
      <c r="BBV14" s="180" t="s">
        <v>38</v>
      </c>
      <c r="BBW14" s="180"/>
      <c r="BBX14" s="180"/>
      <c r="BBY14" s="180"/>
      <c r="BBZ14" s="88"/>
      <c r="BCA14" s="88"/>
      <c r="BCB14" s="181" t="s">
        <v>27</v>
      </c>
      <c r="BCC14" s="181"/>
      <c r="BCD14" s="181"/>
      <c r="BCE14" s="181"/>
      <c r="BCF14" s="112"/>
      <c r="BCG14" s="112"/>
      <c r="BCH14" s="180" t="s">
        <v>39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35</v>
      </c>
      <c r="BCU14" s="180"/>
      <c r="BCV14" s="180"/>
      <c r="BCW14" s="180"/>
      <c r="BCX14" s="88"/>
      <c r="BCY14" s="88"/>
      <c r="BCZ14" s="181" t="s">
        <v>24</v>
      </c>
      <c r="BDA14" s="181"/>
      <c r="BDB14" s="181"/>
      <c r="BDC14" s="181"/>
      <c r="BDD14" s="112"/>
      <c r="BDE14" s="112"/>
      <c r="BDF14" s="180" t="s">
        <v>36</v>
      </c>
      <c r="BDG14" s="180"/>
      <c r="BDH14" s="180"/>
      <c r="BDI14" s="180"/>
      <c r="BDJ14" s="88"/>
      <c r="BDK14" s="88"/>
      <c r="BDL14" s="181" t="s">
        <v>25</v>
      </c>
      <c r="BDM14" s="181"/>
      <c r="BDN14" s="181"/>
      <c r="BDO14" s="181"/>
      <c r="BDP14" s="112"/>
      <c r="BDQ14" s="112"/>
      <c r="BDR14" s="180" t="s">
        <v>37</v>
      </c>
      <c r="BDS14" s="180"/>
      <c r="BDT14" s="180"/>
      <c r="BDU14" s="180"/>
      <c r="BDV14" s="88"/>
      <c r="BDW14" s="88"/>
      <c r="BDX14" s="181" t="s">
        <v>26</v>
      </c>
      <c r="BDY14" s="181"/>
      <c r="BDZ14" s="181"/>
      <c r="BEA14" s="181"/>
      <c r="BEB14" s="112"/>
      <c r="BEC14" s="112"/>
      <c r="BED14" s="180" t="s">
        <v>38</v>
      </c>
      <c r="BEE14" s="180"/>
      <c r="BEF14" s="180"/>
      <c r="BEG14" s="180"/>
      <c r="BEH14" s="88"/>
      <c r="BEI14" s="88"/>
      <c r="BEJ14" s="181" t="s">
        <v>27</v>
      </c>
      <c r="BEK14" s="181"/>
      <c r="BEL14" s="181"/>
      <c r="BEM14" s="181"/>
      <c r="BEN14" s="112"/>
      <c r="BEO14" s="112"/>
      <c r="BEP14" s="180" t="s">
        <v>39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35</v>
      </c>
      <c r="BFC14" s="180"/>
      <c r="BFD14" s="180"/>
      <c r="BFE14" s="180"/>
      <c r="BFF14" s="88"/>
      <c r="BFG14" s="88"/>
      <c r="BFH14" s="181" t="s">
        <v>24</v>
      </c>
      <c r="BFI14" s="181"/>
      <c r="BFJ14" s="181"/>
      <c r="BFK14" s="181"/>
      <c r="BFL14" s="112"/>
      <c r="BFM14" s="112"/>
      <c r="BFN14" s="180" t="s">
        <v>36</v>
      </c>
      <c r="BFO14" s="180"/>
      <c r="BFP14" s="180"/>
      <c r="BFQ14" s="180"/>
      <c r="BFR14" s="88"/>
      <c r="BFS14" s="88"/>
      <c r="BFT14" s="181" t="s">
        <v>25</v>
      </c>
      <c r="BFU14" s="181"/>
      <c r="BFV14" s="181"/>
      <c r="BFW14" s="181"/>
      <c r="BFX14" s="112"/>
      <c r="BFY14" s="112"/>
      <c r="BFZ14" s="180" t="s">
        <v>37</v>
      </c>
      <c r="BGA14" s="180"/>
      <c r="BGB14" s="180"/>
      <c r="BGC14" s="180"/>
      <c r="BGD14" s="88"/>
      <c r="BGE14" s="88"/>
      <c r="BGF14" s="181" t="s">
        <v>26</v>
      </c>
      <c r="BGG14" s="181"/>
      <c r="BGH14" s="181"/>
      <c r="BGI14" s="181"/>
      <c r="BGJ14" s="112"/>
      <c r="BGK14" s="112"/>
      <c r="BGL14" s="180" t="s">
        <v>38</v>
      </c>
      <c r="BGM14" s="180"/>
      <c r="BGN14" s="180"/>
      <c r="BGO14" s="180"/>
      <c r="BGP14" s="88"/>
      <c r="BGQ14" s="88"/>
      <c r="BGR14" s="181" t="s">
        <v>27</v>
      </c>
      <c r="BGS14" s="181"/>
      <c r="BGT14" s="181"/>
      <c r="BGU14" s="181"/>
      <c r="BGV14" s="112"/>
      <c r="BGW14" s="112"/>
      <c r="BGX14" s="180" t="s">
        <v>39</v>
      </c>
      <c r="BGY14" s="180"/>
      <c r="BGZ14" s="180"/>
      <c r="BHA14" s="180"/>
      <c r="BHB14" s="88"/>
      <c r="BHC14" s="88"/>
      <c r="BHD14" s="88"/>
      <c r="BHE14" s="89"/>
      <c r="BHF14" s="87"/>
      <c r="BHG14" s="88"/>
      <c r="BHH14" s="88"/>
      <c r="BHI14" s="88"/>
      <c r="BHJ14" s="180" t="s">
        <v>35</v>
      </c>
      <c r="BHK14" s="180"/>
      <c r="BHL14" s="180"/>
      <c r="BHM14" s="180"/>
      <c r="BHN14" s="88"/>
      <c r="BHO14" s="88"/>
      <c r="BHP14" s="181" t="s">
        <v>24</v>
      </c>
      <c r="BHQ14" s="181"/>
      <c r="BHR14" s="181"/>
      <c r="BHS14" s="181"/>
      <c r="BHT14" s="112"/>
      <c r="BHU14" s="112"/>
      <c r="BHV14" s="180" t="s">
        <v>36</v>
      </c>
      <c r="BHW14" s="180"/>
      <c r="BHX14" s="180"/>
      <c r="BHY14" s="180"/>
      <c r="BHZ14" s="88"/>
      <c r="BIA14" s="88"/>
      <c r="BIB14" s="181" t="s">
        <v>25</v>
      </c>
      <c r="BIC14" s="181"/>
      <c r="BID14" s="181"/>
      <c r="BIE14" s="181"/>
      <c r="BIF14" s="112"/>
      <c r="BIG14" s="112"/>
      <c r="BIH14" s="180" t="s">
        <v>37</v>
      </c>
      <c r="BII14" s="180"/>
      <c r="BIJ14" s="180"/>
      <c r="BIK14" s="180"/>
      <c r="BIL14" s="88"/>
      <c r="BIM14" s="88"/>
      <c r="BIN14" s="181" t="s">
        <v>26</v>
      </c>
      <c r="BIO14" s="181"/>
      <c r="BIP14" s="181"/>
      <c r="BIQ14" s="181"/>
      <c r="BIR14" s="112"/>
      <c r="BIS14" s="112"/>
      <c r="BIT14" s="180" t="s">
        <v>38</v>
      </c>
      <c r="BIU14" s="180"/>
      <c r="BIV14" s="180"/>
      <c r="BIW14" s="180"/>
      <c r="BIX14" s="88"/>
      <c r="BIY14" s="88"/>
      <c r="BIZ14" s="181" t="s">
        <v>27</v>
      </c>
      <c r="BJA14" s="181"/>
      <c r="BJB14" s="181"/>
      <c r="BJC14" s="181"/>
      <c r="BJD14" s="112"/>
      <c r="BJE14" s="112"/>
      <c r="BJF14" s="180" t="s">
        <v>39</v>
      </c>
      <c r="BJG14" s="180"/>
      <c r="BJH14" s="180"/>
      <c r="BJI14" s="180"/>
      <c r="BJJ14" s="88"/>
      <c r="BJK14" s="88"/>
      <c r="BJL14" s="88"/>
      <c r="BJM14" s="89"/>
      <c r="BJN14" s="87"/>
      <c r="BJO14" s="88"/>
      <c r="BJP14" s="88"/>
      <c r="BJQ14" s="88"/>
      <c r="BJR14" s="180" t="s">
        <v>35</v>
      </c>
      <c r="BJS14" s="180"/>
      <c r="BJT14" s="180"/>
      <c r="BJU14" s="180"/>
      <c r="BJV14" s="88"/>
      <c r="BJW14" s="88"/>
      <c r="BJX14" s="181" t="s">
        <v>24</v>
      </c>
      <c r="BJY14" s="181"/>
      <c r="BJZ14" s="181"/>
      <c r="BKA14" s="181"/>
      <c r="BKB14" s="112"/>
      <c r="BKC14" s="112"/>
      <c r="BKD14" s="180" t="s">
        <v>36</v>
      </c>
      <c r="BKE14" s="180"/>
      <c r="BKF14" s="180"/>
      <c r="BKG14" s="180"/>
      <c r="BKH14" s="88"/>
      <c r="BKI14" s="88"/>
      <c r="BKJ14" s="181" t="s">
        <v>25</v>
      </c>
      <c r="BKK14" s="181"/>
      <c r="BKL14" s="181"/>
      <c r="BKM14" s="181"/>
      <c r="BKN14" s="112"/>
      <c r="BKO14" s="112"/>
      <c r="BKP14" s="180" t="s">
        <v>37</v>
      </c>
      <c r="BKQ14" s="180"/>
      <c r="BKR14" s="180"/>
      <c r="BKS14" s="180"/>
      <c r="BKT14" s="88"/>
      <c r="BKU14" s="88"/>
      <c r="BKV14" s="181" t="s">
        <v>26</v>
      </c>
      <c r="BKW14" s="181"/>
      <c r="BKX14" s="181"/>
      <c r="BKY14" s="181"/>
      <c r="BKZ14" s="112"/>
      <c r="BLA14" s="112"/>
      <c r="BLB14" s="180" t="s">
        <v>38</v>
      </c>
      <c r="BLC14" s="180"/>
      <c r="BLD14" s="180"/>
      <c r="BLE14" s="180"/>
      <c r="BLF14" s="88"/>
      <c r="BLG14" s="88"/>
      <c r="BLH14" s="181" t="s">
        <v>27</v>
      </c>
      <c r="BLI14" s="181"/>
      <c r="BLJ14" s="181"/>
      <c r="BLK14" s="181"/>
      <c r="BLL14" s="112"/>
      <c r="BLM14" s="112"/>
      <c r="BLN14" s="180" t="s">
        <v>39</v>
      </c>
      <c r="BLO14" s="180"/>
      <c r="BLP14" s="180"/>
      <c r="BLQ14" s="180"/>
      <c r="BLR14" s="88"/>
      <c r="BLS14" s="88"/>
      <c r="BLT14" s="88"/>
      <c r="BLU14" s="89"/>
      <c r="BLV14" s="87"/>
      <c r="BLW14" s="88"/>
      <c r="BLX14" s="88"/>
      <c r="BLY14" s="88"/>
      <c r="BLZ14" s="180" t="s">
        <v>35</v>
      </c>
      <c r="BMA14" s="180"/>
      <c r="BMB14" s="180"/>
      <c r="BMC14" s="180"/>
      <c r="BMD14" s="88"/>
      <c r="BME14" s="88"/>
      <c r="BMF14" s="181" t="s">
        <v>24</v>
      </c>
      <c r="BMG14" s="181"/>
      <c r="BMH14" s="181"/>
      <c r="BMI14" s="181"/>
      <c r="BMJ14" s="112"/>
      <c r="BMK14" s="112"/>
      <c r="BML14" s="180" t="s">
        <v>36</v>
      </c>
      <c r="BMM14" s="180"/>
      <c r="BMN14" s="180"/>
      <c r="BMO14" s="180"/>
      <c r="BMP14" s="88"/>
      <c r="BMQ14" s="88"/>
      <c r="BMR14" s="181" t="s">
        <v>25</v>
      </c>
      <c r="BMS14" s="181"/>
      <c r="BMT14" s="181"/>
      <c r="BMU14" s="181"/>
      <c r="BMV14" s="112"/>
      <c r="BMW14" s="112"/>
      <c r="BMX14" s="180" t="s">
        <v>37</v>
      </c>
      <c r="BMY14" s="180"/>
      <c r="BMZ14" s="180"/>
      <c r="BNA14" s="180"/>
      <c r="BNB14" s="88"/>
      <c r="BNC14" s="88"/>
      <c r="BND14" s="181" t="s">
        <v>26</v>
      </c>
      <c r="BNE14" s="181"/>
      <c r="BNF14" s="181"/>
      <c r="BNG14" s="181"/>
      <c r="BNH14" s="112"/>
      <c r="BNI14" s="112"/>
      <c r="BNJ14" s="180" t="s">
        <v>38</v>
      </c>
      <c r="BNK14" s="180"/>
      <c r="BNL14" s="180"/>
      <c r="BNM14" s="180"/>
      <c r="BNN14" s="88"/>
      <c r="BNO14" s="88"/>
      <c r="BNP14" s="181" t="s">
        <v>27</v>
      </c>
      <c r="BNQ14" s="181"/>
      <c r="BNR14" s="181"/>
      <c r="BNS14" s="181"/>
      <c r="BNT14" s="112"/>
      <c r="BNU14" s="112"/>
      <c r="BNV14" s="180" t="s">
        <v>39</v>
      </c>
      <c r="BNW14" s="180"/>
      <c r="BNX14" s="180"/>
      <c r="BNY14" s="180"/>
      <c r="BNZ14" s="88"/>
      <c r="BOA14" s="88"/>
      <c r="BOB14" s="88"/>
      <c r="BOC14" s="89"/>
      <c r="BOD14" s="87"/>
      <c r="BOE14" s="88"/>
      <c r="BOF14" s="88"/>
      <c r="BOG14" s="88"/>
      <c r="BOH14" s="180" t="s">
        <v>35</v>
      </c>
      <c r="BOI14" s="180"/>
      <c r="BOJ14" s="180"/>
      <c r="BOK14" s="180"/>
      <c r="BOL14" s="88"/>
      <c r="BOM14" s="88"/>
      <c r="BON14" s="181" t="s">
        <v>24</v>
      </c>
      <c r="BOO14" s="181"/>
      <c r="BOP14" s="181"/>
      <c r="BOQ14" s="181"/>
      <c r="BOR14" s="112"/>
      <c r="BOS14" s="112"/>
      <c r="BOT14" s="180" t="s">
        <v>36</v>
      </c>
      <c r="BOU14" s="180"/>
      <c r="BOV14" s="180"/>
      <c r="BOW14" s="180"/>
      <c r="BOX14" s="88"/>
      <c r="BOY14" s="88"/>
      <c r="BOZ14" s="181" t="s">
        <v>25</v>
      </c>
      <c r="BPA14" s="181"/>
      <c r="BPB14" s="181"/>
      <c r="BPC14" s="181"/>
      <c r="BPD14" s="112"/>
      <c r="BPE14" s="112"/>
      <c r="BPF14" s="180" t="s">
        <v>37</v>
      </c>
      <c r="BPG14" s="180"/>
      <c r="BPH14" s="180"/>
      <c r="BPI14" s="180"/>
      <c r="BPJ14" s="88"/>
      <c r="BPK14" s="88"/>
      <c r="BPL14" s="181" t="s">
        <v>26</v>
      </c>
      <c r="BPM14" s="181"/>
      <c r="BPN14" s="181"/>
      <c r="BPO14" s="181"/>
      <c r="BPP14" s="112"/>
      <c r="BPQ14" s="112"/>
      <c r="BPR14" s="180" t="s">
        <v>38</v>
      </c>
      <c r="BPS14" s="180"/>
      <c r="BPT14" s="180"/>
      <c r="BPU14" s="180"/>
      <c r="BPV14" s="88"/>
      <c r="BPW14" s="88"/>
      <c r="BPX14" s="181" t="s">
        <v>27</v>
      </c>
      <c r="BPY14" s="181"/>
      <c r="BPZ14" s="181"/>
      <c r="BQA14" s="181"/>
      <c r="BQB14" s="112"/>
      <c r="BQC14" s="112"/>
      <c r="BQD14" s="180" t="s">
        <v>39</v>
      </c>
      <c r="BQE14" s="180"/>
      <c r="BQF14" s="180"/>
      <c r="BQG14" s="180"/>
      <c r="BQH14" s="88"/>
      <c r="BQI14" s="88"/>
      <c r="BQJ14" s="88"/>
      <c r="BQK14" s="89"/>
      <c r="BQL14" s="87"/>
      <c r="BQM14" s="88"/>
      <c r="BQN14" s="88"/>
      <c r="BQO14" s="88"/>
      <c r="BQP14" s="180" t="s">
        <v>35</v>
      </c>
      <c r="BQQ14" s="180"/>
      <c r="BQR14" s="180"/>
      <c r="BQS14" s="180"/>
      <c r="BQT14" s="88"/>
      <c r="BQU14" s="88"/>
      <c r="BQV14" s="181" t="s">
        <v>24</v>
      </c>
      <c r="BQW14" s="181"/>
      <c r="BQX14" s="181"/>
      <c r="BQY14" s="181"/>
      <c r="BQZ14" s="112"/>
      <c r="BRA14" s="112"/>
      <c r="BRB14" s="180" t="s">
        <v>36</v>
      </c>
      <c r="BRC14" s="180"/>
      <c r="BRD14" s="180"/>
      <c r="BRE14" s="180"/>
      <c r="BRF14" s="88"/>
      <c r="BRG14" s="88"/>
      <c r="BRH14" s="181" t="s">
        <v>25</v>
      </c>
      <c r="BRI14" s="181"/>
      <c r="BRJ14" s="181"/>
      <c r="BRK14" s="181"/>
      <c r="BRL14" s="112"/>
      <c r="BRM14" s="112"/>
      <c r="BRN14" s="180" t="s">
        <v>37</v>
      </c>
      <c r="BRO14" s="180"/>
      <c r="BRP14" s="180"/>
      <c r="BRQ14" s="180"/>
      <c r="BRR14" s="88"/>
      <c r="BRS14" s="88"/>
      <c r="BRT14" s="181" t="s">
        <v>26</v>
      </c>
      <c r="BRU14" s="181"/>
      <c r="BRV14" s="181"/>
      <c r="BRW14" s="181"/>
      <c r="BRX14" s="112"/>
      <c r="BRY14" s="112"/>
      <c r="BRZ14" s="180" t="s">
        <v>38</v>
      </c>
      <c r="BSA14" s="180"/>
      <c r="BSB14" s="180"/>
      <c r="BSC14" s="180"/>
      <c r="BSD14" s="88"/>
      <c r="BSE14" s="88"/>
      <c r="BSF14" s="181" t="s">
        <v>27</v>
      </c>
      <c r="BSG14" s="181"/>
      <c r="BSH14" s="181"/>
      <c r="BSI14" s="181"/>
      <c r="BSJ14" s="112"/>
      <c r="BSK14" s="112"/>
      <c r="BSL14" s="180" t="s">
        <v>39</v>
      </c>
      <c r="BSM14" s="180"/>
      <c r="BSN14" s="180"/>
      <c r="BSO14" s="180"/>
      <c r="BSP14" s="88"/>
      <c r="BSQ14" s="88"/>
      <c r="BSR14" s="88"/>
      <c r="BSS14" s="89"/>
      <c r="BST14" s="87"/>
      <c r="BSU14" s="88"/>
      <c r="BSV14" s="88"/>
      <c r="BSW14" s="88"/>
      <c r="BSX14" s="180" t="s">
        <v>35</v>
      </c>
      <c r="BSY14" s="180"/>
      <c r="BSZ14" s="180"/>
      <c r="BTA14" s="180"/>
      <c r="BTB14" s="88"/>
      <c r="BTC14" s="88"/>
      <c r="BTD14" s="181" t="s">
        <v>24</v>
      </c>
      <c r="BTE14" s="181"/>
      <c r="BTF14" s="181"/>
      <c r="BTG14" s="181"/>
      <c r="BTH14" s="112"/>
      <c r="BTI14" s="112"/>
      <c r="BTJ14" s="180" t="s">
        <v>36</v>
      </c>
      <c r="BTK14" s="180"/>
      <c r="BTL14" s="180"/>
      <c r="BTM14" s="180"/>
      <c r="BTN14" s="88"/>
      <c r="BTO14" s="88"/>
      <c r="BTP14" s="181" t="s">
        <v>25</v>
      </c>
      <c r="BTQ14" s="181"/>
      <c r="BTR14" s="181"/>
      <c r="BTS14" s="181"/>
      <c r="BTT14" s="112"/>
      <c r="BTU14" s="112"/>
      <c r="BTV14" s="180" t="s">
        <v>37</v>
      </c>
      <c r="BTW14" s="180"/>
      <c r="BTX14" s="180"/>
      <c r="BTY14" s="180"/>
      <c r="BTZ14" s="88"/>
      <c r="BUA14" s="88"/>
      <c r="BUB14" s="181" t="s">
        <v>26</v>
      </c>
      <c r="BUC14" s="181"/>
      <c r="BUD14" s="181"/>
      <c r="BUE14" s="181"/>
      <c r="BUF14" s="112"/>
      <c r="BUG14" s="112"/>
      <c r="BUH14" s="180" t="s">
        <v>38</v>
      </c>
      <c r="BUI14" s="180"/>
      <c r="BUJ14" s="180"/>
      <c r="BUK14" s="180"/>
      <c r="BUL14" s="88"/>
      <c r="BUM14" s="88"/>
      <c r="BUN14" s="181" t="s">
        <v>27</v>
      </c>
      <c r="BUO14" s="181"/>
      <c r="BUP14" s="181"/>
      <c r="BUQ14" s="181"/>
      <c r="BUR14" s="112"/>
      <c r="BUS14" s="112"/>
      <c r="BUT14" s="180" t="s">
        <v>39</v>
      </c>
      <c r="BUU14" s="180"/>
      <c r="BUV14" s="180"/>
      <c r="BUW14" s="180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74" t="s">
        <v>4</v>
      </c>
      <c r="D15" s="132" t="str">
        <f>setValueToTime(E15)</f>
        <v>2h</v>
      </c>
      <c r="E15" s="26">
        <v>24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19"/>
      <c r="BJO15" s="20"/>
      <c r="BJP15" s="20"/>
      <c r="BJQ15" s="20"/>
      <c r="BJR15" s="20"/>
      <c r="BJS15" s="113"/>
      <c r="BJT15" s="20"/>
      <c r="BJU15" s="20"/>
      <c r="BJV15" s="20"/>
      <c r="BJW15" s="20"/>
      <c r="BJX15" s="20"/>
      <c r="BJY15" s="118"/>
      <c r="BJZ15" s="20"/>
      <c r="BKA15" s="20"/>
      <c r="BKB15" s="20"/>
      <c r="BKC15" s="20"/>
      <c r="BKD15" s="20"/>
      <c r="BKE15" s="57"/>
      <c r="BKF15" s="20"/>
      <c r="BKG15" s="20"/>
      <c r="BKH15" s="20"/>
      <c r="BKI15" s="20"/>
      <c r="BKJ15" s="20"/>
      <c r="BKK15" s="118"/>
      <c r="BKL15" s="20"/>
      <c r="BKM15" s="20"/>
      <c r="BKN15" s="20"/>
      <c r="BKO15" s="20"/>
      <c r="BKP15" s="20"/>
      <c r="BKQ15" s="57"/>
      <c r="BKR15" s="20"/>
      <c r="BKS15" s="20"/>
      <c r="BKT15" s="20"/>
      <c r="BKU15" s="20"/>
      <c r="BKV15" s="20"/>
      <c r="BKW15" s="118"/>
      <c r="BKX15" s="20"/>
      <c r="BKY15" s="20"/>
      <c r="BKZ15" s="20"/>
      <c r="BLA15" s="20"/>
      <c r="BLB15" s="20"/>
      <c r="BLC15" s="57"/>
      <c r="BLD15" s="20"/>
      <c r="BLE15" s="20"/>
      <c r="BLF15" s="20"/>
      <c r="BLG15" s="20"/>
      <c r="BLH15" s="20"/>
      <c r="BLI15" s="118"/>
      <c r="BLJ15" s="20"/>
      <c r="BLK15" s="20"/>
      <c r="BLL15" s="20"/>
      <c r="BLM15" s="20"/>
      <c r="BLN15" s="20"/>
      <c r="BLO15" s="57"/>
      <c r="BLP15" s="20"/>
      <c r="BLQ15" s="20"/>
      <c r="BLR15" s="20"/>
      <c r="BLS15" s="20"/>
      <c r="BLT15" s="20"/>
      <c r="BLU15" s="21"/>
      <c r="BLV15" s="19"/>
      <c r="BLW15" s="20"/>
      <c r="BLX15" s="20"/>
      <c r="BLY15" s="20"/>
      <c r="BLZ15" s="20"/>
      <c r="BMA15" s="113"/>
      <c r="BMB15" s="20"/>
      <c r="BMC15" s="20"/>
      <c r="BMD15" s="20"/>
      <c r="BME15" s="20"/>
      <c r="BMF15" s="20"/>
      <c r="BMG15" s="118"/>
      <c r="BMH15" s="20"/>
      <c r="BMI15" s="20"/>
      <c r="BMJ15" s="20"/>
      <c r="BMK15" s="20"/>
      <c r="BML15" s="20"/>
      <c r="BMM15" s="57"/>
      <c r="BMN15" s="20"/>
      <c r="BMO15" s="20"/>
      <c r="BMP15" s="20"/>
      <c r="BMQ15" s="20"/>
      <c r="BMR15" s="20"/>
      <c r="BMS15" s="118"/>
      <c r="BMT15" s="20"/>
      <c r="BMU15" s="20"/>
      <c r="BMV15" s="20"/>
      <c r="BMW15" s="20"/>
      <c r="BMX15" s="20"/>
      <c r="BMY15" s="57"/>
      <c r="BMZ15" s="20"/>
      <c r="BNA15" s="20"/>
      <c r="BNB15" s="20"/>
      <c r="BNC15" s="20"/>
      <c r="BND15" s="20"/>
      <c r="BNE15" s="118"/>
      <c r="BNF15" s="20"/>
      <c r="BNG15" s="20"/>
      <c r="BNH15" s="20"/>
      <c r="BNI15" s="20"/>
      <c r="BNJ15" s="20"/>
      <c r="BNK15" s="57"/>
      <c r="BNL15" s="20"/>
      <c r="BNM15" s="20"/>
      <c r="BNN15" s="20"/>
      <c r="BNO15" s="20"/>
      <c r="BNP15" s="20"/>
      <c r="BNQ15" s="118"/>
      <c r="BNR15" s="20"/>
      <c r="BNS15" s="20"/>
      <c r="BNT15" s="20"/>
      <c r="BNU15" s="20"/>
      <c r="BNV15" s="20"/>
      <c r="BNW15" s="57"/>
      <c r="BNX15" s="20"/>
      <c r="BNY15" s="20"/>
      <c r="BNZ15" s="20"/>
      <c r="BOA15" s="20"/>
      <c r="BOB15" s="20"/>
      <c r="BOC15" s="21"/>
      <c r="BOD15" s="19"/>
      <c r="BOE15" s="20"/>
      <c r="BOF15" s="20"/>
      <c r="BOG15" s="20"/>
      <c r="BOH15" s="20"/>
      <c r="BOI15" s="113"/>
      <c r="BOJ15" s="20"/>
      <c r="BOK15" s="20"/>
      <c r="BOL15" s="20"/>
      <c r="BOM15" s="20"/>
      <c r="BON15" s="20"/>
      <c r="BOO15" s="118"/>
      <c r="BOP15" s="20"/>
      <c r="BOQ15" s="20"/>
      <c r="BOR15" s="20"/>
      <c r="BOS15" s="20"/>
      <c r="BOT15" s="20"/>
      <c r="BOU15" s="57"/>
      <c r="BOV15" s="20"/>
      <c r="BOW15" s="20"/>
      <c r="BOX15" s="20"/>
      <c r="BOY15" s="20"/>
      <c r="BOZ15" s="20"/>
      <c r="BPA15" s="118"/>
      <c r="BPB15" s="20"/>
      <c r="BPC15" s="20"/>
      <c r="BPD15" s="20"/>
      <c r="BPE15" s="20"/>
      <c r="BPF15" s="20"/>
      <c r="BPG15" s="57"/>
      <c r="BPH15" s="20"/>
      <c r="BPI15" s="20"/>
      <c r="BPJ15" s="20"/>
      <c r="BPK15" s="20"/>
      <c r="BPL15" s="20"/>
      <c r="BPM15" s="118"/>
      <c r="BPN15" s="20"/>
      <c r="BPO15" s="20"/>
      <c r="BPP15" s="20"/>
      <c r="BPQ15" s="20"/>
      <c r="BPR15" s="20"/>
      <c r="BPS15" s="57"/>
      <c r="BPT15" s="20"/>
      <c r="BPU15" s="20"/>
      <c r="BPV15" s="20"/>
      <c r="BPW15" s="20"/>
      <c r="BPX15" s="20"/>
      <c r="BPY15" s="118"/>
      <c r="BPZ15" s="20"/>
      <c r="BQA15" s="20"/>
      <c r="BQB15" s="20"/>
      <c r="BQC15" s="20"/>
      <c r="BQD15" s="20"/>
      <c r="BQE15" s="57"/>
      <c r="BQF15" s="20"/>
      <c r="BQG15" s="20"/>
      <c r="BQH15" s="20"/>
      <c r="BQI15" s="20"/>
      <c r="BQJ15" s="20"/>
      <c r="BQK15" s="21"/>
      <c r="BQL15" s="19"/>
      <c r="BQM15" s="20"/>
      <c r="BQN15" s="20"/>
      <c r="BQO15" s="20"/>
      <c r="BQP15" s="20"/>
      <c r="BQQ15" s="113"/>
      <c r="BQR15" s="20"/>
      <c r="BQS15" s="20"/>
      <c r="BQT15" s="20"/>
      <c r="BQU15" s="20"/>
      <c r="BQV15" s="20"/>
      <c r="BQW15" s="118"/>
      <c r="BQX15" s="20"/>
      <c r="BQY15" s="20"/>
      <c r="BQZ15" s="20"/>
      <c r="BRA15" s="20"/>
      <c r="BRB15" s="20"/>
      <c r="BRC15" s="57"/>
      <c r="BRD15" s="20"/>
      <c r="BRE15" s="20"/>
      <c r="BRF15" s="20"/>
      <c r="BRG15" s="20"/>
      <c r="BRH15" s="20"/>
      <c r="BRI15" s="118"/>
      <c r="BRJ15" s="20"/>
      <c r="BRK15" s="20"/>
      <c r="BRL15" s="20"/>
      <c r="BRM15" s="20"/>
      <c r="BRN15" s="20"/>
      <c r="BRO15" s="57"/>
      <c r="BRP15" s="20"/>
      <c r="BRQ15" s="20"/>
      <c r="BRR15" s="20"/>
      <c r="BRS15" s="20"/>
      <c r="BRT15" s="20"/>
      <c r="BRU15" s="118"/>
      <c r="BRV15" s="20"/>
      <c r="BRW15" s="20"/>
      <c r="BRX15" s="20"/>
      <c r="BRY15" s="20"/>
      <c r="BRZ15" s="20"/>
      <c r="BSA15" s="57"/>
      <c r="BSB15" s="20"/>
      <c r="BSC15" s="20"/>
      <c r="BSD15" s="20"/>
      <c r="BSE15" s="20"/>
      <c r="BSF15" s="20"/>
      <c r="BSG15" s="118"/>
      <c r="BSH15" s="20"/>
      <c r="BSI15" s="20"/>
      <c r="BSJ15" s="20"/>
      <c r="BSK15" s="20"/>
      <c r="BSL15" s="20"/>
      <c r="BSM15" s="57"/>
      <c r="BSN15" s="20"/>
      <c r="BSO15" s="20"/>
      <c r="BSP15" s="20"/>
      <c r="BSQ15" s="20"/>
      <c r="BSR15" s="20"/>
      <c r="BSS15" s="21"/>
      <c r="BST15" s="19"/>
      <c r="BSU15" s="20"/>
      <c r="BSV15" s="20"/>
      <c r="BSW15" s="20"/>
      <c r="BSX15" s="20"/>
      <c r="BSY15" s="113"/>
      <c r="BSZ15" s="20"/>
      <c r="BTA15" s="20"/>
      <c r="BTB15" s="20"/>
      <c r="BTC15" s="20"/>
      <c r="BTD15" s="20"/>
      <c r="BTE15" s="118"/>
      <c r="BTF15" s="20"/>
      <c r="BTG15" s="20"/>
      <c r="BTH15" s="20"/>
      <c r="BTI15" s="20"/>
      <c r="BTJ15" s="20"/>
      <c r="BTK15" s="57"/>
      <c r="BTL15" s="20"/>
      <c r="BTM15" s="20"/>
      <c r="BTN15" s="20"/>
      <c r="BTO15" s="20"/>
      <c r="BTP15" s="20"/>
      <c r="BTQ15" s="118"/>
      <c r="BTR15" s="20"/>
      <c r="BTS15" s="20"/>
      <c r="BTT15" s="20"/>
      <c r="BTU15" s="20"/>
      <c r="BTV15" s="20"/>
      <c r="BTW15" s="57"/>
      <c r="BTX15" s="20"/>
      <c r="BTY15" s="20"/>
      <c r="BTZ15" s="20"/>
      <c r="BUA15" s="20"/>
      <c r="BUB15" s="20"/>
      <c r="BUC15" s="118"/>
      <c r="BUD15" s="20"/>
      <c r="BUE15" s="20"/>
      <c r="BUF15" s="20"/>
      <c r="BUG15" s="20"/>
      <c r="BUH15" s="20"/>
      <c r="BUI15" s="57"/>
      <c r="BUJ15" s="20"/>
      <c r="BUK15" s="20"/>
      <c r="BUL15" s="20"/>
      <c r="BUM15" s="20"/>
      <c r="BUN15" s="20"/>
      <c r="BUO15" s="118"/>
      <c r="BUP15" s="20"/>
      <c r="BUQ15" s="20"/>
      <c r="BUR15" s="20"/>
      <c r="BUS15" s="20"/>
      <c r="BUT15" s="20"/>
      <c r="BUU15" s="57"/>
      <c r="BUV15" s="20"/>
      <c r="BUW15" s="20"/>
      <c r="BUX15" s="20"/>
      <c r="BUY15" s="20"/>
      <c r="BUZ15" s="20"/>
      <c r="BVA15" s="21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82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14"/>
      <c r="BHL16" s="24"/>
      <c r="BHM16" s="24"/>
      <c r="BHN16" s="24"/>
      <c r="BHO16" s="24"/>
      <c r="BHP16" s="24"/>
      <c r="BHQ16" s="119"/>
      <c r="BHR16" s="24"/>
      <c r="BHS16" s="24"/>
      <c r="BHT16" s="24"/>
      <c r="BHU16" s="24"/>
      <c r="BHV16" s="24"/>
      <c r="BHW16" s="58"/>
      <c r="BHX16" s="24"/>
      <c r="BHY16" s="24"/>
      <c r="BHZ16" s="24"/>
      <c r="BIA16" s="24"/>
      <c r="BIB16" s="24"/>
      <c r="BIC16" s="119"/>
      <c r="BID16" s="24"/>
      <c r="BIE16" s="24"/>
      <c r="BIF16" s="24"/>
      <c r="BIG16" s="24"/>
      <c r="BIH16" s="24"/>
      <c r="BII16" s="58"/>
      <c r="BIJ16" s="24"/>
      <c r="BIK16" s="24"/>
      <c r="BIL16" s="24"/>
      <c r="BIM16" s="24"/>
      <c r="BIN16" s="24"/>
      <c r="BIO16" s="119"/>
      <c r="BIP16" s="24"/>
      <c r="BIQ16" s="24"/>
      <c r="BIR16" s="24"/>
      <c r="BIS16" s="24"/>
      <c r="BIT16" s="24"/>
      <c r="BIU16" s="58"/>
      <c r="BIV16" s="24"/>
      <c r="BIW16" s="24"/>
      <c r="BIX16" s="24"/>
      <c r="BIY16" s="24"/>
      <c r="BIZ16" s="24"/>
      <c r="BJA16" s="119"/>
      <c r="BJB16" s="24"/>
      <c r="BJC16" s="24"/>
      <c r="BJD16" s="24"/>
      <c r="BJE16" s="24"/>
      <c r="BJF16" s="24"/>
      <c r="BJG16" s="58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14"/>
      <c r="BJT16" s="24"/>
      <c r="BJU16" s="24"/>
      <c r="BJV16" s="24"/>
      <c r="BJW16" s="24"/>
      <c r="BJX16" s="24"/>
      <c r="BJY16" s="119"/>
      <c r="BJZ16" s="24"/>
      <c r="BKA16" s="24"/>
      <c r="BKB16" s="24"/>
      <c r="BKC16" s="24"/>
      <c r="BKD16" s="24"/>
      <c r="BKE16" s="58"/>
      <c r="BKF16" s="24"/>
      <c r="BKG16" s="24"/>
      <c r="BKH16" s="24"/>
      <c r="BKI16" s="24"/>
      <c r="BKJ16" s="24"/>
      <c r="BKK16" s="119"/>
      <c r="BKL16" s="24"/>
      <c r="BKM16" s="24"/>
      <c r="BKN16" s="24"/>
      <c r="BKO16" s="24"/>
      <c r="BKP16" s="24"/>
      <c r="BKQ16" s="58"/>
      <c r="BKR16" s="24"/>
      <c r="BKS16" s="24"/>
      <c r="BKT16" s="24"/>
      <c r="BKU16" s="24"/>
      <c r="BKV16" s="24"/>
      <c r="BKW16" s="119"/>
      <c r="BKX16" s="24"/>
      <c r="BKY16" s="24"/>
      <c r="BKZ16" s="24"/>
      <c r="BLA16" s="24"/>
      <c r="BLB16" s="24"/>
      <c r="BLC16" s="58"/>
      <c r="BLD16" s="24"/>
      <c r="BLE16" s="24"/>
      <c r="BLF16" s="24"/>
      <c r="BLG16" s="24"/>
      <c r="BLH16" s="24"/>
      <c r="BLI16" s="119"/>
      <c r="BLJ16" s="24"/>
      <c r="BLK16" s="24"/>
      <c r="BLL16" s="24"/>
      <c r="BLM16" s="24"/>
      <c r="BLN16" s="24"/>
      <c r="BLO16" s="58"/>
      <c r="BLP16" s="24"/>
      <c r="BLQ16" s="24"/>
      <c r="BLR16" s="24"/>
      <c r="BLS16" s="24"/>
      <c r="BLT16" s="24"/>
      <c r="BLU16" s="25"/>
      <c r="BLV16" s="23"/>
      <c r="BLW16" s="24"/>
      <c r="BLX16" s="24"/>
      <c r="BLY16" s="24"/>
      <c r="BLZ16" s="24"/>
      <c r="BMA16" s="114"/>
      <c r="BMB16" s="24"/>
      <c r="BMC16" s="24"/>
      <c r="BMD16" s="24"/>
      <c r="BME16" s="24"/>
      <c r="BMF16" s="24"/>
      <c r="BMG16" s="119"/>
      <c r="BMH16" s="24"/>
      <c r="BMI16" s="24"/>
      <c r="BMJ16" s="24"/>
      <c r="BMK16" s="24"/>
      <c r="BML16" s="24"/>
      <c r="BMM16" s="58"/>
      <c r="BMN16" s="24"/>
      <c r="BMO16" s="24"/>
      <c r="BMP16" s="24"/>
      <c r="BMQ16" s="24"/>
      <c r="BMR16" s="24"/>
      <c r="BMS16" s="119"/>
      <c r="BMT16" s="24"/>
      <c r="BMU16" s="24"/>
      <c r="BMV16" s="24"/>
      <c r="BMW16" s="24"/>
      <c r="BMX16" s="24"/>
      <c r="BMY16" s="58"/>
      <c r="BMZ16" s="24"/>
      <c r="BNA16" s="24"/>
      <c r="BNB16" s="24"/>
      <c r="BNC16" s="24"/>
      <c r="BND16" s="24"/>
      <c r="BNE16" s="119"/>
      <c r="BNF16" s="24"/>
      <c r="BNG16" s="24"/>
      <c r="BNH16" s="24"/>
      <c r="BNI16" s="24"/>
      <c r="BNJ16" s="24"/>
      <c r="BNK16" s="58"/>
      <c r="BNL16" s="24"/>
      <c r="BNM16" s="24"/>
      <c r="BNN16" s="24"/>
      <c r="BNO16" s="24"/>
      <c r="BNP16" s="24"/>
      <c r="BNQ16" s="119"/>
      <c r="BNR16" s="24"/>
      <c r="BNS16" s="24"/>
      <c r="BNT16" s="24"/>
      <c r="BNU16" s="24"/>
      <c r="BNV16" s="24"/>
      <c r="BNW16" s="58"/>
      <c r="BNX16" s="24"/>
      <c r="BNY16" s="24"/>
      <c r="BNZ16" s="24"/>
      <c r="BOA16" s="24"/>
      <c r="BOB16" s="24"/>
      <c r="BOC16" s="25"/>
      <c r="BOD16" s="23"/>
      <c r="BOE16" s="24"/>
      <c r="BOF16" s="24"/>
      <c r="BOG16" s="24"/>
      <c r="BOH16" s="24"/>
      <c r="BOI16" s="114"/>
      <c r="BOJ16" s="24"/>
      <c r="BOK16" s="24"/>
      <c r="BOL16" s="24"/>
      <c r="BOM16" s="24"/>
      <c r="BON16" s="24"/>
      <c r="BOO16" s="119"/>
      <c r="BOP16" s="24"/>
      <c r="BOQ16" s="24"/>
      <c r="BOR16" s="24"/>
      <c r="BOS16" s="24"/>
      <c r="BOT16" s="24"/>
      <c r="BOU16" s="58"/>
      <c r="BOV16" s="24"/>
      <c r="BOW16" s="24"/>
      <c r="BOX16" s="24"/>
      <c r="BOY16" s="24"/>
      <c r="BOZ16" s="24"/>
      <c r="BPA16" s="119"/>
      <c r="BPB16" s="24"/>
      <c r="BPC16" s="24"/>
      <c r="BPD16" s="24"/>
      <c r="BPE16" s="24"/>
      <c r="BPF16" s="24"/>
      <c r="BPG16" s="58"/>
      <c r="BPH16" s="24"/>
      <c r="BPI16" s="24"/>
      <c r="BPJ16" s="24"/>
      <c r="BPK16" s="24"/>
      <c r="BPL16" s="24"/>
      <c r="BPM16" s="119"/>
      <c r="BPN16" s="24"/>
      <c r="BPO16" s="24"/>
      <c r="BPP16" s="24"/>
      <c r="BPQ16" s="24"/>
      <c r="BPR16" s="24"/>
      <c r="BPS16" s="58"/>
      <c r="BPT16" s="24"/>
      <c r="BPU16" s="24"/>
      <c r="BPV16" s="24"/>
      <c r="BPW16" s="24"/>
      <c r="BPX16" s="24"/>
      <c r="BPY16" s="119"/>
      <c r="BPZ16" s="24"/>
      <c r="BQA16" s="24"/>
      <c r="BQB16" s="24"/>
      <c r="BQC16" s="24"/>
      <c r="BQD16" s="24"/>
      <c r="BQE16" s="58"/>
      <c r="BQF16" s="24"/>
      <c r="BQG16" s="24"/>
      <c r="BQH16" s="24"/>
      <c r="BQI16" s="24"/>
      <c r="BQJ16" s="24"/>
      <c r="BQK16" s="25"/>
      <c r="BQL16" s="23"/>
      <c r="BQM16" s="24"/>
      <c r="BQN16" s="24"/>
      <c r="BQO16" s="24"/>
      <c r="BQP16" s="24"/>
      <c r="BQQ16" s="114"/>
      <c r="BQR16" s="24"/>
      <c r="BQS16" s="24"/>
      <c r="BQT16" s="24"/>
      <c r="BQU16" s="24"/>
      <c r="BQV16" s="24"/>
      <c r="BQW16" s="119"/>
      <c r="BQX16" s="24"/>
      <c r="BQY16" s="24"/>
      <c r="BQZ16" s="24"/>
      <c r="BRA16" s="24"/>
      <c r="BRB16" s="24"/>
      <c r="BRC16" s="58"/>
      <c r="BRD16" s="24"/>
      <c r="BRE16" s="24"/>
      <c r="BRF16" s="24"/>
      <c r="BRG16" s="24"/>
      <c r="BRH16" s="24"/>
      <c r="BRI16" s="119"/>
      <c r="BRJ16" s="24"/>
      <c r="BRK16" s="24"/>
      <c r="BRL16" s="24"/>
      <c r="BRM16" s="24"/>
      <c r="BRN16" s="24"/>
      <c r="BRO16" s="58"/>
      <c r="BRP16" s="24"/>
      <c r="BRQ16" s="24"/>
      <c r="BRR16" s="24"/>
      <c r="BRS16" s="24"/>
      <c r="BRT16" s="24"/>
      <c r="BRU16" s="119"/>
      <c r="BRV16" s="24"/>
      <c r="BRW16" s="24"/>
      <c r="BRX16" s="24"/>
      <c r="BRY16" s="24"/>
      <c r="BRZ16" s="24"/>
      <c r="BSA16" s="58"/>
      <c r="BSB16" s="24"/>
      <c r="BSC16" s="24"/>
      <c r="BSD16" s="24"/>
      <c r="BSE16" s="24"/>
      <c r="BSF16" s="24"/>
      <c r="BSG16" s="119"/>
      <c r="BSH16" s="24"/>
      <c r="BSI16" s="24"/>
      <c r="BSJ16" s="24"/>
      <c r="BSK16" s="24"/>
      <c r="BSL16" s="24"/>
      <c r="BSM16" s="58"/>
      <c r="BSN16" s="24"/>
      <c r="BSO16" s="24"/>
      <c r="BSP16" s="24"/>
      <c r="BSQ16" s="24"/>
      <c r="BSR16" s="24"/>
      <c r="BSS16" s="25"/>
      <c r="BST16" s="23"/>
      <c r="BSU16" s="24"/>
      <c r="BSV16" s="24"/>
      <c r="BSW16" s="24"/>
      <c r="BSX16" s="24"/>
      <c r="BSY16" s="114"/>
      <c r="BSZ16" s="24"/>
      <c r="BTA16" s="24"/>
      <c r="BTB16" s="24"/>
      <c r="BTC16" s="24"/>
      <c r="BTD16" s="24"/>
      <c r="BTE16" s="119"/>
      <c r="BTF16" s="24"/>
      <c r="BTG16" s="24"/>
      <c r="BTH16" s="24"/>
      <c r="BTI16" s="24"/>
      <c r="BTJ16" s="24"/>
      <c r="BTK16" s="58"/>
      <c r="BTL16" s="24"/>
      <c r="BTM16" s="24"/>
      <c r="BTN16" s="24"/>
      <c r="BTO16" s="24"/>
      <c r="BTP16" s="24"/>
      <c r="BTQ16" s="119"/>
      <c r="BTR16" s="24"/>
      <c r="BTS16" s="24"/>
      <c r="BTT16" s="24"/>
      <c r="BTU16" s="24"/>
      <c r="BTV16" s="24"/>
      <c r="BTW16" s="58"/>
      <c r="BTX16" s="24"/>
      <c r="BTY16" s="24"/>
      <c r="BTZ16" s="24"/>
      <c r="BUA16" s="24"/>
      <c r="BUB16" s="24"/>
      <c r="BUC16" s="119"/>
      <c r="BUD16" s="24"/>
      <c r="BUE16" s="24"/>
      <c r="BUF16" s="24"/>
      <c r="BUG16" s="24"/>
      <c r="BUH16" s="24"/>
      <c r="BUI16" s="58"/>
      <c r="BUJ16" s="24"/>
      <c r="BUK16" s="24"/>
      <c r="BUL16" s="24"/>
      <c r="BUM16" s="24"/>
      <c r="BUN16" s="24"/>
      <c r="BUO16" s="119"/>
      <c r="BUP16" s="24"/>
      <c r="BUQ16" s="24"/>
      <c r="BUR16" s="24"/>
      <c r="BUS16" s="24"/>
      <c r="BUT16" s="24"/>
      <c r="BUU16" s="58"/>
      <c r="BUV16" s="24"/>
      <c r="BUW16" s="24"/>
      <c r="BUX16" s="24"/>
      <c r="BUY16" s="24"/>
      <c r="BUZ16" s="24"/>
      <c r="BVA16" s="25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74" t="s">
        <v>32</v>
      </c>
      <c r="D17" s="129" t="str">
        <f t="shared" si="0"/>
        <v>4h45min</v>
      </c>
      <c r="E17" s="26">
        <v>57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15"/>
      <c r="BHL17" s="28"/>
      <c r="BHM17" s="28"/>
      <c r="BHN17" s="28"/>
      <c r="BHO17" s="28"/>
      <c r="BHP17" s="28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27"/>
      <c r="BJO17" s="28"/>
      <c r="BJP17" s="28"/>
      <c r="BJQ17" s="28"/>
      <c r="BJR17" s="28"/>
      <c r="BJS17" s="115"/>
      <c r="BJT17" s="28"/>
      <c r="BJU17" s="28"/>
      <c r="BJV17" s="28"/>
      <c r="BJW17" s="28"/>
      <c r="BJX17" s="28"/>
      <c r="BJY17" s="120"/>
      <c r="BJZ17" s="28"/>
      <c r="BKA17" s="28"/>
      <c r="BKB17" s="28"/>
      <c r="BKC17" s="28"/>
      <c r="BKD17" s="28"/>
      <c r="BKE17" s="59"/>
      <c r="BKF17" s="28"/>
      <c r="BKG17" s="28"/>
      <c r="BKH17" s="28"/>
      <c r="BKI17" s="28"/>
      <c r="BKJ17" s="28"/>
      <c r="BKK17" s="120"/>
      <c r="BKL17" s="28"/>
      <c r="BKM17" s="28"/>
      <c r="BKN17" s="28"/>
      <c r="BKO17" s="28"/>
      <c r="BKP17" s="28"/>
      <c r="BKQ17" s="59"/>
      <c r="BKR17" s="28"/>
      <c r="BKS17" s="28"/>
      <c r="BKT17" s="28"/>
      <c r="BKU17" s="28"/>
      <c r="BKV17" s="28"/>
      <c r="BKW17" s="120"/>
      <c r="BKX17" s="28"/>
      <c r="BKY17" s="28"/>
      <c r="BKZ17" s="28"/>
      <c r="BLA17" s="28"/>
      <c r="BLB17" s="28"/>
      <c r="BLC17" s="59"/>
      <c r="BLD17" s="28"/>
      <c r="BLE17" s="28"/>
      <c r="BLF17" s="28"/>
      <c r="BLG17" s="28"/>
      <c r="BLH17" s="28"/>
      <c r="BLI17" s="120"/>
      <c r="BLJ17" s="28"/>
      <c r="BLK17" s="28"/>
      <c r="BLL17" s="28"/>
      <c r="BLM17" s="28"/>
      <c r="BLN17" s="28"/>
      <c r="BLO17" s="59"/>
      <c r="BLP17" s="28"/>
      <c r="BLQ17" s="28"/>
      <c r="BLR17" s="28"/>
      <c r="BLS17" s="28"/>
      <c r="BLT17" s="28"/>
      <c r="BLU17" s="29"/>
      <c r="BLV17" s="27"/>
      <c r="BLW17" s="28"/>
      <c r="BLX17" s="28"/>
      <c r="BLY17" s="28"/>
      <c r="BLZ17" s="28"/>
      <c r="BMA17" s="115"/>
      <c r="BMB17" s="28"/>
      <c r="BMC17" s="28"/>
      <c r="BMD17" s="28"/>
      <c r="BME17" s="28"/>
      <c r="BMF17" s="28"/>
      <c r="BMG17" s="120"/>
      <c r="BMH17" s="28"/>
      <c r="BMI17" s="28"/>
      <c r="BMJ17" s="28"/>
      <c r="BMK17" s="28"/>
      <c r="BML17" s="28"/>
      <c r="BMM17" s="59"/>
      <c r="BMN17" s="28"/>
      <c r="BMO17" s="28"/>
      <c r="BMP17" s="28"/>
      <c r="BMQ17" s="28"/>
      <c r="BMR17" s="28"/>
      <c r="BMS17" s="120"/>
      <c r="BMT17" s="28"/>
      <c r="BMU17" s="28"/>
      <c r="BMV17" s="28"/>
      <c r="BMW17" s="28"/>
      <c r="BMX17" s="28"/>
      <c r="BMY17" s="59"/>
      <c r="BMZ17" s="28"/>
      <c r="BNA17" s="28"/>
      <c r="BNB17" s="28"/>
      <c r="BNC17" s="28"/>
      <c r="BND17" s="28"/>
      <c r="BNE17" s="120"/>
      <c r="BNF17" s="28"/>
      <c r="BNG17" s="28"/>
      <c r="BNH17" s="28"/>
      <c r="BNI17" s="28"/>
      <c r="BNJ17" s="28"/>
      <c r="BNK17" s="59"/>
      <c r="BNL17" s="28"/>
      <c r="BNM17" s="28"/>
      <c r="BNN17" s="28"/>
      <c r="BNO17" s="28"/>
      <c r="BNP17" s="28"/>
      <c r="BNQ17" s="120"/>
      <c r="BNR17" s="28"/>
      <c r="BNS17" s="28"/>
      <c r="BNT17" s="28"/>
      <c r="BNU17" s="28"/>
      <c r="BNV17" s="28"/>
      <c r="BNW17" s="59"/>
      <c r="BNX17" s="28"/>
      <c r="BNY17" s="28"/>
      <c r="BNZ17" s="28"/>
      <c r="BOA17" s="28"/>
      <c r="BOB17" s="28"/>
      <c r="BOC17" s="29"/>
      <c r="BOD17" s="27"/>
      <c r="BOE17" s="28"/>
      <c r="BOF17" s="28"/>
      <c r="BOG17" s="28"/>
      <c r="BOH17" s="28"/>
      <c r="BOI17" s="115"/>
      <c r="BOJ17" s="28"/>
      <c r="BOK17" s="28"/>
      <c r="BOL17" s="28"/>
      <c r="BOM17" s="28"/>
      <c r="BON17" s="28"/>
      <c r="BOO17" s="120"/>
      <c r="BOP17" s="28"/>
      <c r="BOQ17" s="28"/>
      <c r="BOR17" s="28"/>
      <c r="BOS17" s="28"/>
      <c r="BOT17" s="28"/>
      <c r="BOU17" s="59"/>
      <c r="BOV17" s="28"/>
      <c r="BOW17" s="28"/>
      <c r="BOX17" s="28"/>
      <c r="BOY17" s="28"/>
      <c r="BOZ17" s="28"/>
      <c r="BPA17" s="120"/>
      <c r="BPB17" s="28"/>
      <c r="BPC17" s="28"/>
      <c r="BPD17" s="28"/>
      <c r="BPE17" s="28"/>
      <c r="BPF17" s="28"/>
      <c r="BPG17" s="59"/>
      <c r="BPH17" s="28"/>
      <c r="BPI17" s="28"/>
      <c r="BPJ17" s="28"/>
      <c r="BPK17" s="28"/>
      <c r="BPL17" s="28"/>
      <c r="BPM17" s="120"/>
      <c r="BPN17" s="28"/>
      <c r="BPO17" s="28"/>
      <c r="BPP17" s="28"/>
      <c r="BPQ17" s="28"/>
      <c r="BPR17" s="28"/>
      <c r="BPS17" s="59"/>
      <c r="BPT17" s="28"/>
      <c r="BPU17" s="28"/>
      <c r="BPV17" s="28"/>
      <c r="BPW17" s="28"/>
      <c r="BPX17" s="28"/>
      <c r="BPY17" s="120"/>
      <c r="BPZ17" s="28"/>
      <c r="BQA17" s="28"/>
      <c r="BQB17" s="28"/>
      <c r="BQC17" s="28"/>
      <c r="BQD17" s="28"/>
      <c r="BQE17" s="59"/>
      <c r="BQF17" s="28"/>
      <c r="BQG17" s="28"/>
      <c r="BQH17" s="28"/>
      <c r="BQI17" s="28"/>
      <c r="BQJ17" s="28"/>
      <c r="BQK17" s="29"/>
      <c r="BQL17" s="27"/>
      <c r="BQM17" s="28"/>
      <c r="BQN17" s="28"/>
      <c r="BQO17" s="28"/>
      <c r="BQP17" s="28"/>
      <c r="BQQ17" s="115"/>
      <c r="BQR17" s="28"/>
      <c r="BQS17" s="28"/>
      <c r="BQT17" s="28"/>
      <c r="BQU17" s="28"/>
      <c r="BQV17" s="28"/>
      <c r="BQW17" s="120"/>
      <c r="BQX17" s="28"/>
      <c r="BQY17" s="28"/>
      <c r="BQZ17" s="28"/>
      <c r="BRA17" s="28"/>
      <c r="BRB17" s="28"/>
      <c r="BRC17" s="59"/>
      <c r="BRD17" s="28"/>
      <c r="BRE17" s="28"/>
      <c r="BRF17" s="28"/>
      <c r="BRG17" s="28"/>
      <c r="BRH17" s="28"/>
      <c r="BRI17" s="120"/>
      <c r="BRJ17" s="28"/>
      <c r="BRK17" s="28"/>
      <c r="BRL17" s="28"/>
      <c r="BRM17" s="28"/>
      <c r="BRN17" s="28"/>
      <c r="BRO17" s="59"/>
      <c r="BRP17" s="28"/>
      <c r="BRQ17" s="28"/>
      <c r="BRR17" s="28"/>
      <c r="BRS17" s="28"/>
      <c r="BRT17" s="28"/>
      <c r="BRU17" s="120"/>
      <c r="BRV17" s="28"/>
      <c r="BRW17" s="28"/>
      <c r="BRX17" s="28"/>
      <c r="BRY17" s="28"/>
      <c r="BRZ17" s="28"/>
      <c r="BSA17" s="59"/>
      <c r="BSB17" s="28"/>
      <c r="BSC17" s="28"/>
      <c r="BSD17" s="28"/>
      <c r="BSE17" s="28"/>
      <c r="BSF17" s="28"/>
      <c r="BSG17" s="120"/>
      <c r="BSH17" s="28"/>
      <c r="BSI17" s="28"/>
      <c r="BSJ17" s="28"/>
      <c r="BSK17" s="28"/>
      <c r="BSL17" s="28"/>
      <c r="BSM17" s="59"/>
      <c r="BSN17" s="28"/>
      <c r="BSO17" s="28"/>
      <c r="BSP17" s="28"/>
      <c r="BSQ17" s="28"/>
      <c r="BSR17" s="28"/>
      <c r="BSS17" s="29"/>
      <c r="BST17" s="27"/>
      <c r="BSU17" s="28"/>
      <c r="BSV17" s="28"/>
      <c r="BSW17" s="28"/>
      <c r="BSX17" s="28"/>
      <c r="BSY17" s="115"/>
      <c r="BSZ17" s="28"/>
      <c r="BTA17" s="28"/>
      <c r="BTB17" s="28"/>
      <c r="BTC17" s="28"/>
      <c r="BTD17" s="28"/>
      <c r="BTE17" s="120"/>
      <c r="BTF17" s="28"/>
      <c r="BTG17" s="28"/>
      <c r="BTH17" s="28"/>
      <c r="BTI17" s="28"/>
      <c r="BTJ17" s="28"/>
      <c r="BTK17" s="59"/>
      <c r="BTL17" s="28"/>
      <c r="BTM17" s="28"/>
      <c r="BTN17" s="28"/>
      <c r="BTO17" s="28"/>
      <c r="BTP17" s="28"/>
      <c r="BTQ17" s="120"/>
      <c r="BTR17" s="28"/>
      <c r="BTS17" s="28"/>
      <c r="BTT17" s="28"/>
      <c r="BTU17" s="28"/>
      <c r="BTV17" s="28"/>
      <c r="BTW17" s="59"/>
      <c r="BTX17" s="28"/>
      <c r="BTY17" s="28"/>
      <c r="BTZ17" s="28"/>
      <c r="BUA17" s="28"/>
      <c r="BUB17" s="28"/>
      <c r="BUC17" s="120"/>
      <c r="BUD17" s="28"/>
      <c r="BUE17" s="28"/>
      <c r="BUF17" s="28"/>
      <c r="BUG17" s="28"/>
      <c r="BUH17" s="28"/>
      <c r="BUI17" s="59"/>
      <c r="BUJ17" s="28"/>
      <c r="BUK17" s="28"/>
      <c r="BUL17" s="28"/>
      <c r="BUM17" s="28"/>
      <c r="BUN17" s="28"/>
      <c r="BUO17" s="120"/>
      <c r="BUP17" s="28"/>
      <c r="BUQ17" s="28"/>
      <c r="BUR17" s="28"/>
      <c r="BUS17" s="28"/>
      <c r="BUT17" s="28"/>
      <c r="BUU17" s="59"/>
      <c r="BUV17" s="28"/>
      <c r="BUW17" s="28"/>
      <c r="BUX17" s="28"/>
      <c r="BUY17" s="28"/>
      <c r="BUZ17" s="28"/>
      <c r="BVA17" s="29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82"/>
      <c r="D18" s="131" t="str">
        <f t="shared" si="0"/>
        <v>5h45min</v>
      </c>
      <c r="E18" s="30">
        <v>69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164"/>
      <c r="V18" s="164"/>
      <c r="W18" s="167"/>
      <c r="X18" s="164"/>
      <c r="Y18" s="164"/>
      <c r="Z18" s="164"/>
      <c r="AA18" s="164"/>
      <c r="AB18" s="164"/>
      <c r="AC18" s="166"/>
      <c r="AD18" s="164"/>
      <c r="AE18" s="164"/>
      <c r="AF18" s="164"/>
      <c r="AG18" s="164"/>
      <c r="AH18" s="164"/>
      <c r="AI18" s="167"/>
      <c r="AJ18" s="164"/>
      <c r="AK18" s="164"/>
      <c r="AL18" s="164"/>
      <c r="AM18" s="164"/>
      <c r="AN18" s="164"/>
      <c r="AO18" s="166"/>
      <c r="AP18" s="164"/>
      <c r="AQ18" s="164"/>
      <c r="AR18" s="164"/>
      <c r="AS18" s="164"/>
      <c r="AT18" s="164"/>
      <c r="AU18" s="167"/>
      <c r="AV18" s="164"/>
      <c r="AW18" s="164"/>
      <c r="AX18" s="164"/>
      <c r="AY18" s="164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164"/>
      <c r="BQ18" s="164"/>
      <c r="BR18" s="164"/>
      <c r="BS18" s="165"/>
      <c r="BT18" s="164"/>
      <c r="BU18" s="164"/>
      <c r="BV18" s="164"/>
      <c r="BW18" s="164"/>
      <c r="BX18" s="164"/>
      <c r="BY18" s="166"/>
      <c r="BZ18" s="164"/>
      <c r="CA18" s="164"/>
      <c r="CB18" s="164"/>
      <c r="CC18" s="164"/>
      <c r="CD18" s="164"/>
      <c r="CE18" s="167"/>
      <c r="CF18" s="164"/>
      <c r="CG18" s="164"/>
      <c r="CH18" s="164"/>
      <c r="CI18" s="164"/>
      <c r="CJ18" s="164"/>
      <c r="CK18" s="166"/>
      <c r="CL18" s="164"/>
      <c r="CM18" s="164"/>
      <c r="CN18" s="32"/>
      <c r="CO18" s="32"/>
      <c r="CP18" s="164"/>
      <c r="CQ18" s="167"/>
      <c r="CR18" s="164"/>
      <c r="CS18" s="164"/>
      <c r="CT18" s="164"/>
      <c r="CU18" s="164"/>
      <c r="CV18" s="164"/>
      <c r="CW18" s="166"/>
      <c r="CX18" s="164"/>
      <c r="CY18" s="164"/>
      <c r="CZ18" s="164"/>
      <c r="DA18" s="164"/>
      <c r="DB18" s="164"/>
      <c r="DC18" s="167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16"/>
      <c r="BHL18" s="32"/>
      <c r="BHM18" s="32"/>
      <c r="BHN18" s="32"/>
      <c r="BHO18" s="32"/>
      <c r="BHP18" s="32"/>
      <c r="BHQ18" s="121"/>
      <c r="BHR18" s="32"/>
      <c r="BHS18" s="32"/>
      <c r="BHT18" s="32"/>
      <c r="BHU18" s="32"/>
      <c r="BHV18" s="32"/>
      <c r="BHW18" s="60"/>
      <c r="BHX18" s="32"/>
      <c r="BHY18" s="32"/>
      <c r="BHZ18" s="32"/>
      <c r="BIA18" s="32"/>
      <c r="BIB18" s="32"/>
      <c r="BIC18" s="121"/>
      <c r="BID18" s="32"/>
      <c r="BIE18" s="32"/>
      <c r="BIF18" s="32"/>
      <c r="BIG18" s="32"/>
      <c r="BIH18" s="32"/>
      <c r="BII18" s="60"/>
      <c r="BIJ18" s="32"/>
      <c r="BIK18" s="32"/>
      <c r="BIL18" s="32"/>
      <c r="BIM18" s="32"/>
      <c r="BIN18" s="32"/>
      <c r="BIO18" s="121"/>
      <c r="BIP18" s="32"/>
      <c r="BIQ18" s="32"/>
      <c r="BIR18" s="32"/>
      <c r="BIS18" s="32"/>
      <c r="BIT18" s="32"/>
      <c r="BIU18" s="60"/>
      <c r="BIV18" s="32"/>
      <c r="BIW18" s="32"/>
      <c r="BIX18" s="32"/>
      <c r="BIY18" s="32"/>
      <c r="BIZ18" s="32"/>
      <c r="BJA18" s="121"/>
      <c r="BJB18" s="32"/>
      <c r="BJC18" s="32"/>
      <c r="BJD18" s="32"/>
      <c r="BJE18" s="32"/>
      <c r="BJF18" s="32"/>
      <c r="BJG18" s="60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16"/>
      <c r="BJT18" s="32"/>
      <c r="BJU18" s="32"/>
      <c r="BJV18" s="32"/>
      <c r="BJW18" s="32"/>
      <c r="BJX18" s="32"/>
      <c r="BJY18" s="121"/>
      <c r="BJZ18" s="32"/>
      <c r="BKA18" s="32"/>
      <c r="BKB18" s="32"/>
      <c r="BKC18" s="32"/>
      <c r="BKD18" s="32"/>
      <c r="BKE18" s="60"/>
      <c r="BKF18" s="32"/>
      <c r="BKG18" s="32"/>
      <c r="BKH18" s="32"/>
      <c r="BKI18" s="32"/>
      <c r="BKJ18" s="32"/>
      <c r="BKK18" s="121"/>
      <c r="BKL18" s="32"/>
      <c r="BKM18" s="32"/>
      <c r="BKN18" s="32"/>
      <c r="BKO18" s="32"/>
      <c r="BKP18" s="32"/>
      <c r="BKQ18" s="60"/>
      <c r="BKR18" s="32"/>
      <c r="BKS18" s="32"/>
      <c r="BKT18" s="32"/>
      <c r="BKU18" s="32"/>
      <c r="BKV18" s="32"/>
      <c r="BKW18" s="121"/>
      <c r="BKX18" s="32"/>
      <c r="BKY18" s="32"/>
      <c r="BKZ18" s="32"/>
      <c r="BLA18" s="32"/>
      <c r="BLB18" s="32"/>
      <c r="BLC18" s="60"/>
      <c r="BLD18" s="32"/>
      <c r="BLE18" s="32"/>
      <c r="BLF18" s="32"/>
      <c r="BLG18" s="32"/>
      <c r="BLH18" s="32"/>
      <c r="BLI18" s="121"/>
      <c r="BLJ18" s="32"/>
      <c r="BLK18" s="32"/>
      <c r="BLL18" s="32"/>
      <c r="BLM18" s="32"/>
      <c r="BLN18" s="32"/>
      <c r="BLO18" s="60"/>
      <c r="BLP18" s="32"/>
      <c r="BLQ18" s="32"/>
      <c r="BLR18" s="32"/>
      <c r="BLS18" s="32"/>
      <c r="BLT18" s="32"/>
      <c r="BLU18" s="33"/>
      <c r="BLV18" s="31"/>
      <c r="BLW18" s="32"/>
      <c r="BLX18" s="32"/>
      <c r="BLY18" s="32"/>
      <c r="BLZ18" s="32"/>
      <c r="BMA18" s="116"/>
      <c r="BMB18" s="32"/>
      <c r="BMC18" s="32"/>
      <c r="BMD18" s="32"/>
      <c r="BME18" s="32"/>
      <c r="BMF18" s="32"/>
      <c r="BMG18" s="121"/>
      <c r="BMH18" s="32"/>
      <c r="BMI18" s="32"/>
      <c r="BMJ18" s="32"/>
      <c r="BMK18" s="32"/>
      <c r="BML18" s="32"/>
      <c r="BMM18" s="60"/>
      <c r="BMN18" s="32"/>
      <c r="BMO18" s="32"/>
      <c r="BMP18" s="32"/>
      <c r="BMQ18" s="32"/>
      <c r="BMR18" s="32"/>
      <c r="BMS18" s="121"/>
      <c r="BMT18" s="32"/>
      <c r="BMU18" s="32"/>
      <c r="BMV18" s="32"/>
      <c r="BMW18" s="32"/>
      <c r="BMX18" s="32"/>
      <c r="BMY18" s="60"/>
      <c r="BMZ18" s="32"/>
      <c r="BNA18" s="32"/>
      <c r="BNB18" s="32"/>
      <c r="BNC18" s="32"/>
      <c r="BND18" s="32"/>
      <c r="BNE18" s="121"/>
      <c r="BNF18" s="32"/>
      <c r="BNG18" s="32"/>
      <c r="BNH18" s="32"/>
      <c r="BNI18" s="32"/>
      <c r="BNJ18" s="32"/>
      <c r="BNK18" s="60"/>
      <c r="BNL18" s="32"/>
      <c r="BNM18" s="32"/>
      <c r="BNN18" s="32"/>
      <c r="BNO18" s="32"/>
      <c r="BNP18" s="32"/>
      <c r="BNQ18" s="121"/>
      <c r="BNR18" s="32"/>
      <c r="BNS18" s="32"/>
      <c r="BNT18" s="32"/>
      <c r="BNU18" s="32"/>
      <c r="BNV18" s="32"/>
      <c r="BNW18" s="60"/>
      <c r="BNX18" s="32"/>
      <c r="BNY18" s="32"/>
      <c r="BNZ18" s="32"/>
      <c r="BOA18" s="32"/>
      <c r="BOB18" s="32"/>
      <c r="BOC18" s="33"/>
      <c r="BOD18" s="31"/>
      <c r="BOE18" s="32"/>
      <c r="BOF18" s="32"/>
      <c r="BOG18" s="32"/>
      <c r="BOH18" s="32"/>
      <c r="BOI18" s="116"/>
      <c r="BOJ18" s="32"/>
      <c r="BOK18" s="32"/>
      <c r="BOL18" s="32"/>
      <c r="BOM18" s="32"/>
      <c r="BON18" s="32"/>
      <c r="BOO18" s="121"/>
      <c r="BOP18" s="32"/>
      <c r="BOQ18" s="32"/>
      <c r="BOR18" s="32"/>
      <c r="BOS18" s="32"/>
      <c r="BOT18" s="32"/>
      <c r="BOU18" s="60"/>
      <c r="BOV18" s="32"/>
      <c r="BOW18" s="32"/>
      <c r="BOX18" s="32"/>
      <c r="BOY18" s="32"/>
      <c r="BOZ18" s="32"/>
      <c r="BPA18" s="121"/>
      <c r="BPB18" s="32"/>
      <c r="BPC18" s="32"/>
      <c r="BPD18" s="32"/>
      <c r="BPE18" s="32"/>
      <c r="BPF18" s="32"/>
      <c r="BPG18" s="60"/>
      <c r="BPH18" s="32"/>
      <c r="BPI18" s="32"/>
      <c r="BPJ18" s="32"/>
      <c r="BPK18" s="32"/>
      <c r="BPL18" s="32"/>
      <c r="BPM18" s="121"/>
      <c r="BPN18" s="32"/>
      <c r="BPO18" s="32"/>
      <c r="BPP18" s="32"/>
      <c r="BPQ18" s="32"/>
      <c r="BPR18" s="32"/>
      <c r="BPS18" s="60"/>
      <c r="BPT18" s="32"/>
      <c r="BPU18" s="32"/>
      <c r="BPV18" s="32"/>
      <c r="BPW18" s="32"/>
      <c r="BPX18" s="32"/>
      <c r="BPY18" s="121"/>
      <c r="BPZ18" s="32"/>
      <c r="BQA18" s="32"/>
      <c r="BQB18" s="32"/>
      <c r="BQC18" s="32"/>
      <c r="BQD18" s="32"/>
      <c r="BQE18" s="60"/>
      <c r="BQF18" s="32"/>
      <c r="BQG18" s="32"/>
      <c r="BQH18" s="32"/>
      <c r="BQI18" s="32"/>
      <c r="BQJ18" s="32"/>
      <c r="BQK18" s="33"/>
      <c r="BQL18" s="31"/>
      <c r="BQM18" s="32"/>
      <c r="BQN18" s="32"/>
      <c r="BQO18" s="32"/>
      <c r="BQP18" s="32"/>
      <c r="BQQ18" s="116"/>
      <c r="BQR18" s="32"/>
      <c r="BQS18" s="32"/>
      <c r="BQT18" s="32"/>
      <c r="BQU18" s="32"/>
      <c r="BQV18" s="32"/>
      <c r="BQW18" s="121"/>
      <c r="BQX18" s="32"/>
      <c r="BQY18" s="32"/>
      <c r="BQZ18" s="32"/>
      <c r="BRA18" s="32"/>
      <c r="BRB18" s="32"/>
      <c r="BRC18" s="60"/>
      <c r="BRD18" s="32"/>
      <c r="BRE18" s="32"/>
      <c r="BRF18" s="32"/>
      <c r="BRG18" s="32"/>
      <c r="BRH18" s="32"/>
      <c r="BRI18" s="121"/>
      <c r="BRJ18" s="32"/>
      <c r="BRK18" s="32"/>
      <c r="BRL18" s="32"/>
      <c r="BRM18" s="32"/>
      <c r="BRN18" s="32"/>
      <c r="BRO18" s="60"/>
      <c r="BRP18" s="32"/>
      <c r="BRQ18" s="32"/>
      <c r="BRR18" s="32"/>
      <c r="BRS18" s="32"/>
      <c r="BRT18" s="32"/>
      <c r="BRU18" s="121"/>
      <c r="BRV18" s="32"/>
      <c r="BRW18" s="32"/>
      <c r="BRX18" s="32"/>
      <c r="BRY18" s="32"/>
      <c r="BRZ18" s="32"/>
      <c r="BSA18" s="60"/>
      <c r="BSB18" s="32"/>
      <c r="BSC18" s="32"/>
      <c r="BSD18" s="32"/>
      <c r="BSE18" s="32"/>
      <c r="BSF18" s="32"/>
      <c r="BSG18" s="121"/>
      <c r="BSH18" s="32"/>
      <c r="BSI18" s="32"/>
      <c r="BSJ18" s="32"/>
      <c r="BSK18" s="32"/>
      <c r="BSL18" s="32"/>
      <c r="BSM18" s="60"/>
      <c r="BSN18" s="32"/>
      <c r="BSO18" s="32"/>
      <c r="BSP18" s="32"/>
      <c r="BSQ18" s="32"/>
      <c r="BSR18" s="32"/>
      <c r="BSS18" s="33"/>
      <c r="BST18" s="31"/>
      <c r="BSU18" s="32"/>
      <c r="BSV18" s="32"/>
      <c r="BSW18" s="32"/>
      <c r="BSX18" s="32"/>
      <c r="BSY18" s="116"/>
      <c r="BSZ18" s="32"/>
      <c r="BTA18" s="32"/>
      <c r="BTB18" s="32"/>
      <c r="BTC18" s="32"/>
      <c r="BTD18" s="32"/>
      <c r="BTE18" s="121"/>
      <c r="BTF18" s="32"/>
      <c r="BTG18" s="32"/>
      <c r="BTH18" s="32"/>
      <c r="BTI18" s="32"/>
      <c r="BTJ18" s="32"/>
      <c r="BTK18" s="60"/>
      <c r="BTL18" s="32"/>
      <c r="BTM18" s="32"/>
      <c r="BTN18" s="32"/>
      <c r="BTO18" s="32"/>
      <c r="BTP18" s="32"/>
      <c r="BTQ18" s="121"/>
      <c r="BTR18" s="32"/>
      <c r="BTS18" s="32"/>
      <c r="BTT18" s="32"/>
      <c r="BTU18" s="32"/>
      <c r="BTV18" s="32"/>
      <c r="BTW18" s="60"/>
      <c r="BTX18" s="32"/>
      <c r="BTY18" s="32"/>
      <c r="BTZ18" s="32"/>
      <c r="BUA18" s="32"/>
      <c r="BUB18" s="32"/>
      <c r="BUC18" s="121"/>
      <c r="BUD18" s="32"/>
      <c r="BUE18" s="32"/>
      <c r="BUF18" s="32"/>
      <c r="BUG18" s="32"/>
      <c r="BUH18" s="32"/>
      <c r="BUI18" s="60"/>
      <c r="BUJ18" s="32"/>
      <c r="BUK18" s="32"/>
      <c r="BUL18" s="32"/>
      <c r="BUM18" s="32"/>
      <c r="BUN18" s="32"/>
      <c r="BUO18" s="121"/>
      <c r="BUP18" s="32"/>
      <c r="BUQ18" s="32"/>
      <c r="BUR18" s="32"/>
      <c r="BUS18" s="32"/>
      <c r="BUT18" s="32"/>
      <c r="BUU18" s="60"/>
      <c r="BUV18" s="32"/>
      <c r="BUW18" s="32"/>
      <c r="BUX18" s="32"/>
      <c r="BUY18" s="32"/>
      <c r="BUZ18" s="32"/>
      <c r="BVA18" s="33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74" t="s">
        <v>17</v>
      </c>
      <c r="D19" s="129" t="str">
        <f t="shared" si="0"/>
        <v>2h45min</v>
      </c>
      <c r="E19" s="34">
        <v>33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149"/>
      <c r="BA19" s="151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149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51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149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149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51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149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51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149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51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149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149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51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149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51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149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51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149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51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149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149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51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149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51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149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51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149"/>
      <c r="BHW19" s="155"/>
      <c r="BHX19" s="149"/>
      <c r="BHY19" s="149"/>
      <c r="BHZ19" s="149"/>
      <c r="BIA19" s="149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35"/>
      <c r="BJO19" s="36"/>
      <c r="BJP19" s="36"/>
      <c r="BJQ19" s="36"/>
      <c r="BJR19" s="36"/>
      <c r="BJS19" s="117"/>
      <c r="BJT19" s="36"/>
      <c r="BJU19" s="36"/>
      <c r="BJV19" s="36"/>
      <c r="BJW19" s="36"/>
      <c r="BJX19" s="36"/>
      <c r="BJY19" s="122"/>
      <c r="BJZ19" s="36"/>
      <c r="BKA19" s="36"/>
      <c r="BKB19" s="36"/>
      <c r="BKC19" s="36"/>
      <c r="BKD19" s="36"/>
      <c r="BKE19" s="61"/>
      <c r="BKF19" s="36"/>
      <c r="BKG19" s="36"/>
      <c r="BKH19" s="36"/>
      <c r="BKI19" s="36"/>
      <c r="BKJ19" s="36"/>
      <c r="BKK19" s="122"/>
      <c r="BKL19" s="36"/>
      <c r="BKM19" s="36"/>
      <c r="BKN19" s="36"/>
      <c r="BKO19" s="36"/>
      <c r="BKP19" s="36"/>
      <c r="BKQ19" s="61"/>
      <c r="BKR19" s="36"/>
      <c r="BKS19" s="36"/>
      <c r="BKT19" s="36"/>
      <c r="BKU19" s="36"/>
      <c r="BKV19" s="36"/>
      <c r="BKW19" s="122"/>
      <c r="BKX19" s="36"/>
      <c r="BKY19" s="36"/>
      <c r="BKZ19" s="36"/>
      <c r="BLA19" s="36"/>
      <c r="BLB19" s="36"/>
      <c r="BLC19" s="61"/>
      <c r="BLD19" s="36"/>
      <c r="BLE19" s="36"/>
      <c r="BLF19" s="36"/>
      <c r="BLG19" s="36"/>
      <c r="BLH19" s="36"/>
      <c r="BLI19" s="122"/>
      <c r="BLJ19" s="36"/>
      <c r="BLK19" s="36"/>
      <c r="BLL19" s="36"/>
      <c r="BLM19" s="36"/>
      <c r="BLN19" s="36"/>
      <c r="BLO19" s="61"/>
      <c r="BLP19" s="36"/>
      <c r="BLQ19" s="36"/>
      <c r="BLR19" s="36"/>
      <c r="BLS19" s="36"/>
      <c r="BLT19" s="36"/>
      <c r="BLU19" s="37"/>
      <c r="BLV19" s="35"/>
      <c r="BLW19" s="36"/>
      <c r="BLX19" s="36"/>
      <c r="BLY19" s="36"/>
      <c r="BLZ19" s="36"/>
      <c r="BMA19" s="117"/>
      <c r="BMB19" s="36"/>
      <c r="BMC19" s="36"/>
      <c r="BMD19" s="36"/>
      <c r="BME19" s="36"/>
      <c r="BMF19" s="36"/>
      <c r="BMG19" s="122"/>
      <c r="BMH19" s="36"/>
      <c r="BMI19" s="36"/>
      <c r="BMJ19" s="36"/>
      <c r="BMK19" s="36"/>
      <c r="BML19" s="36"/>
      <c r="BMM19" s="61"/>
      <c r="BMN19" s="36"/>
      <c r="BMO19" s="36"/>
      <c r="BMP19" s="36"/>
      <c r="BMQ19" s="36"/>
      <c r="BMR19" s="36"/>
      <c r="BMS19" s="122"/>
      <c r="BMT19" s="36"/>
      <c r="BMU19" s="36"/>
      <c r="BMV19" s="36"/>
      <c r="BMW19" s="36"/>
      <c r="BMX19" s="36"/>
      <c r="BMY19" s="61"/>
      <c r="BMZ19" s="36"/>
      <c r="BNA19" s="36"/>
      <c r="BNB19" s="36"/>
      <c r="BNC19" s="36"/>
      <c r="BND19" s="36"/>
      <c r="BNE19" s="122"/>
      <c r="BNF19" s="36"/>
      <c r="BNG19" s="36"/>
      <c r="BNH19" s="36"/>
      <c r="BNI19" s="36"/>
      <c r="BNJ19" s="36"/>
      <c r="BNK19" s="61"/>
      <c r="BNL19" s="36"/>
      <c r="BNM19" s="36"/>
      <c r="BNN19" s="36"/>
      <c r="BNO19" s="36"/>
      <c r="BNP19" s="36"/>
      <c r="BNQ19" s="122"/>
      <c r="BNR19" s="36"/>
      <c r="BNS19" s="36"/>
      <c r="BNT19" s="36"/>
      <c r="BNU19" s="36"/>
      <c r="BNV19" s="36"/>
      <c r="BNW19" s="61"/>
      <c r="BNX19" s="36"/>
      <c r="BNY19" s="36"/>
      <c r="BNZ19" s="36"/>
      <c r="BOA19" s="36"/>
      <c r="BOB19" s="36"/>
      <c r="BOC19" s="37"/>
      <c r="BOD19" s="35"/>
      <c r="BOE19" s="36"/>
      <c r="BOF19" s="36"/>
      <c r="BOG19" s="36"/>
      <c r="BOH19" s="36"/>
      <c r="BOI19" s="117"/>
      <c r="BOJ19" s="36"/>
      <c r="BOK19" s="36"/>
      <c r="BOL19" s="36"/>
      <c r="BOM19" s="36"/>
      <c r="BON19" s="36"/>
      <c r="BOO19" s="122"/>
      <c r="BOP19" s="36"/>
      <c r="BOQ19" s="36"/>
      <c r="BOR19" s="36"/>
      <c r="BOS19" s="36"/>
      <c r="BOT19" s="36"/>
      <c r="BOU19" s="61"/>
      <c r="BOV19" s="36"/>
      <c r="BOW19" s="36"/>
      <c r="BOX19" s="36"/>
      <c r="BOY19" s="36"/>
      <c r="BOZ19" s="36"/>
      <c r="BPA19" s="122"/>
      <c r="BPB19" s="36"/>
      <c r="BPC19" s="36"/>
      <c r="BPD19" s="36"/>
      <c r="BPE19" s="36"/>
      <c r="BPF19" s="36"/>
      <c r="BPG19" s="61"/>
      <c r="BPH19" s="36"/>
      <c r="BPI19" s="36"/>
      <c r="BPJ19" s="36"/>
      <c r="BPK19" s="36"/>
      <c r="BPL19" s="36"/>
      <c r="BPM19" s="122"/>
      <c r="BPN19" s="36"/>
      <c r="BPO19" s="36"/>
      <c r="BPP19" s="36"/>
      <c r="BPQ19" s="36"/>
      <c r="BPR19" s="36"/>
      <c r="BPS19" s="61"/>
      <c r="BPT19" s="36"/>
      <c r="BPU19" s="36"/>
      <c r="BPV19" s="36"/>
      <c r="BPW19" s="36"/>
      <c r="BPX19" s="36"/>
      <c r="BPY19" s="122"/>
      <c r="BPZ19" s="36"/>
      <c r="BQA19" s="36"/>
      <c r="BQB19" s="36"/>
      <c r="BQC19" s="36"/>
      <c r="BQD19" s="36"/>
      <c r="BQE19" s="61"/>
      <c r="BQF19" s="36"/>
      <c r="BQG19" s="36"/>
      <c r="BQH19" s="36"/>
      <c r="BQI19" s="36"/>
      <c r="BQJ19" s="36"/>
      <c r="BQK19" s="37"/>
      <c r="BQL19" s="35"/>
      <c r="BQM19" s="36"/>
      <c r="BQN19" s="36"/>
      <c r="BQO19" s="36"/>
      <c r="BQP19" s="36"/>
      <c r="BQQ19" s="117"/>
      <c r="BQR19" s="36"/>
      <c r="BQS19" s="36"/>
      <c r="BQT19" s="36"/>
      <c r="BQU19" s="36"/>
      <c r="BQV19" s="36"/>
      <c r="BQW19" s="122"/>
      <c r="BQX19" s="36"/>
      <c r="BQY19" s="36"/>
      <c r="BQZ19" s="36"/>
      <c r="BRA19" s="36"/>
      <c r="BRB19" s="36"/>
      <c r="BRC19" s="61"/>
      <c r="BRD19" s="36"/>
      <c r="BRE19" s="36"/>
      <c r="BRF19" s="36"/>
      <c r="BRG19" s="36"/>
      <c r="BRH19" s="36"/>
      <c r="BRI19" s="122"/>
      <c r="BRJ19" s="36"/>
      <c r="BRK19" s="36"/>
      <c r="BRL19" s="36"/>
      <c r="BRM19" s="36"/>
      <c r="BRN19" s="36"/>
      <c r="BRO19" s="61"/>
      <c r="BRP19" s="36"/>
      <c r="BRQ19" s="36"/>
      <c r="BRR19" s="36"/>
      <c r="BRS19" s="36"/>
      <c r="BRT19" s="36"/>
      <c r="BRU19" s="122"/>
      <c r="BRV19" s="36"/>
      <c r="BRW19" s="36"/>
      <c r="BRX19" s="36"/>
      <c r="BRY19" s="36"/>
      <c r="BRZ19" s="36"/>
      <c r="BSA19" s="61"/>
      <c r="BSB19" s="36"/>
      <c r="BSC19" s="36"/>
      <c r="BSD19" s="36"/>
      <c r="BSE19" s="36"/>
      <c r="BSF19" s="36"/>
      <c r="BSG19" s="122"/>
      <c r="BSH19" s="36"/>
      <c r="BSI19" s="36"/>
      <c r="BSJ19" s="36"/>
      <c r="BSK19" s="36"/>
      <c r="BSL19" s="36"/>
      <c r="BSM19" s="61"/>
      <c r="BSN19" s="36"/>
      <c r="BSO19" s="36"/>
      <c r="BSP19" s="36"/>
      <c r="BSQ19" s="36"/>
      <c r="BSR19" s="36"/>
      <c r="BSS19" s="37"/>
      <c r="BST19" s="35"/>
      <c r="BSU19" s="36"/>
      <c r="BSV19" s="36"/>
      <c r="BSW19" s="36"/>
      <c r="BSX19" s="36"/>
      <c r="BSY19" s="117"/>
      <c r="BSZ19" s="36"/>
      <c r="BTA19" s="36"/>
      <c r="BTB19" s="36"/>
      <c r="BTC19" s="36"/>
      <c r="BTD19" s="36"/>
      <c r="BTE19" s="122"/>
      <c r="BTF19" s="36"/>
      <c r="BTG19" s="36"/>
      <c r="BTH19" s="36"/>
      <c r="BTI19" s="36"/>
      <c r="BTJ19" s="36"/>
      <c r="BTK19" s="61"/>
      <c r="BTL19" s="36"/>
      <c r="BTM19" s="36"/>
      <c r="BTN19" s="36"/>
      <c r="BTO19" s="36"/>
      <c r="BTP19" s="36"/>
      <c r="BTQ19" s="122"/>
      <c r="BTR19" s="36"/>
      <c r="BTS19" s="36"/>
      <c r="BTT19" s="36"/>
      <c r="BTU19" s="36"/>
      <c r="BTV19" s="36"/>
      <c r="BTW19" s="61"/>
      <c r="BTX19" s="36"/>
      <c r="BTY19" s="36"/>
      <c r="BTZ19" s="36"/>
      <c r="BUA19" s="36"/>
      <c r="BUB19" s="36"/>
      <c r="BUC19" s="122"/>
      <c r="BUD19" s="36"/>
      <c r="BUE19" s="36"/>
      <c r="BUF19" s="36"/>
      <c r="BUG19" s="36"/>
      <c r="BUH19" s="36"/>
      <c r="BUI19" s="61"/>
      <c r="BUJ19" s="36"/>
      <c r="BUK19" s="36"/>
      <c r="BUL19" s="36"/>
      <c r="BUM19" s="36"/>
      <c r="BUN19" s="36"/>
      <c r="BUO19" s="122"/>
      <c r="BUP19" s="36"/>
      <c r="BUQ19" s="36"/>
      <c r="BUR19" s="36"/>
      <c r="BUS19" s="36"/>
      <c r="BUT19" s="36"/>
      <c r="BUU19" s="61"/>
      <c r="BUV19" s="36"/>
      <c r="BUW19" s="36"/>
      <c r="BUX19" s="36"/>
      <c r="BUY19" s="36"/>
      <c r="BUZ19" s="36"/>
      <c r="BVA19" s="37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75"/>
      <c r="D20" s="130" t="str">
        <f t="shared" si="0"/>
        <v>0h20min</v>
      </c>
      <c r="E20" s="22">
        <v>4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168"/>
      <c r="BA20" s="16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168"/>
      <c r="CO20" s="168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14"/>
      <c r="BHL20" s="24"/>
      <c r="BHM20" s="24"/>
      <c r="BHN20" s="24"/>
      <c r="BHO20" s="24"/>
      <c r="BHP20" s="24"/>
      <c r="BHQ20" s="119"/>
      <c r="BHR20" s="24"/>
      <c r="BHS20" s="24"/>
      <c r="BHT20" s="24"/>
      <c r="BHU20" s="24"/>
      <c r="BHV20" s="24"/>
      <c r="BHW20" s="60"/>
      <c r="BHX20" s="24"/>
      <c r="BHY20" s="24"/>
      <c r="BHZ20" s="24"/>
      <c r="BIA20" s="24"/>
      <c r="BIB20" s="24"/>
      <c r="BIC20" s="119"/>
      <c r="BID20" s="24"/>
      <c r="BIE20" s="24"/>
      <c r="BIF20" s="24"/>
      <c r="BIG20" s="24"/>
      <c r="BIH20" s="24"/>
      <c r="BII20" s="60"/>
      <c r="BIJ20" s="24"/>
      <c r="BIK20" s="24"/>
      <c r="BIL20" s="24"/>
      <c r="BIM20" s="24"/>
      <c r="BIN20" s="24"/>
      <c r="BIO20" s="119"/>
      <c r="BIP20" s="24"/>
      <c r="BIQ20" s="24"/>
      <c r="BIR20" s="24"/>
      <c r="BIS20" s="24"/>
      <c r="BIT20" s="32"/>
      <c r="BIU20" s="60"/>
      <c r="BIV20" s="24"/>
      <c r="BIW20" s="24"/>
      <c r="BIX20" s="24"/>
      <c r="BIY20" s="24"/>
      <c r="BIZ20" s="24"/>
      <c r="BJA20" s="119"/>
      <c r="BJB20" s="24"/>
      <c r="BJC20" s="24"/>
      <c r="BJD20" s="24"/>
      <c r="BJE20" s="24"/>
      <c r="BJF20" s="24"/>
      <c r="BJG20" s="60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14"/>
      <c r="BJT20" s="24"/>
      <c r="BJU20" s="24"/>
      <c r="BJV20" s="24"/>
      <c r="BJW20" s="24"/>
      <c r="BJX20" s="24"/>
      <c r="BJY20" s="119"/>
      <c r="BJZ20" s="24"/>
      <c r="BKA20" s="24"/>
      <c r="BKB20" s="24"/>
      <c r="BKC20" s="24"/>
      <c r="BKD20" s="24"/>
      <c r="BKE20" s="60"/>
      <c r="BKF20" s="24"/>
      <c r="BKG20" s="24"/>
      <c r="BKH20" s="24"/>
      <c r="BKI20" s="24"/>
      <c r="BKJ20" s="24"/>
      <c r="BKK20" s="119"/>
      <c r="BKL20" s="24"/>
      <c r="BKM20" s="24"/>
      <c r="BKN20" s="24"/>
      <c r="BKO20" s="24"/>
      <c r="BKP20" s="24"/>
      <c r="BKQ20" s="60"/>
      <c r="BKR20" s="24"/>
      <c r="BKS20" s="24"/>
      <c r="BKT20" s="24"/>
      <c r="BKU20" s="24"/>
      <c r="BKV20" s="24"/>
      <c r="BKW20" s="119"/>
      <c r="BKX20" s="24"/>
      <c r="BKY20" s="24"/>
      <c r="BKZ20" s="24"/>
      <c r="BLA20" s="24"/>
      <c r="BLB20" s="32"/>
      <c r="BLC20" s="60"/>
      <c r="BLD20" s="24"/>
      <c r="BLE20" s="24"/>
      <c r="BLF20" s="24"/>
      <c r="BLG20" s="24"/>
      <c r="BLH20" s="24"/>
      <c r="BLI20" s="119"/>
      <c r="BLJ20" s="24"/>
      <c r="BLK20" s="24"/>
      <c r="BLL20" s="24"/>
      <c r="BLM20" s="24"/>
      <c r="BLN20" s="24"/>
      <c r="BLO20" s="60"/>
      <c r="BLP20" s="24"/>
      <c r="BLQ20" s="24"/>
      <c r="BLR20" s="24"/>
      <c r="BLS20" s="24"/>
      <c r="BLT20" s="24"/>
      <c r="BLU20" s="25"/>
      <c r="BLV20" s="23"/>
      <c r="BLW20" s="24"/>
      <c r="BLX20" s="24"/>
      <c r="BLY20" s="24"/>
      <c r="BLZ20" s="24"/>
      <c r="BMA20" s="114"/>
      <c r="BMB20" s="24"/>
      <c r="BMC20" s="24"/>
      <c r="BMD20" s="24"/>
      <c r="BME20" s="24"/>
      <c r="BMF20" s="24"/>
      <c r="BMG20" s="119"/>
      <c r="BMH20" s="24"/>
      <c r="BMI20" s="24"/>
      <c r="BMJ20" s="24"/>
      <c r="BMK20" s="24"/>
      <c r="BML20" s="24"/>
      <c r="BMM20" s="60"/>
      <c r="BMN20" s="24"/>
      <c r="BMO20" s="24"/>
      <c r="BMP20" s="24"/>
      <c r="BMQ20" s="24"/>
      <c r="BMR20" s="24"/>
      <c r="BMS20" s="119"/>
      <c r="BMT20" s="24"/>
      <c r="BMU20" s="24"/>
      <c r="BMV20" s="24"/>
      <c r="BMW20" s="24"/>
      <c r="BMX20" s="24"/>
      <c r="BMY20" s="60"/>
      <c r="BMZ20" s="24"/>
      <c r="BNA20" s="24"/>
      <c r="BNB20" s="24"/>
      <c r="BNC20" s="24"/>
      <c r="BND20" s="24"/>
      <c r="BNE20" s="119"/>
      <c r="BNF20" s="24"/>
      <c r="BNG20" s="24"/>
      <c r="BNH20" s="24"/>
      <c r="BNI20" s="24"/>
      <c r="BNJ20" s="32"/>
      <c r="BNK20" s="60"/>
      <c r="BNL20" s="24"/>
      <c r="BNM20" s="24"/>
      <c r="BNN20" s="24"/>
      <c r="BNO20" s="24"/>
      <c r="BNP20" s="24"/>
      <c r="BNQ20" s="119"/>
      <c r="BNR20" s="24"/>
      <c r="BNS20" s="24"/>
      <c r="BNT20" s="24"/>
      <c r="BNU20" s="24"/>
      <c r="BNV20" s="24"/>
      <c r="BNW20" s="60"/>
      <c r="BNX20" s="24"/>
      <c r="BNY20" s="24"/>
      <c r="BNZ20" s="24"/>
      <c r="BOA20" s="24"/>
      <c r="BOB20" s="24"/>
      <c r="BOC20" s="25"/>
      <c r="BOD20" s="23"/>
      <c r="BOE20" s="24"/>
      <c r="BOF20" s="24"/>
      <c r="BOG20" s="24"/>
      <c r="BOH20" s="24"/>
      <c r="BOI20" s="114"/>
      <c r="BOJ20" s="24"/>
      <c r="BOK20" s="24"/>
      <c r="BOL20" s="24"/>
      <c r="BOM20" s="24"/>
      <c r="BON20" s="24"/>
      <c r="BOO20" s="119"/>
      <c r="BOP20" s="24"/>
      <c r="BOQ20" s="24"/>
      <c r="BOR20" s="24"/>
      <c r="BOS20" s="24"/>
      <c r="BOT20" s="24"/>
      <c r="BOU20" s="60"/>
      <c r="BOV20" s="24"/>
      <c r="BOW20" s="24"/>
      <c r="BOX20" s="24"/>
      <c r="BOY20" s="24"/>
      <c r="BOZ20" s="24"/>
      <c r="BPA20" s="119"/>
      <c r="BPB20" s="24"/>
      <c r="BPC20" s="24"/>
      <c r="BPD20" s="24"/>
      <c r="BPE20" s="24"/>
      <c r="BPF20" s="24"/>
      <c r="BPG20" s="60"/>
      <c r="BPH20" s="24"/>
      <c r="BPI20" s="24"/>
      <c r="BPJ20" s="24"/>
      <c r="BPK20" s="24"/>
      <c r="BPL20" s="24"/>
      <c r="BPM20" s="119"/>
      <c r="BPN20" s="24"/>
      <c r="BPO20" s="24"/>
      <c r="BPP20" s="24"/>
      <c r="BPQ20" s="24"/>
      <c r="BPR20" s="32"/>
      <c r="BPS20" s="60"/>
      <c r="BPT20" s="24"/>
      <c r="BPU20" s="24"/>
      <c r="BPV20" s="24"/>
      <c r="BPW20" s="24"/>
      <c r="BPX20" s="24"/>
      <c r="BPY20" s="119"/>
      <c r="BPZ20" s="24"/>
      <c r="BQA20" s="24"/>
      <c r="BQB20" s="24"/>
      <c r="BQC20" s="24"/>
      <c r="BQD20" s="24"/>
      <c r="BQE20" s="60"/>
      <c r="BQF20" s="24"/>
      <c r="BQG20" s="24"/>
      <c r="BQH20" s="24"/>
      <c r="BQI20" s="24"/>
      <c r="BQJ20" s="24"/>
      <c r="BQK20" s="25"/>
      <c r="BQL20" s="23"/>
      <c r="BQM20" s="24"/>
      <c r="BQN20" s="24"/>
      <c r="BQO20" s="24"/>
      <c r="BQP20" s="24"/>
      <c r="BQQ20" s="114"/>
      <c r="BQR20" s="24"/>
      <c r="BQS20" s="24"/>
      <c r="BQT20" s="24"/>
      <c r="BQU20" s="24"/>
      <c r="BQV20" s="24"/>
      <c r="BQW20" s="119"/>
      <c r="BQX20" s="24"/>
      <c r="BQY20" s="24"/>
      <c r="BQZ20" s="24"/>
      <c r="BRA20" s="24"/>
      <c r="BRB20" s="24"/>
      <c r="BRC20" s="60"/>
      <c r="BRD20" s="24"/>
      <c r="BRE20" s="24"/>
      <c r="BRF20" s="24"/>
      <c r="BRG20" s="24"/>
      <c r="BRH20" s="24"/>
      <c r="BRI20" s="119"/>
      <c r="BRJ20" s="24"/>
      <c r="BRK20" s="24"/>
      <c r="BRL20" s="24"/>
      <c r="BRM20" s="24"/>
      <c r="BRN20" s="24"/>
      <c r="BRO20" s="60"/>
      <c r="BRP20" s="24"/>
      <c r="BRQ20" s="24"/>
      <c r="BRR20" s="24"/>
      <c r="BRS20" s="24"/>
      <c r="BRT20" s="24"/>
      <c r="BRU20" s="119"/>
      <c r="BRV20" s="24"/>
      <c r="BRW20" s="24"/>
      <c r="BRX20" s="24"/>
      <c r="BRY20" s="24"/>
      <c r="BRZ20" s="32"/>
      <c r="BSA20" s="60"/>
      <c r="BSB20" s="24"/>
      <c r="BSC20" s="24"/>
      <c r="BSD20" s="24"/>
      <c r="BSE20" s="24"/>
      <c r="BSF20" s="24"/>
      <c r="BSG20" s="119"/>
      <c r="BSH20" s="24"/>
      <c r="BSI20" s="24"/>
      <c r="BSJ20" s="24"/>
      <c r="BSK20" s="24"/>
      <c r="BSL20" s="24"/>
      <c r="BSM20" s="60"/>
      <c r="BSN20" s="24"/>
      <c r="BSO20" s="24"/>
      <c r="BSP20" s="24"/>
      <c r="BSQ20" s="24"/>
      <c r="BSR20" s="24"/>
      <c r="BSS20" s="25"/>
      <c r="BST20" s="23"/>
      <c r="BSU20" s="24"/>
      <c r="BSV20" s="24"/>
      <c r="BSW20" s="24"/>
      <c r="BSX20" s="24"/>
      <c r="BSY20" s="114"/>
      <c r="BSZ20" s="24"/>
      <c r="BTA20" s="24"/>
      <c r="BTB20" s="24"/>
      <c r="BTC20" s="24"/>
      <c r="BTD20" s="24"/>
      <c r="BTE20" s="119"/>
      <c r="BTF20" s="24"/>
      <c r="BTG20" s="24"/>
      <c r="BTH20" s="24"/>
      <c r="BTI20" s="24"/>
      <c r="BTJ20" s="24"/>
      <c r="BTK20" s="60"/>
      <c r="BTL20" s="24"/>
      <c r="BTM20" s="24"/>
      <c r="BTN20" s="24"/>
      <c r="BTO20" s="24"/>
      <c r="BTP20" s="24"/>
      <c r="BTQ20" s="119"/>
      <c r="BTR20" s="24"/>
      <c r="BTS20" s="24"/>
      <c r="BTT20" s="24"/>
      <c r="BTU20" s="24"/>
      <c r="BTV20" s="24"/>
      <c r="BTW20" s="60"/>
      <c r="BTX20" s="24"/>
      <c r="BTY20" s="24"/>
      <c r="BTZ20" s="24"/>
      <c r="BUA20" s="24"/>
      <c r="BUB20" s="24"/>
      <c r="BUC20" s="119"/>
      <c r="BUD20" s="24"/>
      <c r="BUE20" s="24"/>
      <c r="BUF20" s="24"/>
      <c r="BUG20" s="24"/>
      <c r="BUH20" s="32"/>
      <c r="BUI20" s="60"/>
      <c r="BUJ20" s="24"/>
      <c r="BUK20" s="24"/>
      <c r="BUL20" s="24"/>
      <c r="BUM20" s="24"/>
      <c r="BUN20" s="24"/>
      <c r="BUO20" s="119"/>
      <c r="BUP20" s="24"/>
      <c r="BUQ20" s="24"/>
      <c r="BUR20" s="24"/>
      <c r="BUS20" s="24"/>
      <c r="BUT20" s="24"/>
      <c r="BUU20" s="60"/>
      <c r="BUV20" s="24"/>
      <c r="BUW20" s="24"/>
      <c r="BUX20" s="24"/>
      <c r="BUY20" s="24"/>
      <c r="BUZ20" s="24"/>
      <c r="BVA20" s="25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74" t="s">
        <v>16</v>
      </c>
      <c r="D21" s="129" t="str">
        <f t="shared" si="0"/>
        <v>32h40min</v>
      </c>
      <c r="E21" s="26">
        <v>392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27"/>
      <c r="BJO21" s="28"/>
      <c r="BJP21" s="28"/>
      <c r="BJQ21" s="28"/>
      <c r="BJR21" s="28"/>
      <c r="BJS21" s="115"/>
      <c r="BJT21" s="28"/>
      <c r="BJU21" s="28"/>
      <c r="BJV21" s="28"/>
      <c r="BJW21" s="28"/>
      <c r="BJX21" s="28"/>
      <c r="BJY21" s="120"/>
      <c r="BJZ21" s="28"/>
      <c r="BKA21" s="28"/>
      <c r="BKB21" s="28"/>
      <c r="BKC21" s="28"/>
      <c r="BKD21" s="28"/>
      <c r="BKE21" s="59"/>
      <c r="BKF21" s="28"/>
      <c r="BKG21" s="28"/>
      <c r="BKH21" s="28"/>
      <c r="BKI21" s="28"/>
      <c r="BKJ21" s="28"/>
      <c r="BKK21" s="120"/>
      <c r="BKL21" s="28"/>
      <c r="BKM21" s="28"/>
      <c r="BKN21" s="28"/>
      <c r="BKO21" s="28"/>
      <c r="BKP21" s="28"/>
      <c r="BKQ21" s="59"/>
      <c r="BKR21" s="28"/>
      <c r="BKS21" s="28"/>
      <c r="BKT21" s="28"/>
      <c r="BKU21" s="28"/>
      <c r="BKV21" s="28"/>
      <c r="BKW21" s="120"/>
      <c r="BKX21" s="28"/>
      <c r="BKY21" s="28"/>
      <c r="BKZ21" s="28"/>
      <c r="BLA21" s="28"/>
      <c r="BLB21" s="28"/>
      <c r="BLC21" s="59"/>
      <c r="BLD21" s="28"/>
      <c r="BLE21" s="28"/>
      <c r="BLF21" s="28"/>
      <c r="BLG21" s="28"/>
      <c r="BLH21" s="28"/>
      <c r="BLI21" s="120"/>
      <c r="BLJ21" s="28"/>
      <c r="BLK21" s="28"/>
      <c r="BLL21" s="28"/>
      <c r="BLM21" s="28"/>
      <c r="BLN21" s="28"/>
      <c r="BLO21" s="59"/>
      <c r="BLP21" s="28"/>
      <c r="BLQ21" s="28"/>
      <c r="BLR21" s="28"/>
      <c r="BLS21" s="28"/>
      <c r="BLT21" s="28"/>
      <c r="BLU21" s="29"/>
      <c r="BLV21" s="27"/>
      <c r="BLW21" s="28"/>
      <c r="BLX21" s="28"/>
      <c r="BLY21" s="28"/>
      <c r="BLZ21" s="28"/>
      <c r="BMA21" s="115"/>
      <c r="BMB21" s="28"/>
      <c r="BMC21" s="28"/>
      <c r="BMD21" s="28"/>
      <c r="BME21" s="28"/>
      <c r="BMF21" s="28"/>
      <c r="BMG21" s="120"/>
      <c r="BMH21" s="28"/>
      <c r="BMI21" s="28"/>
      <c r="BMJ21" s="28"/>
      <c r="BMK21" s="28"/>
      <c r="BML21" s="28"/>
      <c r="BMM21" s="59"/>
      <c r="BMN21" s="28"/>
      <c r="BMO21" s="28"/>
      <c r="BMP21" s="28"/>
      <c r="BMQ21" s="28"/>
      <c r="BMR21" s="28"/>
      <c r="BMS21" s="120"/>
      <c r="BMT21" s="28"/>
      <c r="BMU21" s="28"/>
      <c r="BMV21" s="28"/>
      <c r="BMW21" s="28"/>
      <c r="BMX21" s="28"/>
      <c r="BMY21" s="59"/>
      <c r="BMZ21" s="28"/>
      <c r="BNA21" s="28"/>
      <c r="BNB21" s="28"/>
      <c r="BNC21" s="28"/>
      <c r="BND21" s="28"/>
      <c r="BNE21" s="120"/>
      <c r="BNF21" s="28"/>
      <c r="BNG21" s="28"/>
      <c r="BNH21" s="28"/>
      <c r="BNI21" s="28"/>
      <c r="BNJ21" s="28"/>
      <c r="BNK21" s="59"/>
      <c r="BNL21" s="28"/>
      <c r="BNM21" s="28"/>
      <c r="BNN21" s="28"/>
      <c r="BNO21" s="28"/>
      <c r="BNP21" s="28"/>
      <c r="BNQ21" s="120"/>
      <c r="BNR21" s="28"/>
      <c r="BNS21" s="28"/>
      <c r="BNT21" s="28"/>
      <c r="BNU21" s="28"/>
      <c r="BNV21" s="28"/>
      <c r="BNW21" s="59"/>
      <c r="BNX21" s="28"/>
      <c r="BNY21" s="28"/>
      <c r="BNZ21" s="28"/>
      <c r="BOA21" s="28"/>
      <c r="BOB21" s="28"/>
      <c r="BOC21" s="29"/>
      <c r="BOD21" s="27"/>
      <c r="BOE21" s="28"/>
      <c r="BOF21" s="28"/>
      <c r="BOG21" s="28"/>
      <c r="BOH21" s="28"/>
      <c r="BOI21" s="115"/>
      <c r="BOJ21" s="28"/>
      <c r="BOK21" s="28"/>
      <c r="BOL21" s="28"/>
      <c r="BOM21" s="28"/>
      <c r="BON21" s="28"/>
      <c r="BOO21" s="120"/>
      <c r="BOP21" s="28"/>
      <c r="BOQ21" s="28"/>
      <c r="BOR21" s="28"/>
      <c r="BOS21" s="28"/>
      <c r="BOT21" s="28"/>
      <c r="BOU21" s="59"/>
      <c r="BOV21" s="28"/>
      <c r="BOW21" s="28"/>
      <c r="BOX21" s="28"/>
      <c r="BOY21" s="28"/>
      <c r="BOZ21" s="28"/>
      <c r="BPA21" s="120"/>
      <c r="BPB21" s="28"/>
      <c r="BPC21" s="28"/>
      <c r="BPD21" s="28"/>
      <c r="BPE21" s="28"/>
      <c r="BPF21" s="28"/>
      <c r="BPG21" s="59"/>
      <c r="BPH21" s="28"/>
      <c r="BPI21" s="28"/>
      <c r="BPJ21" s="28"/>
      <c r="BPK21" s="28"/>
      <c r="BPL21" s="28"/>
      <c r="BPM21" s="120"/>
      <c r="BPN21" s="28"/>
      <c r="BPO21" s="28"/>
      <c r="BPP21" s="28"/>
      <c r="BPQ21" s="28"/>
      <c r="BPR21" s="28"/>
      <c r="BPS21" s="59"/>
      <c r="BPT21" s="28"/>
      <c r="BPU21" s="28"/>
      <c r="BPV21" s="28"/>
      <c r="BPW21" s="28"/>
      <c r="BPX21" s="28"/>
      <c r="BPY21" s="120"/>
      <c r="BPZ21" s="28"/>
      <c r="BQA21" s="28"/>
      <c r="BQB21" s="28"/>
      <c r="BQC21" s="28"/>
      <c r="BQD21" s="28"/>
      <c r="BQE21" s="59"/>
      <c r="BQF21" s="28"/>
      <c r="BQG21" s="28"/>
      <c r="BQH21" s="28"/>
      <c r="BQI21" s="28"/>
      <c r="BQJ21" s="28"/>
      <c r="BQK21" s="29"/>
      <c r="BQL21" s="27"/>
      <c r="BQM21" s="28"/>
      <c r="BQN21" s="28"/>
      <c r="BQO21" s="28"/>
      <c r="BQP21" s="28"/>
      <c r="BQQ21" s="115"/>
      <c r="BQR21" s="28"/>
      <c r="BQS21" s="28"/>
      <c r="BQT21" s="28"/>
      <c r="BQU21" s="28"/>
      <c r="BQV21" s="28"/>
      <c r="BQW21" s="120"/>
      <c r="BQX21" s="28"/>
      <c r="BQY21" s="28"/>
      <c r="BQZ21" s="28"/>
      <c r="BRA21" s="28"/>
      <c r="BRB21" s="28"/>
      <c r="BRC21" s="59"/>
      <c r="BRD21" s="28"/>
      <c r="BRE21" s="28"/>
      <c r="BRF21" s="28"/>
      <c r="BRG21" s="28"/>
      <c r="BRH21" s="28"/>
      <c r="BRI21" s="120"/>
      <c r="BRJ21" s="28"/>
      <c r="BRK21" s="28"/>
      <c r="BRL21" s="28"/>
      <c r="BRM21" s="28"/>
      <c r="BRN21" s="28"/>
      <c r="BRO21" s="59"/>
      <c r="BRP21" s="28"/>
      <c r="BRQ21" s="28"/>
      <c r="BRR21" s="28"/>
      <c r="BRS21" s="28"/>
      <c r="BRT21" s="28"/>
      <c r="BRU21" s="120"/>
      <c r="BRV21" s="28"/>
      <c r="BRW21" s="28"/>
      <c r="BRX21" s="28"/>
      <c r="BRY21" s="28"/>
      <c r="BRZ21" s="28"/>
      <c r="BSA21" s="59"/>
      <c r="BSB21" s="28"/>
      <c r="BSC21" s="28"/>
      <c r="BSD21" s="28"/>
      <c r="BSE21" s="28"/>
      <c r="BSF21" s="28"/>
      <c r="BSG21" s="120"/>
      <c r="BSH21" s="28"/>
      <c r="BSI21" s="28"/>
      <c r="BSJ21" s="28"/>
      <c r="BSK21" s="28"/>
      <c r="BSL21" s="28"/>
      <c r="BSM21" s="59"/>
      <c r="BSN21" s="28"/>
      <c r="BSO21" s="28"/>
      <c r="BSP21" s="28"/>
      <c r="BSQ21" s="28"/>
      <c r="BSR21" s="28"/>
      <c r="BSS21" s="29"/>
      <c r="BST21" s="27"/>
      <c r="BSU21" s="28"/>
      <c r="BSV21" s="28"/>
      <c r="BSW21" s="28"/>
      <c r="BSX21" s="28"/>
      <c r="BSY21" s="115"/>
      <c r="BSZ21" s="28"/>
      <c r="BTA21" s="28"/>
      <c r="BTB21" s="28"/>
      <c r="BTC21" s="28"/>
      <c r="BTD21" s="28"/>
      <c r="BTE21" s="120"/>
      <c r="BTF21" s="28"/>
      <c r="BTG21" s="28"/>
      <c r="BTH21" s="28"/>
      <c r="BTI21" s="28"/>
      <c r="BTJ21" s="28"/>
      <c r="BTK21" s="59"/>
      <c r="BTL21" s="28"/>
      <c r="BTM21" s="28"/>
      <c r="BTN21" s="28"/>
      <c r="BTO21" s="28"/>
      <c r="BTP21" s="28"/>
      <c r="BTQ21" s="120"/>
      <c r="BTR21" s="28"/>
      <c r="BTS21" s="28"/>
      <c r="BTT21" s="28"/>
      <c r="BTU21" s="28"/>
      <c r="BTV21" s="28"/>
      <c r="BTW21" s="59"/>
      <c r="BTX21" s="28"/>
      <c r="BTY21" s="28"/>
      <c r="BTZ21" s="28"/>
      <c r="BUA21" s="28"/>
      <c r="BUB21" s="28"/>
      <c r="BUC21" s="120"/>
      <c r="BUD21" s="28"/>
      <c r="BUE21" s="28"/>
      <c r="BUF21" s="28"/>
      <c r="BUG21" s="28"/>
      <c r="BUH21" s="28"/>
      <c r="BUI21" s="59"/>
      <c r="BUJ21" s="28"/>
      <c r="BUK21" s="28"/>
      <c r="BUL21" s="28"/>
      <c r="BUM21" s="28"/>
      <c r="BUN21" s="28"/>
      <c r="BUO21" s="120"/>
      <c r="BUP21" s="28"/>
      <c r="BUQ21" s="28"/>
      <c r="BUR21" s="28"/>
      <c r="BUS21" s="28"/>
      <c r="BUT21" s="28"/>
      <c r="BUU21" s="59"/>
      <c r="BUV21" s="28"/>
      <c r="BUW21" s="28"/>
      <c r="BUX21" s="28"/>
      <c r="BUY21" s="28"/>
      <c r="BUZ21" s="28"/>
      <c r="BVA21" s="29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75"/>
      <c r="D22" s="130" t="str">
        <f t="shared" si="0"/>
        <v>0h10min</v>
      </c>
      <c r="E22" s="30">
        <v>2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163"/>
      <c r="BO22" s="164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16"/>
      <c r="BHL22" s="32"/>
      <c r="BHM22" s="32"/>
      <c r="BHN22" s="32"/>
      <c r="BHO22" s="32"/>
      <c r="BHP22" s="32"/>
      <c r="BHQ22" s="121"/>
      <c r="BHR22" s="32"/>
      <c r="BHS22" s="32"/>
      <c r="BHT22" s="32"/>
      <c r="BHU22" s="32"/>
      <c r="BHV22" s="32"/>
      <c r="BHW22" s="60"/>
      <c r="BHX22" s="32"/>
      <c r="BHY22" s="32"/>
      <c r="BHZ22" s="32"/>
      <c r="BIA22" s="32"/>
      <c r="BIB22" s="32"/>
      <c r="BIC22" s="121"/>
      <c r="BID22" s="32"/>
      <c r="BIE22" s="32"/>
      <c r="BIF22" s="32"/>
      <c r="BIG22" s="32"/>
      <c r="BIH22" s="32"/>
      <c r="BII22" s="60"/>
      <c r="BIJ22" s="32"/>
      <c r="BIK22" s="32"/>
      <c r="BIL22" s="32"/>
      <c r="BIM22" s="32"/>
      <c r="BIN22" s="32"/>
      <c r="BIO22" s="121"/>
      <c r="BIP22" s="32"/>
      <c r="BIQ22" s="32"/>
      <c r="BIR22" s="32"/>
      <c r="BIS22" s="32"/>
      <c r="BIT22" s="32"/>
      <c r="BIU22" s="60"/>
      <c r="BIV22" s="32"/>
      <c r="BIW22" s="32"/>
      <c r="BIX22" s="32"/>
      <c r="BIY22" s="32"/>
      <c r="BIZ22" s="32"/>
      <c r="BJA22" s="121"/>
      <c r="BJB22" s="32"/>
      <c r="BJC22" s="32"/>
      <c r="BJD22" s="32"/>
      <c r="BJE22" s="32"/>
      <c r="BJF22" s="32"/>
      <c r="BJG22" s="60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16"/>
      <c r="BJT22" s="32"/>
      <c r="BJU22" s="32"/>
      <c r="BJV22" s="32"/>
      <c r="BJW22" s="32"/>
      <c r="BJX22" s="32"/>
      <c r="BJY22" s="121"/>
      <c r="BJZ22" s="32"/>
      <c r="BKA22" s="32"/>
      <c r="BKB22" s="32"/>
      <c r="BKC22" s="32"/>
      <c r="BKD22" s="32"/>
      <c r="BKE22" s="60"/>
      <c r="BKF22" s="32"/>
      <c r="BKG22" s="32"/>
      <c r="BKH22" s="32"/>
      <c r="BKI22" s="32"/>
      <c r="BKJ22" s="32"/>
      <c r="BKK22" s="121"/>
      <c r="BKL22" s="32"/>
      <c r="BKM22" s="32"/>
      <c r="BKN22" s="32"/>
      <c r="BKO22" s="32"/>
      <c r="BKP22" s="32"/>
      <c r="BKQ22" s="60"/>
      <c r="BKR22" s="32"/>
      <c r="BKS22" s="32"/>
      <c r="BKT22" s="32"/>
      <c r="BKU22" s="32"/>
      <c r="BKV22" s="32"/>
      <c r="BKW22" s="121"/>
      <c r="BKX22" s="32"/>
      <c r="BKY22" s="32"/>
      <c r="BKZ22" s="32"/>
      <c r="BLA22" s="32"/>
      <c r="BLB22" s="32"/>
      <c r="BLC22" s="60"/>
      <c r="BLD22" s="32"/>
      <c r="BLE22" s="32"/>
      <c r="BLF22" s="32"/>
      <c r="BLG22" s="32"/>
      <c r="BLH22" s="32"/>
      <c r="BLI22" s="121"/>
      <c r="BLJ22" s="32"/>
      <c r="BLK22" s="32"/>
      <c r="BLL22" s="32"/>
      <c r="BLM22" s="32"/>
      <c r="BLN22" s="32"/>
      <c r="BLO22" s="60"/>
      <c r="BLP22" s="32"/>
      <c r="BLQ22" s="32"/>
      <c r="BLR22" s="32"/>
      <c r="BLS22" s="32"/>
      <c r="BLT22" s="32"/>
      <c r="BLU22" s="33"/>
      <c r="BLV22" s="31"/>
      <c r="BLW22" s="32"/>
      <c r="BLX22" s="32"/>
      <c r="BLY22" s="32"/>
      <c r="BLZ22" s="32"/>
      <c r="BMA22" s="116"/>
      <c r="BMB22" s="32"/>
      <c r="BMC22" s="32"/>
      <c r="BMD22" s="32"/>
      <c r="BME22" s="32"/>
      <c r="BMF22" s="32"/>
      <c r="BMG22" s="121"/>
      <c r="BMH22" s="32"/>
      <c r="BMI22" s="32"/>
      <c r="BMJ22" s="32"/>
      <c r="BMK22" s="32"/>
      <c r="BML22" s="32"/>
      <c r="BMM22" s="60"/>
      <c r="BMN22" s="32"/>
      <c r="BMO22" s="32"/>
      <c r="BMP22" s="32"/>
      <c r="BMQ22" s="32"/>
      <c r="BMR22" s="32"/>
      <c r="BMS22" s="121"/>
      <c r="BMT22" s="32"/>
      <c r="BMU22" s="32"/>
      <c r="BMV22" s="32"/>
      <c r="BMW22" s="32"/>
      <c r="BMX22" s="32"/>
      <c r="BMY22" s="60"/>
      <c r="BMZ22" s="32"/>
      <c r="BNA22" s="32"/>
      <c r="BNB22" s="32"/>
      <c r="BNC22" s="32"/>
      <c r="BND22" s="32"/>
      <c r="BNE22" s="121"/>
      <c r="BNF22" s="32"/>
      <c r="BNG22" s="32"/>
      <c r="BNH22" s="32"/>
      <c r="BNI22" s="32"/>
      <c r="BNJ22" s="32"/>
      <c r="BNK22" s="60"/>
      <c r="BNL22" s="32"/>
      <c r="BNM22" s="32"/>
      <c r="BNN22" s="32"/>
      <c r="BNO22" s="32"/>
      <c r="BNP22" s="32"/>
      <c r="BNQ22" s="121"/>
      <c r="BNR22" s="32"/>
      <c r="BNS22" s="32"/>
      <c r="BNT22" s="32"/>
      <c r="BNU22" s="32"/>
      <c r="BNV22" s="32"/>
      <c r="BNW22" s="60"/>
      <c r="BNX22" s="32"/>
      <c r="BNY22" s="32"/>
      <c r="BNZ22" s="32"/>
      <c r="BOA22" s="32"/>
      <c r="BOB22" s="32"/>
      <c r="BOC22" s="33"/>
      <c r="BOD22" s="31"/>
      <c r="BOE22" s="32"/>
      <c r="BOF22" s="32"/>
      <c r="BOG22" s="32"/>
      <c r="BOH22" s="32"/>
      <c r="BOI22" s="116"/>
      <c r="BOJ22" s="32"/>
      <c r="BOK22" s="32"/>
      <c r="BOL22" s="32"/>
      <c r="BOM22" s="32"/>
      <c r="BON22" s="32"/>
      <c r="BOO22" s="121"/>
      <c r="BOP22" s="32"/>
      <c r="BOQ22" s="32"/>
      <c r="BOR22" s="32"/>
      <c r="BOS22" s="32"/>
      <c r="BOT22" s="32"/>
      <c r="BOU22" s="60"/>
      <c r="BOV22" s="32"/>
      <c r="BOW22" s="32"/>
      <c r="BOX22" s="32"/>
      <c r="BOY22" s="32"/>
      <c r="BOZ22" s="32"/>
      <c r="BPA22" s="121"/>
      <c r="BPB22" s="32"/>
      <c r="BPC22" s="32"/>
      <c r="BPD22" s="32"/>
      <c r="BPE22" s="32"/>
      <c r="BPF22" s="32"/>
      <c r="BPG22" s="60"/>
      <c r="BPH22" s="32"/>
      <c r="BPI22" s="32"/>
      <c r="BPJ22" s="32"/>
      <c r="BPK22" s="32"/>
      <c r="BPL22" s="32"/>
      <c r="BPM22" s="121"/>
      <c r="BPN22" s="32"/>
      <c r="BPO22" s="32"/>
      <c r="BPP22" s="32"/>
      <c r="BPQ22" s="32"/>
      <c r="BPR22" s="32"/>
      <c r="BPS22" s="60"/>
      <c r="BPT22" s="32"/>
      <c r="BPU22" s="32"/>
      <c r="BPV22" s="32"/>
      <c r="BPW22" s="32"/>
      <c r="BPX22" s="32"/>
      <c r="BPY22" s="121"/>
      <c r="BPZ22" s="32"/>
      <c r="BQA22" s="32"/>
      <c r="BQB22" s="32"/>
      <c r="BQC22" s="32"/>
      <c r="BQD22" s="32"/>
      <c r="BQE22" s="60"/>
      <c r="BQF22" s="32"/>
      <c r="BQG22" s="32"/>
      <c r="BQH22" s="32"/>
      <c r="BQI22" s="32"/>
      <c r="BQJ22" s="32"/>
      <c r="BQK22" s="33"/>
      <c r="BQL22" s="31"/>
      <c r="BQM22" s="32"/>
      <c r="BQN22" s="32"/>
      <c r="BQO22" s="32"/>
      <c r="BQP22" s="32"/>
      <c r="BQQ22" s="116"/>
      <c r="BQR22" s="32"/>
      <c r="BQS22" s="32"/>
      <c r="BQT22" s="32"/>
      <c r="BQU22" s="32"/>
      <c r="BQV22" s="32"/>
      <c r="BQW22" s="121"/>
      <c r="BQX22" s="32"/>
      <c r="BQY22" s="32"/>
      <c r="BQZ22" s="32"/>
      <c r="BRA22" s="32"/>
      <c r="BRB22" s="32"/>
      <c r="BRC22" s="60"/>
      <c r="BRD22" s="32"/>
      <c r="BRE22" s="32"/>
      <c r="BRF22" s="32"/>
      <c r="BRG22" s="32"/>
      <c r="BRH22" s="32"/>
      <c r="BRI22" s="121"/>
      <c r="BRJ22" s="32"/>
      <c r="BRK22" s="32"/>
      <c r="BRL22" s="32"/>
      <c r="BRM22" s="32"/>
      <c r="BRN22" s="32"/>
      <c r="BRO22" s="60"/>
      <c r="BRP22" s="32"/>
      <c r="BRQ22" s="32"/>
      <c r="BRR22" s="32"/>
      <c r="BRS22" s="32"/>
      <c r="BRT22" s="32"/>
      <c r="BRU22" s="121"/>
      <c r="BRV22" s="32"/>
      <c r="BRW22" s="32"/>
      <c r="BRX22" s="32"/>
      <c r="BRY22" s="32"/>
      <c r="BRZ22" s="32"/>
      <c r="BSA22" s="60"/>
      <c r="BSB22" s="32"/>
      <c r="BSC22" s="32"/>
      <c r="BSD22" s="32"/>
      <c r="BSE22" s="32"/>
      <c r="BSF22" s="32"/>
      <c r="BSG22" s="121"/>
      <c r="BSH22" s="32"/>
      <c r="BSI22" s="32"/>
      <c r="BSJ22" s="32"/>
      <c r="BSK22" s="32"/>
      <c r="BSL22" s="32"/>
      <c r="BSM22" s="60"/>
      <c r="BSN22" s="32"/>
      <c r="BSO22" s="32"/>
      <c r="BSP22" s="32"/>
      <c r="BSQ22" s="32"/>
      <c r="BSR22" s="32"/>
      <c r="BSS22" s="33"/>
      <c r="BST22" s="31"/>
      <c r="BSU22" s="32"/>
      <c r="BSV22" s="32"/>
      <c r="BSW22" s="32"/>
      <c r="BSX22" s="32"/>
      <c r="BSY22" s="116"/>
      <c r="BSZ22" s="32"/>
      <c r="BTA22" s="32"/>
      <c r="BTB22" s="32"/>
      <c r="BTC22" s="32"/>
      <c r="BTD22" s="32"/>
      <c r="BTE22" s="121"/>
      <c r="BTF22" s="32"/>
      <c r="BTG22" s="32"/>
      <c r="BTH22" s="32"/>
      <c r="BTI22" s="32"/>
      <c r="BTJ22" s="32"/>
      <c r="BTK22" s="60"/>
      <c r="BTL22" s="32"/>
      <c r="BTM22" s="32"/>
      <c r="BTN22" s="32"/>
      <c r="BTO22" s="32"/>
      <c r="BTP22" s="32"/>
      <c r="BTQ22" s="121"/>
      <c r="BTR22" s="32"/>
      <c r="BTS22" s="32"/>
      <c r="BTT22" s="32"/>
      <c r="BTU22" s="32"/>
      <c r="BTV22" s="32"/>
      <c r="BTW22" s="60"/>
      <c r="BTX22" s="32"/>
      <c r="BTY22" s="32"/>
      <c r="BTZ22" s="32"/>
      <c r="BUA22" s="32"/>
      <c r="BUB22" s="32"/>
      <c r="BUC22" s="121"/>
      <c r="BUD22" s="32"/>
      <c r="BUE22" s="32"/>
      <c r="BUF22" s="32"/>
      <c r="BUG22" s="32"/>
      <c r="BUH22" s="32"/>
      <c r="BUI22" s="60"/>
      <c r="BUJ22" s="32"/>
      <c r="BUK22" s="32"/>
      <c r="BUL22" s="32"/>
      <c r="BUM22" s="32"/>
      <c r="BUN22" s="32"/>
      <c r="BUO22" s="121"/>
      <c r="BUP22" s="32"/>
      <c r="BUQ22" s="32"/>
      <c r="BUR22" s="32"/>
      <c r="BUS22" s="32"/>
      <c r="BUT22" s="32"/>
      <c r="BUU22" s="60"/>
      <c r="BUV22" s="32"/>
      <c r="BUW22" s="32"/>
      <c r="BUX22" s="32"/>
      <c r="BUY22" s="32"/>
      <c r="BUZ22" s="32"/>
      <c r="BVA22" s="33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74" t="s">
        <v>63</v>
      </c>
      <c r="D23" s="129" t="str">
        <f t="shared" si="0"/>
        <v>6h55min</v>
      </c>
      <c r="E23" s="34">
        <v>83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149"/>
      <c r="NO23" s="149"/>
      <c r="NP23" s="149"/>
      <c r="NQ23" s="149"/>
      <c r="NR23" s="149"/>
      <c r="NS23" s="155"/>
      <c r="NT23" s="149"/>
      <c r="NU23" s="149"/>
      <c r="NV23" s="149"/>
      <c r="NW23" s="36"/>
      <c r="NX23" s="36"/>
      <c r="NY23" s="122"/>
      <c r="NZ23" s="36"/>
      <c r="OA23" s="36"/>
      <c r="OB23" s="36"/>
      <c r="OC23" s="36"/>
      <c r="OD23" s="36"/>
      <c r="OE23" s="155"/>
      <c r="OF23" s="149"/>
      <c r="OG23" s="149"/>
      <c r="OH23" s="149"/>
      <c r="OI23" s="149"/>
      <c r="OJ23" s="149"/>
      <c r="OK23" s="151"/>
      <c r="OL23" s="149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22"/>
      <c r="BHR23" s="36"/>
      <c r="BHS23" s="36"/>
      <c r="BHT23" s="36"/>
      <c r="BHU23" s="36"/>
      <c r="BHV23" s="36"/>
      <c r="BHW23" s="61"/>
      <c r="BHX23" s="36"/>
      <c r="BHY23" s="36"/>
      <c r="BHZ23" s="36"/>
      <c r="BIA23" s="36"/>
      <c r="BIB23" s="36"/>
      <c r="BIC23" s="122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35"/>
      <c r="BJO23" s="36"/>
      <c r="BJP23" s="36"/>
      <c r="BJQ23" s="36"/>
      <c r="BJR23" s="36"/>
      <c r="BJS23" s="117"/>
      <c r="BJT23" s="36"/>
      <c r="BJU23" s="36"/>
      <c r="BJV23" s="36"/>
      <c r="BJW23" s="36"/>
      <c r="BJX23" s="36"/>
      <c r="BJY23" s="122"/>
      <c r="BJZ23" s="36"/>
      <c r="BKA23" s="36"/>
      <c r="BKB23" s="36"/>
      <c r="BKC23" s="36"/>
      <c r="BKD23" s="36"/>
      <c r="BKE23" s="61"/>
      <c r="BKF23" s="36"/>
      <c r="BKG23" s="36"/>
      <c r="BKH23" s="36"/>
      <c r="BKI23" s="36"/>
      <c r="BKJ23" s="36"/>
      <c r="BKK23" s="122"/>
      <c r="BKL23" s="36"/>
      <c r="BKM23" s="36"/>
      <c r="BKN23" s="36"/>
      <c r="BKO23" s="36"/>
      <c r="BKP23" s="36"/>
      <c r="BKQ23" s="61"/>
      <c r="BKR23" s="36"/>
      <c r="BKS23" s="36"/>
      <c r="BKT23" s="36"/>
      <c r="BKU23" s="36"/>
      <c r="BKV23" s="36"/>
      <c r="BKW23" s="122"/>
      <c r="BKX23" s="36"/>
      <c r="BKY23" s="36"/>
      <c r="BKZ23" s="36"/>
      <c r="BLA23" s="36"/>
      <c r="BLB23" s="36"/>
      <c r="BLC23" s="61"/>
      <c r="BLD23" s="36"/>
      <c r="BLE23" s="36"/>
      <c r="BLF23" s="36"/>
      <c r="BLG23" s="36"/>
      <c r="BLH23" s="36"/>
      <c r="BLI23" s="122"/>
      <c r="BLJ23" s="36"/>
      <c r="BLK23" s="36"/>
      <c r="BLL23" s="36"/>
      <c r="BLM23" s="36"/>
      <c r="BLN23" s="36"/>
      <c r="BLO23" s="61"/>
      <c r="BLP23" s="36"/>
      <c r="BLQ23" s="36"/>
      <c r="BLR23" s="36"/>
      <c r="BLS23" s="36"/>
      <c r="BLT23" s="36"/>
      <c r="BLU23" s="37"/>
      <c r="BLV23" s="35"/>
      <c r="BLW23" s="36"/>
      <c r="BLX23" s="36"/>
      <c r="BLY23" s="36"/>
      <c r="BLZ23" s="36"/>
      <c r="BMA23" s="117"/>
      <c r="BMB23" s="36"/>
      <c r="BMC23" s="36"/>
      <c r="BMD23" s="36"/>
      <c r="BME23" s="36"/>
      <c r="BMF23" s="36"/>
      <c r="BMG23" s="122"/>
      <c r="BMH23" s="36"/>
      <c r="BMI23" s="36"/>
      <c r="BMJ23" s="36"/>
      <c r="BMK23" s="36"/>
      <c r="BML23" s="36"/>
      <c r="BMM23" s="61"/>
      <c r="BMN23" s="36"/>
      <c r="BMO23" s="36"/>
      <c r="BMP23" s="36"/>
      <c r="BMQ23" s="36"/>
      <c r="BMR23" s="36"/>
      <c r="BMS23" s="122"/>
      <c r="BMT23" s="36"/>
      <c r="BMU23" s="36"/>
      <c r="BMV23" s="36"/>
      <c r="BMW23" s="36"/>
      <c r="BMX23" s="36"/>
      <c r="BMY23" s="61"/>
      <c r="BMZ23" s="36"/>
      <c r="BNA23" s="36"/>
      <c r="BNB23" s="36"/>
      <c r="BNC23" s="36"/>
      <c r="BND23" s="36"/>
      <c r="BNE23" s="122"/>
      <c r="BNF23" s="36"/>
      <c r="BNG23" s="36"/>
      <c r="BNH23" s="36"/>
      <c r="BNI23" s="36"/>
      <c r="BNJ23" s="36"/>
      <c r="BNK23" s="61"/>
      <c r="BNL23" s="36"/>
      <c r="BNM23" s="36"/>
      <c r="BNN23" s="36"/>
      <c r="BNO23" s="36"/>
      <c r="BNP23" s="36"/>
      <c r="BNQ23" s="122"/>
      <c r="BNR23" s="36"/>
      <c r="BNS23" s="36"/>
      <c r="BNT23" s="36"/>
      <c r="BNU23" s="36"/>
      <c r="BNV23" s="36"/>
      <c r="BNW23" s="61"/>
      <c r="BNX23" s="36"/>
      <c r="BNY23" s="36"/>
      <c r="BNZ23" s="36"/>
      <c r="BOA23" s="36"/>
      <c r="BOB23" s="36"/>
      <c r="BOC23" s="37"/>
      <c r="BOD23" s="35"/>
      <c r="BOE23" s="36"/>
      <c r="BOF23" s="36"/>
      <c r="BOG23" s="36"/>
      <c r="BOH23" s="36"/>
      <c r="BOI23" s="117"/>
      <c r="BOJ23" s="36"/>
      <c r="BOK23" s="36"/>
      <c r="BOL23" s="36"/>
      <c r="BOM23" s="36"/>
      <c r="BON23" s="36"/>
      <c r="BOO23" s="122"/>
      <c r="BOP23" s="36"/>
      <c r="BOQ23" s="36"/>
      <c r="BOR23" s="36"/>
      <c r="BOS23" s="36"/>
      <c r="BOT23" s="36"/>
      <c r="BOU23" s="61"/>
      <c r="BOV23" s="36"/>
      <c r="BOW23" s="36"/>
      <c r="BOX23" s="36"/>
      <c r="BOY23" s="36"/>
      <c r="BOZ23" s="36"/>
      <c r="BPA23" s="122"/>
      <c r="BPB23" s="36"/>
      <c r="BPC23" s="36"/>
      <c r="BPD23" s="36"/>
      <c r="BPE23" s="36"/>
      <c r="BPF23" s="36"/>
      <c r="BPG23" s="61"/>
      <c r="BPH23" s="36"/>
      <c r="BPI23" s="36"/>
      <c r="BPJ23" s="36"/>
      <c r="BPK23" s="36"/>
      <c r="BPL23" s="36"/>
      <c r="BPM23" s="122"/>
      <c r="BPN23" s="36"/>
      <c r="BPO23" s="36"/>
      <c r="BPP23" s="36"/>
      <c r="BPQ23" s="36"/>
      <c r="BPR23" s="36"/>
      <c r="BPS23" s="61"/>
      <c r="BPT23" s="36"/>
      <c r="BPU23" s="36"/>
      <c r="BPV23" s="36"/>
      <c r="BPW23" s="36"/>
      <c r="BPX23" s="36"/>
      <c r="BPY23" s="122"/>
      <c r="BPZ23" s="36"/>
      <c r="BQA23" s="36"/>
      <c r="BQB23" s="36"/>
      <c r="BQC23" s="36"/>
      <c r="BQD23" s="36"/>
      <c r="BQE23" s="61"/>
      <c r="BQF23" s="36"/>
      <c r="BQG23" s="36"/>
      <c r="BQH23" s="36"/>
      <c r="BQI23" s="36"/>
      <c r="BQJ23" s="36"/>
      <c r="BQK23" s="37"/>
      <c r="BQL23" s="35"/>
      <c r="BQM23" s="36"/>
      <c r="BQN23" s="36"/>
      <c r="BQO23" s="36"/>
      <c r="BQP23" s="36"/>
      <c r="BQQ23" s="117"/>
      <c r="BQR23" s="36"/>
      <c r="BQS23" s="36"/>
      <c r="BQT23" s="36"/>
      <c r="BQU23" s="36"/>
      <c r="BQV23" s="36"/>
      <c r="BQW23" s="122"/>
      <c r="BQX23" s="36"/>
      <c r="BQY23" s="36"/>
      <c r="BQZ23" s="36"/>
      <c r="BRA23" s="36"/>
      <c r="BRB23" s="36"/>
      <c r="BRC23" s="61"/>
      <c r="BRD23" s="36"/>
      <c r="BRE23" s="36"/>
      <c r="BRF23" s="36"/>
      <c r="BRG23" s="36"/>
      <c r="BRH23" s="36"/>
      <c r="BRI23" s="122"/>
      <c r="BRJ23" s="36"/>
      <c r="BRK23" s="36"/>
      <c r="BRL23" s="36"/>
      <c r="BRM23" s="36"/>
      <c r="BRN23" s="36"/>
      <c r="BRO23" s="61"/>
      <c r="BRP23" s="36"/>
      <c r="BRQ23" s="36"/>
      <c r="BRR23" s="36"/>
      <c r="BRS23" s="36"/>
      <c r="BRT23" s="36"/>
      <c r="BRU23" s="122"/>
      <c r="BRV23" s="36"/>
      <c r="BRW23" s="36"/>
      <c r="BRX23" s="36"/>
      <c r="BRY23" s="36"/>
      <c r="BRZ23" s="36"/>
      <c r="BSA23" s="61"/>
      <c r="BSB23" s="36"/>
      <c r="BSC23" s="36"/>
      <c r="BSD23" s="36"/>
      <c r="BSE23" s="36"/>
      <c r="BSF23" s="36"/>
      <c r="BSG23" s="122"/>
      <c r="BSH23" s="36"/>
      <c r="BSI23" s="36"/>
      <c r="BSJ23" s="36"/>
      <c r="BSK23" s="36"/>
      <c r="BSL23" s="36"/>
      <c r="BSM23" s="61"/>
      <c r="BSN23" s="36"/>
      <c r="BSO23" s="36"/>
      <c r="BSP23" s="36"/>
      <c r="BSQ23" s="36"/>
      <c r="BSR23" s="36"/>
      <c r="BSS23" s="37"/>
      <c r="BST23" s="35"/>
      <c r="BSU23" s="36"/>
      <c r="BSV23" s="36"/>
      <c r="BSW23" s="36"/>
      <c r="BSX23" s="36"/>
      <c r="BSY23" s="117"/>
      <c r="BSZ23" s="36"/>
      <c r="BTA23" s="36"/>
      <c r="BTB23" s="36"/>
      <c r="BTC23" s="36"/>
      <c r="BTD23" s="36"/>
      <c r="BTE23" s="122"/>
      <c r="BTF23" s="36"/>
      <c r="BTG23" s="36"/>
      <c r="BTH23" s="36"/>
      <c r="BTI23" s="36"/>
      <c r="BTJ23" s="36"/>
      <c r="BTK23" s="61"/>
      <c r="BTL23" s="36"/>
      <c r="BTM23" s="36"/>
      <c r="BTN23" s="36"/>
      <c r="BTO23" s="36"/>
      <c r="BTP23" s="36"/>
      <c r="BTQ23" s="122"/>
      <c r="BTR23" s="36"/>
      <c r="BTS23" s="36"/>
      <c r="BTT23" s="36"/>
      <c r="BTU23" s="36"/>
      <c r="BTV23" s="36"/>
      <c r="BTW23" s="61"/>
      <c r="BTX23" s="36"/>
      <c r="BTY23" s="36"/>
      <c r="BTZ23" s="36"/>
      <c r="BUA23" s="36"/>
      <c r="BUB23" s="36"/>
      <c r="BUC23" s="122"/>
      <c r="BUD23" s="36"/>
      <c r="BUE23" s="36"/>
      <c r="BUF23" s="36"/>
      <c r="BUG23" s="36"/>
      <c r="BUH23" s="36"/>
      <c r="BUI23" s="61"/>
      <c r="BUJ23" s="36"/>
      <c r="BUK23" s="36"/>
      <c r="BUL23" s="36"/>
      <c r="BUM23" s="36"/>
      <c r="BUN23" s="36"/>
      <c r="BUO23" s="122"/>
      <c r="BUP23" s="36"/>
      <c r="BUQ23" s="36"/>
      <c r="BUR23" s="36"/>
      <c r="BUS23" s="36"/>
      <c r="BUT23" s="36"/>
      <c r="BUU23" s="61"/>
      <c r="BUV23" s="36"/>
      <c r="BUW23" s="36"/>
      <c r="BUX23" s="36"/>
      <c r="BUY23" s="36"/>
      <c r="BUZ23" s="36"/>
      <c r="BVA23" s="37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75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14"/>
      <c r="BHL24" s="24"/>
      <c r="BHM24" s="24"/>
      <c r="BHN24" s="24"/>
      <c r="BHO24" s="24"/>
      <c r="BHP24" s="24"/>
      <c r="BHQ24" s="119"/>
      <c r="BHR24" s="24"/>
      <c r="BHS24" s="24"/>
      <c r="BHT24" s="24"/>
      <c r="BHU24" s="24"/>
      <c r="BHV24" s="24"/>
      <c r="BHW24" s="58"/>
      <c r="BHX24" s="24"/>
      <c r="BHY24" s="24"/>
      <c r="BHZ24" s="24"/>
      <c r="BIA24" s="24"/>
      <c r="BIB24" s="24"/>
      <c r="BIC24" s="119"/>
      <c r="BID24" s="24"/>
      <c r="BIE24" s="24"/>
      <c r="BIF24" s="24"/>
      <c r="BIG24" s="24"/>
      <c r="BIH24" s="24"/>
      <c r="BII24" s="58"/>
      <c r="BIJ24" s="24"/>
      <c r="BIK24" s="24"/>
      <c r="BIL24" s="24"/>
      <c r="BIM24" s="24"/>
      <c r="BIN24" s="24"/>
      <c r="BIO24" s="119"/>
      <c r="BIP24" s="24"/>
      <c r="BIQ24" s="24"/>
      <c r="BIR24" s="24"/>
      <c r="BIS24" s="24"/>
      <c r="BIT24" s="24"/>
      <c r="BIU24" s="58"/>
      <c r="BIV24" s="24"/>
      <c r="BIW24" s="24"/>
      <c r="BIX24" s="24"/>
      <c r="BIY24" s="24"/>
      <c r="BIZ24" s="24"/>
      <c r="BJA24" s="119"/>
      <c r="BJB24" s="24"/>
      <c r="BJC24" s="24"/>
      <c r="BJD24" s="24"/>
      <c r="BJE24" s="24"/>
      <c r="BJF24" s="24"/>
      <c r="BJG24" s="58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14"/>
      <c r="BJT24" s="24"/>
      <c r="BJU24" s="24"/>
      <c r="BJV24" s="24"/>
      <c r="BJW24" s="24"/>
      <c r="BJX24" s="24"/>
      <c r="BJY24" s="119"/>
      <c r="BJZ24" s="24"/>
      <c r="BKA24" s="24"/>
      <c r="BKB24" s="24"/>
      <c r="BKC24" s="24"/>
      <c r="BKD24" s="24"/>
      <c r="BKE24" s="58"/>
      <c r="BKF24" s="24"/>
      <c r="BKG24" s="24"/>
      <c r="BKH24" s="24"/>
      <c r="BKI24" s="24"/>
      <c r="BKJ24" s="24"/>
      <c r="BKK24" s="119"/>
      <c r="BKL24" s="24"/>
      <c r="BKM24" s="24"/>
      <c r="BKN24" s="24"/>
      <c r="BKO24" s="24"/>
      <c r="BKP24" s="24"/>
      <c r="BKQ24" s="58"/>
      <c r="BKR24" s="24"/>
      <c r="BKS24" s="24"/>
      <c r="BKT24" s="24"/>
      <c r="BKU24" s="24"/>
      <c r="BKV24" s="24"/>
      <c r="BKW24" s="119"/>
      <c r="BKX24" s="24"/>
      <c r="BKY24" s="24"/>
      <c r="BKZ24" s="24"/>
      <c r="BLA24" s="24"/>
      <c r="BLB24" s="24"/>
      <c r="BLC24" s="58"/>
      <c r="BLD24" s="24"/>
      <c r="BLE24" s="24"/>
      <c r="BLF24" s="24"/>
      <c r="BLG24" s="24"/>
      <c r="BLH24" s="24"/>
      <c r="BLI24" s="119"/>
      <c r="BLJ24" s="24"/>
      <c r="BLK24" s="24"/>
      <c r="BLL24" s="24"/>
      <c r="BLM24" s="24"/>
      <c r="BLN24" s="24"/>
      <c r="BLO24" s="58"/>
      <c r="BLP24" s="24"/>
      <c r="BLQ24" s="24"/>
      <c r="BLR24" s="24"/>
      <c r="BLS24" s="24"/>
      <c r="BLT24" s="24"/>
      <c r="BLU24" s="25"/>
      <c r="BLV24" s="23"/>
      <c r="BLW24" s="24"/>
      <c r="BLX24" s="24"/>
      <c r="BLY24" s="24"/>
      <c r="BLZ24" s="24"/>
      <c r="BMA24" s="114"/>
      <c r="BMB24" s="24"/>
      <c r="BMC24" s="24"/>
      <c r="BMD24" s="24"/>
      <c r="BME24" s="24"/>
      <c r="BMF24" s="24"/>
      <c r="BMG24" s="119"/>
      <c r="BMH24" s="24"/>
      <c r="BMI24" s="24"/>
      <c r="BMJ24" s="24"/>
      <c r="BMK24" s="24"/>
      <c r="BML24" s="24"/>
      <c r="BMM24" s="58"/>
      <c r="BMN24" s="24"/>
      <c r="BMO24" s="24"/>
      <c r="BMP24" s="24"/>
      <c r="BMQ24" s="24"/>
      <c r="BMR24" s="24"/>
      <c r="BMS24" s="119"/>
      <c r="BMT24" s="24"/>
      <c r="BMU24" s="24"/>
      <c r="BMV24" s="24"/>
      <c r="BMW24" s="24"/>
      <c r="BMX24" s="24"/>
      <c r="BMY24" s="58"/>
      <c r="BMZ24" s="24"/>
      <c r="BNA24" s="24"/>
      <c r="BNB24" s="24"/>
      <c r="BNC24" s="24"/>
      <c r="BND24" s="24"/>
      <c r="BNE24" s="119"/>
      <c r="BNF24" s="24"/>
      <c r="BNG24" s="24"/>
      <c r="BNH24" s="24"/>
      <c r="BNI24" s="24"/>
      <c r="BNJ24" s="24"/>
      <c r="BNK24" s="58"/>
      <c r="BNL24" s="24"/>
      <c r="BNM24" s="24"/>
      <c r="BNN24" s="24"/>
      <c r="BNO24" s="24"/>
      <c r="BNP24" s="24"/>
      <c r="BNQ24" s="119"/>
      <c r="BNR24" s="24"/>
      <c r="BNS24" s="24"/>
      <c r="BNT24" s="24"/>
      <c r="BNU24" s="24"/>
      <c r="BNV24" s="24"/>
      <c r="BNW24" s="58"/>
      <c r="BNX24" s="24"/>
      <c r="BNY24" s="24"/>
      <c r="BNZ24" s="24"/>
      <c r="BOA24" s="24"/>
      <c r="BOB24" s="24"/>
      <c r="BOC24" s="25"/>
      <c r="BOD24" s="23"/>
      <c r="BOE24" s="24"/>
      <c r="BOF24" s="24"/>
      <c r="BOG24" s="24"/>
      <c r="BOH24" s="24"/>
      <c r="BOI24" s="114"/>
      <c r="BOJ24" s="24"/>
      <c r="BOK24" s="24"/>
      <c r="BOL24" s="24"/>
      <c r="BOM24" s="24"/>
      <c r="BON24" s="24"/>
      <c r="BOO24" s="119"/>
      <c r="BOP24" s="24"/>
      <c r="BOQ24" s="24"/>
      <c r="BOR24" s="24"/>
      <c r="BOS24" s="24"/>
      <c r="BOT24" s="24"/>
      <c r="BOU24" s="58"/>
      <c r="BOV24" s="24"/>
      <c r="BOW24" s="24"/>
      <c r="BOX24" s="24"/>
      <c r="BOY24" s="24"/>
      <c r="BOZ24" s="24"/>
      <c r="BPA24" s="119"/>
      <c r="BPB24" s="24"/>
      <c r="BPC24" s="24"/>
      <c r="BPD24" s="24"/>
      <c r="BPE24" s="24"/>
      <c r="BPF24" s="24"/>
      <c r="BPG24" s="58"/>
      <c r="BPH24" s="24"/>
      <c r="BPI24" s="24"/>
      <c r="BPJ24" s="24"/>
      <c r="BPK24" s="24"/>
      <c r="BPL24" s="24"/>
      <c r="BPM24" s="119"/>
      <c r="BPN24" s="24"/>
      <c r="BPO24" s="24"/>
      <c r="BPP24" s="24"/>
      <c r="BPQ24" s="24"/>
      <c r="BPR24" s="24"/>
      <c r="BPS24" s="58"/>
      <c r="BPT24" s="24"/>
      <c r="BPU24" s="24"/>
      <c r="BPV24" s="24"/>
      <c r="BPW24" s="24"/>
      <c r="BPX24" s="24"/>
      <c r="BPY24" s="119"/>
      <c r="BPZ24" s="24"/>
      <c r="BQA24" s="24"/>
      <c r="BQB24" s="24"/>
      <c r="BQC24" s="24"/>
      <c r="BQD24" s="24"/>
      <c r="BQE24" s="58"/>
      <c r="BQF24" s="24"/>
      <c r="BQG24" s="24"/>
      <c r="BQH24" s="24"/>
      <c r="BQI24" s="24"/>
      <c r="BQJ24" s="24"/>
      <c r="BQK24" s="25"/>
      <c r="BQL24" s="23"/>
      <c r="BQM24" s="24"/>
      <c r="BQN24" s="24"/>
      <c r="BQO24" s="24"/>
      <c r="BQP24" s="24"/>
      <c r="BQQ24" s="114"/>
      <c r="BQR24" s="24"/>
      <c r="BQS24" s="24"/>
      <c r="BQT24" s="24"/>
      <c r="BQU24" s="24"/>
      <c r="BQV24" s="24"/>
      <c r="BQW24" s="119"/>
      <c r="BQX24" s="24"/>
      <c r="BQY24" s="24"/>
      <c r="BQZ24" s="24"/>
      <c r="BRA24" s="24"/>
      <c r="BRB24" s="24"/>
      <c r="BRC24" s="58"/>
      <c r="BRD24" s="24"/>
      <c r="BRE24" s="24"/>
      <c r="BRF24" s="24"/>
      <c r="BRG24" s="24"/>
      <c r="BRH24" s="24"/>
      <c r="BRI24" s="119"/>
      <c r="BRJ24" s="24"/>
      <c r="BRK24" s="24"/>
      <c r="BRL24" s="24"/>
      <c r="BRM24" s="24"/>
      <c r="BRN24" s="24"/>
      <c r="BRO24" s="58"/>
      <c r="BRP24" s="24"/>
      <c r="BRQ24" s="24"/>
      <c r="BRR24" s="24"/>
      <c r="BRS24" s="24"/>
      <c r="BRT24" s="24"/>
      <c r="BRU24" s="119"/>
      <c r="BRV24" s="24"/>
      <c r="BRW24" s="24"/>
      <c r="BRX24" s="24"/>
      <c r="BRY24" s="24"/>
      <c r="BRZ24" s="24"/>
      <c r="BSA24" s="58"/>
      <c r="BSB24" s="24"/>
      <c r="BSC24" s="24"/>
      <c r="BSD24" s="24"/>
      <c r="BSE24" s="24"/>
      <c r="BSF24" s="24"/>
      <c r="BSG24" s="119"/>
      <c r="BSH24" s="24"/>
      <c r="BSI24" s="24"/>
      <c r="BSJ24" s="24"/>
      <c r="BSK24" s="24"/>
      <c r="BSL24" s="24"/>
      <c r="BSM24" s="58"/>
      <c r="BSN24" s="24"/>
      <c r="BSO24" s="24"/>
      <c r="BSP24" s="24"/>
      <c r="BSQ24" s="24"/>
      <c r="BSR24" s="24"/>
      <c r="BSS24" s="25"/>
      <c r="BST24" s="23"/>
      <c r="BSU24" s="24"/>
      <c r="BSV24" s="24"/>
      <c r="BSW24" s="24"/>
      <c r="BSX24" s="24"/>
      <c r="BSY24" s="114"/>
      <c r="BSZ24" s="24"/>
      <c r="BTA24" s="24"/>
      <c r="BTB24" s="24"/>
      <c r="BTC24" s="24"/>
      <c r="BTD24" s="24"/>
      <c r="BTE24" s="119"/>
      <c r="BTF24" s="24"/>
      <c r="BTG24" s="24"/>
      <c r="BTH24" s="24"/>
      <c r="BTI24" s="24"/>
      <c r="BTJ24" s="24"/>
      <c r="BTK24" s="58"/>
      <c r="BTL24" s="24"/>
      <c r="BTM24" s="24"/>
      <c r="BTN24" s="24"/>
      <c r="BTO24" s="24"/>
      <c r="BTP24" s="24"/>
      <c r="BTQ24" s="119"/>
      <c r="BTR24" s="24"/>
      <c r="BTS24" s="24"/>
      <c r="BTT24" s="24"/>
      <c r="BTU24" s="24"/>
      <c r="BTV24" s="24"/>
      <c r="BTW24" s="58"/>
      <c r="BTX24" s="24"/>
      <c r="BTY24" s="24"/>
      <c r="BTZ24" s="24"/>
      <c r="BUA24" s="24"/>
      <c r="BUB24" s="24"/>
      <c r="BUC24" s="119"/>
      <c r="BUD24" s="24"/>
      <c r="BUE24" s="24"/>
      <c r="BUF24" s="24"/>
      <c r="BUG24" s="24"/>
      <c r="BUH24" s="24"/>
      <c r="BUI24" s="58"/>
      <c r="BUJ24" s="24"/>
      <c r="BUK24" s="24"/>
      <c r="BUL24" s="24"/>
      <c r="BUM24" s="24"/>
      <c r="BUN24" s="24"/>
      <c r="BUO24" s="119"/>
      <c r="BUP24" s="24"/>
      <c r="BUQ24" s="24"/>
      <c r="BUR24" s="24"/>
      <c r="BUS24" s="24"/>
      <c r="BUT24" s="24"/>
      <c r="BUU24" s="58"/>
      <c r="BUV24" s="24"/>
      <c r="BUW24" s="24"/>
      <c r="BUX24" s="24"/>
      <c r="BUY24" s="24"/>
      <c r="BUZ24" s="24"/>
      <c r="BVA24" s="25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74" t="s">
        <v>64</v>
      </c>
      <c r="D25" s="129" t="str">
        <f t="shared" si="0"/>
        <v>17h50min</v>
      </c>
      <c r="E25" s="26">
        <v>214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152"/>
      <c r="MM25" s="152"/>
      <c r="MN25" s="152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8"/>
      <c r="XJ25" s="28"/>
      <c r="XK25" s="59"/>
      <c r="XL25" s="28"/>
      <c r="XM25" s="28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156"/>
      <c r="ADG25" s="152"/>
      <c r="ADH25" s="152"/>
      <c r="ADI25" s="28"/>
      <c r="ADJ25" s="28"/>
      <c r="ADK25" s="115"/>
      <c r="ADL25" s="28"/>
      <c r="ADM25" s="28"/>
      <c r="ADN25" s="28"/>
      <c r="ADO25" s="28"/>
      <c r="ADP25" s="2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156"/>
      <c r="AFO25" s="152"/>
      <c r="AFP25" s="152"/>
      <c r="AFQ25" s="152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27"/>
      <c r="BJO25" s="28"/>
      <c r="BJP25" s="28"/>
      <c r="BJQ25" s="28"/>
      <c r="BJR25" s="28"/>
      <c r="BJS25" s="115"/>
      <c r="BJT25" s="28"/>
      <c r="BJU25" s="28"/>
      <c r="BJV25" s="28"/>
      <c r="BJW25" s="28"/>
      <c r="BJX25" s="28"/>
      <c r="BJY25" s="120"/>
      <c r="BJZ25" s="28"/>
      <c r="BKA25" s="28"/>
      <c r="BKB25" s="28"/>
      <c r="BKC25" s="28"/>
      <c r="BKD25" s="28"/>
      <c r="BKE25" s="59"/>
      <c r="BKF25" s="28"/>
      <c r="BKG25" s="28"/>
      <c r="BKH25" s="28"/>
      <c r="BKI25" s="28"/>
      <c r="BKJ25" s="28"/>
      <c r="BKK25" s="120"/>
      <c r="BKL25" s="28"/>
      <c r="BKM25" s="28"/>
      <c r="BKN25" s="28"/>
      <c r="BKO25" s="28"/>
      <c r="BKP25" s="28"/>
      <c r="BKQ25" s="59"/>
      <c r="BKR25" s="28"/>
      <c r="BKS25" s="28"/>
      <c r="BKT25" s="28"/>
      <c r="BKU25" s="28"/>
      <c r="BKV25" s="28"/>
      <c r="BKW25" s="120"/>
      <c r="BKX25" s="28"/>
      <c r="BKY25" s="28"/>
      <c r="BKZ25" s="28"/>
      <c r="BLA25" s="28"/>
      <c r="BLB25" s="28"/>
      <c r="BLC25" s="59"/>
      <c r="BLD25" s="28"/>
      <c r="BLE25" s="28"/>
      <c r="BLF25" s="28"/>
      <c r="BLG25" s="28"/>
      <c r="BLH25" s="28"/>
      <c r="BLI25" s="120"/>
      <c r="BLJ25" s="28"/>
      <c r="BLK25" s="28"/>
      <c r="BLL25" s="28"/>
      <c r="BLM25" s="28"/>
      <c r="BLN25" s="28"/>
      <c r="BLO25" s="59"/>
      <c r="BLP25" s="28"/>
      <c r="BLQ25" s="28"/>
      <c r="BLR25" s="28"/>
      <c r="BLS25" s="28"/>
      <c r="BLT25" s="28"/>
      <c r="BLU25" s="29"/>
      <c r="BLV25" s="27"/>
      <c r="BLW25" s="28"/>
      <c r="BLX25" s="28"/>
      <c r="BLY25" s="28"/>
      <c r="BLZ25" s="28"/>
      <c r="BMA25" s="115"/>
      <c r="BMB25" s="28"/>
      <c r="BMC25" s="28"/>
      <c r="BMD25" s="28"/>
      <c r="BME25" s="28"/>
      <c r="BMF25" s="28"/>
      <c r="BMG25" s="120"/>
      <c r="BMH25" s="28"/>
      <c r="BMI25" s="28"/>
      <c r="BMJ25" s="28"/>
      <c r="BMK25" s="28"/>
      <c r="BML25" s="28"/>
      <c r="BMM25" s="59"/>
      <c r="BMN25" s="28"/>
      <c r="BMO25" s="28"/>
      <c r="BMP25" s="28"/>
      <c r="BMQ25" s="28"/>
      <c r="BMR25" s="28"/>
      <c r="BMS25" s="120"/>
      <c r="BMT25" s="28"/>
      <c r="BMU25" s="28"/>
      <c r="BMV25" s="28"/>
      <c r="BMW25" s="28"/>
      <c r="BMX25" s="28"/>
      <c r="BMY25" s="59"/>
      <c r="BMZ25" s="28"/>
      <c r="BNA25" s="28"/>
      <c r="BNB25" s="28"/>
      <c r="BNC25" s="28"/>
      <c r="BND25" s="28"/>
      <c r="BNE25" s="120"/>
      <c r="BNF25" s="28"/>
      <c r="BNG25" s="28"/>
      <c r="BNH25" s="28"/>
      <c r="BNI25" s="28"/>
      <c r="BNJ25" s="28"/>
      <c r="BNK25" s="59"/>
      <c r="BNL25" s="28"/>
      <c r="BNM25" s="28"/>
      <c r="BNN25" s="28"/>
      <c r="BNO25" s="28"/>
      <c r="BNP25" s="28"/>
      <c r="BNQ25" s="120"/>
      <c r="BNR25" s="28"/>
      <c r="BNS25" s="28"/>
      <c r="BNT25" s="28"/>
      <c r="BNU25" s="28"/>
      <c r="BNV25" s="28"/>
      <c r="BNW25" s="59"/>
      <c r="BNX25" s="28"/>
      <c r="BNY25" s="28"/>
      <c r="BNZ25" s="28"/>
      <c r="BOA25" s="28"/>
      <c r="BOB25" s="28"/>
      <c r="BOC25" s="29"/>
      <c r="BOD25" s="27"/>
      <c r="BOE25" s="28"/>
      <c r="BOF25" s="28"/>
      <c r="BOG25" s="28"/>
      <c r="BOH25" s="28"/>
      <c r="BOI25" s="115"/>
      <c r="BOJ25" s="28"/>
      <c r="BOK25" s="28"/>
      <c r="BOL25" s="28"/>
      <c r="BOM25" s="28"/>
      <c r="BON25" s="28"/>
      <c r="BOO25" s="120"/>
      <c r="BOP25" s="28"/>
      <c r="BOQ25" s="28"/>
      <c r="BOR25" s="28"/>
      <c r="BOS25" s="28"/>
      <c r="BOT25" s="28"/>
      <c r="BOU25" s="59"/>
      <c r="BOV25" s="28"/>
      <c r="BOW25" s="28"/>
      <c r="BOX25" s="28"/>
      <c r="BOY25" s="28"/>
      <c r="BOZ25" s="28"/>
      <c r="BPA25" s="120"/>
      <c r="BPB25" s="28"/>
      <c r="BPC25" s="28"/>
      <c r="BPD25" s="28"/>
      <c r="BPE25" s="28"/>
      <c r="BPF25" s="28"/>
      <c r="BPG25" s="59"/>
      <c r="BPH25" s="28"/>
      <c r="BPI25" s="28"/>
      <c r="BPJ25" s="28"/>
      <c r="BPK25" s="28"/>
      <c r="BPL25" s="28"/>
      <c r="BPM25" s="120"/>
      <c r="BPN25" s="28"/>
      <c r="BPO25" s="28"/>
      <c r="BPP25" s="28"/>
      <c r="BPQ25" s="28"/>
      <c r="BPR25" s="28"/>
      <c r="BPS25" s="59"/>
      <c r="BPT25" s="28"/>
      <c r="BPU25" s="28"/>
      <c r="BPV25" s="28"/>
      <c r="BPW25" s="28"/>
      <c r="BPX25" s="28"/>
      <c r="BPY25" s="120"/>
      <c r="BPZ25" s="28"/>
      <c r="BQA25" s="28"/>
      <c r="BQB25" s="28"/>
      <c r="BQC25" s="28"/>
      <c r="BQD25" s="28"/>
      <c r="BQE25" s="59"/>
      <c r="BQF25" s="28"/>
      <c r="BQG25" s="28"/>
      <c r="BQH25" s="28"/>
      <c r="BQI25" s="28"/>
      <c r="BQJ25" s="28"/>
      <c r="BQK25" s="29"/>
      <c r="BQL25" s="27"/>
      <c r="BQM25" s="28"/>
      <c r="BQN25" s="28"/>
      <c r="BQO25" s="28"/>
      <c r="BQP25" s="28"/>
      <c r="BQQ25" s="115"/>
      <c r="BQR25" s="28"/>
      <c r="BQS25" s="28"/>
      <c r="BQT25" s="28"/>
      <c r="BQU25" s="28"/>
      <c r="BQV25" s="28"/>
      <c r="BQW25" s="120"/>
      <c r="BQX25" s="28"/>
      <c r="BQY25" s="28"/>
      <c r="BQZ25" s="28"/>
      <c r="BRA25" s="28"/>
      <c r="BRB25" s="28"/>
      <c r="BRC25" s="59"/>
      <c r="BRD25" s="28"/>
      <c r="BRE25" s="28"/>
      <c r="BRF25" s="28"/>
      <c r="BRG25" s="28"/>
      <c r="BRH25" s="28"/>
      <c r="BRI25" s="120"/>
      <c r="BRJ25" s="28"/>
      <c r="BRK25" s="28"/>
      <c r="BRL25" s="28"/>
      <c r="BRM25" s="28"/>
      <c r="BRN25" s="28"/>
      <c r="BRO25" s="59"/>
      <c r="BRP25" s="28"/>
      <c r="BRQ25" s="28"/>
      <c r="BRR25" s="28"/>
      <c r="BRS25" s="28"/>
      <c r="BRT25" s="28"/>
      <c r="BRU25" s="120"/>
      <c r="BRV25" s="28"/>
      <c r="BRW25" s="28"/>
      <c r="BRX25" s="28"/>
      <c r="BRY25" s="28"/>
      <c r="BRZ25" s="28"/>
      <c r="BSA25" s="59"/>
      <c r="BSB25" s="28"/>
      <c r="BSC25" s="28"/>
      <c r="BSD25" s="28"/>
      <c r="BSE25" s="28"/>
      <c r="BSF25" s="28"/>
      <c r="BSG25" s="120"/>
      <c r="BSH25" s="28"/>
      <c r="BSI25" s="28"/>
      <c r="BSJ25" s="28"/>
      <c r="BSK25" s="28"/>
      <c r="BSL25" s="28"/>
      <c r="BSM25" s="59"/>
      <c r="BSN25" s="28"/>
      <c r="BSO25" s="28"/>
      <c r="BSP25" s="28"/>
      <c r="BSQ25" s="28"/>
      <c r="BSR25" s="28"/>
      <c r="BSS25" s="29"/>
      <c r="BST25" s="27"/>
      <c r="BSU25" s="28"/>
      <c r="BSV25" s="28"/>
      <c r="BSW25" s="28"/>
      <c r="BSX25" s="28"/>
      <c r="BSY25" s="115"/>
      <c r="BSZ25" s="28"/>
      <c r="BTA25" s="28"/>
      <c r="BTB25" s="28"/>
      <c r="BTC25" s="28"/>
      <c r="BTD25" s="28"/>
      <c r="BTE25" s="120"/>
      <c r="BTF25" s="28"/>
      <c r="BTG25" s="28"/>
      <c r="BTH25" s="28"/>
      <c r="BTI25" s="28"/>
      <c r="BTJ25" s="28"/>
      <c r="BTK25" s="59"/>
      <c r="BTL25" s="28"/>
      <c r="BTM25" s="28"/>
      <c r="BTN25" s="28"/>
      <c r="BTO25" s="28"/>
      <c r="BTP25" s="28"/>
      <c r="BTQ25" s="120"/>
      <c r="BTR25" s="28"/>
      <c r="BTS25" s="28"/>
      <c r="BTT25" s="28"/>
      <c r="BTU25" s="28"/>
      <c r="BTV25" s="28"/>
      <c r="BTW25" s="59"/>
      <c r="BTX25" s="28"/>
      <c r="BTY25" s="28"/>
      <c r="BTZ25" s="28"/>
      <c r="BUA25" s="28"/>
      <c r="BUB25" s="28"/>
      <c r="BUC25" s="120"/>
      <c r="BUD25" s="28"/>
      <c r="BUE25" s="28"/>
      <c r="BUF25" s="28"/>
      <c r="BUG25" s="28"/>
      <c r="BUH25" s="28"/>
      <c r="BUI25" s="59"/>
      <c r="BUJ25" s="28"/>
      <c r="BUK25" s="28"/>
      <c r="BUL25" s="28"/>
      <c r="BUM25" s="28"/>
      <c r="BUN25" s="28"/>
      <c r="BUO25" s="120"/>
      <c r="BUP25" s="28"/>
      <c r="BUQ25" s="28"/>
      <c r="BUR25" s="28"/>
      <c r="BUS25" s="28"/>
      <c r="BUT25" s="28"/>
      <c r="BUU25" s="59"/>
      <c r="BUV25" s="28"/>
      <c r="BUW25" s="28"/>
      <c r="BUX25" s="28"/>
      <c r="BUY25" s="28"/>
      <c r="BUZ25" s="28"/>
      <c r="BVA25" s="29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75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16"/>
      <c r="BHL26" s="32"/>
      <c r="BHM26" s="32"/>
      <c r="BHN26" s="32"/>
      <c r="BHO26" s="32"/>
      <c r="BHP26" s="32"/>
      <c r="BHQ26" s="121"/>
      <c r="BHR26" s="32"/>
      <c r="BHS26" s="32"/>
      <c r="BHT26" s="32"/>
      <c r="BHU26" s="32"/>
      <c r="BHV26" s="32"/>
      <c r="BHW26" s="60"/>
      <c r="BHX26" s="32"/>
      <c r="BHY26" s="32"/>
      <c r="BHZ26" s="32"/>
      <c r="BIA26" s="32"/>
      <c r="BIB26" s="32"/>
      <c r="BIC26" s="121"/>
      <c r="BID26" s="32"/>
      <c r="BIE26" s="32"/>
      <c r="BIF26" s="32"/>
      <c r="BIG26" s="32"/>
      <c r="BIH26" s="32"/>
      <c r="BII26" s="60"/>
      <c r="BIJ26" s="32"/>
      <c r="BIK26" s="32"/>
      <c r="BIL26" s="32"/>
      <c r="BIM26" s="32"/>
      <c r="BIN26" s="32"/>
      <c r="BIO26" s="121"/>
      <c r="BIP26" s="32"/>
      <c r="BIQ26" s="32"/>
      <c r="BIR26" s="32"/>
      <c r="BIS26" s="32"/>
      <c r="BIT26" s="32"/>
      <c r="BIU26" s="60"/>
      <c r="BIV26" s="32"/>
      <c r="BIW26" s="32"/>
      <c r="BIX26" s="32"/>
      <c r="BIY26" s="32"/>
      <c r="BIZ26" s="32"/>
      <c r="BJA26" s="121"/>
      <c r="BJB26" s="32"/>
      <c r="BJC26" s="32"/>
      <c r="BJD26" s="32"/>
      <c r="BJE26" s="32"/>
      <c r="BJF26" s="32"/>
      <c r="BJG26" s="60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16"/>
      <c r="BJT26" s="32"/>
      <c r="BJU26" s="32"/>
      <c r="BJV26" s="32"/>
      <c r="BJW26" s="32"/>
      <c r="BJX26" s="32"/>
      <c r="BJY26" s="121"/>
      <c r="BJZ26" s="32"/>
      <c r="BKA26" s="32"/>
      <c r="BKB26" s="32"/>
      <c r="BKC26" s="32"/>
      <c r="BKD26" s="32"/>
      <c r="BKE26" s="60"/>
      <c r="BKF26" s="32"/>
      <c r="BKG26" s="32"/>
      <c r="BKH26" s="32"/>
      <c r="BKI26" s="32"/>
      <c r="BKJ26" s="32"/>
      <c r="BKK26" s="121"/>
      <c r="BKL26" s="32"/>
      <c r="BKM26" s="32"/>
      <c r="BKN26" s="32"/>
      <c r="BKO26" s="32"/>
      <c r="BKP26" s="32"/>
      <c r="BKQ26" s="60"/>
      <c r="BKR26" s="32"/>
      <c r="BKS26" s="32"/>
      <c r="BKT26" s="32"/>
      <c r="BKU26" s="32"/>
      <c r="BKV26" s="32"/>
      <c r="BKW26" s="121"/>
      <c r="BKX26" s="32"/>
      <c r="BKY26" s="32"/>
      <c r="BKZ26" s="32"/>
      <c r="BLA26" s="32"/>
      <c r="BLB26" s="32"/>
      <c r="BLC26" s="60"/>
      <c r="BLD26" s="32"/>
      <c r="BLE26" s="32"/>
      <c r="BLF26" s="32"/>
      <c r="BLG26" s="32"/>
      <c r="BLH26" s="32"/>
      <c r="BLI26" s="121"/>
      <c r="BLJ26" s="32"/>
      <c r="BLK26" s="32"/>
      <c r="BLL26" s="32"/>
      <c r="BLM26" s="32"/>
      <c r="BLN26" s="32"/>
      <c r="BLO26" s="60"/>
      <c r="BLP26" s="32"/>
      <c r="BLQ26" s="32"/>
      <c r="BLR26" s="32"/>
      <c r="BLS26" s="32"/>
      <c r="BLT26" s="32"/>
      <c r="BLU26" s="33"/>
      <c r="BLV26" s="31"/>
      <c r="BLW26" s="32"/>
      <c r="BLX26" s="32"/>
      <c r="BLY26" s="32"/>
      <c r="BLZ26" s="32"/>
      <c r="BMA26" s="116"/>
      <c r="BMB26" s="32"/>
      <c r="BMC26" s="32"/>
      <c r="BMD26" s="32"/>
      <c r="BME26" s="32"/>
      <c r="BMF26" s="32"/>
      <c r="BMG26" s="121"/>
      <c r="BMH26" s="32"/>
      <c r="BMI26" s="32"/>
      <c r="BMJ26" s="32"/>
      <c r="BMK26" s="32"/>
      <c r="BML26" s="32"/>
      <c r="BMM26" s="60"/>
      <c r="BMN26" s="32"/>
      <c r="BMO26" s="32"/>
      <c r="BMP26" s="32"/>
      <c r="BMQ26" s="32"/>
      <c r="BMR26" s="32"/>
      <c r="BMS26" s="121"/>
      <c r="BMT26" s="32"/>
      <c r="BMU26" s="32"/>
      <c r="BMV26" s="32"/>
      <c r="BMW26" s="32"/>
      <c r="BMX26" s="32"/>
      <c r="BMY26" s="60"/>
      <c r="BMZ26" s="32"/>
      <c r="BNA26" s="32"/>
      <c r="BNB26" s="32"/>
      <c r="BNC26" s="32"/>
      <c r="BND26" s="32"/>
      <c r="BNE26" s="121"/>
      <c r="BNF26" s="32"/>
      <c r="BNG26" s="32"/>
      <c r="BNH26" s="32"/>
      <c r="BNI26" s="32"/>
      <c r="BNJ26" s="32"/>
      <c r="BNK26" s="60"/>
      <c r="BNL26" s="32"/>
      <c r="BNM26" s="32"/>
      <c r="BNN26" s="32"/>
      <c r="BNO26" s="32"/>
      <c r="BNP26" s="32"/>
      <c r="BNQ26" s="121"/>
      <c r="BNR26" s="32"/>
      <c r="BNS26" s="32"/>
      <c r="BNT26" s="32"/>
      <c r="BNU26" s="32"/>
      <c r="BNV26" s="32"/>
      <c r="BNW26" s="60"/>
      <c r="BNX26" s="32"/>
      <c r="BNY26" s="32"/>
      <c r="BNZ26" s="32"/>
      <c r="BOA26" s="32"/>
      <c r="BOB26" s="32"/>
      <c r="BOC26" s="33"/>
      <c r="BOD26" s="31"/>
      <c r="BOE26" s="32"/>
      <c r="BOF26" s="32"/>
      <c r="BOG26" s="32"/>
      <c r="BOH26" s="32"/>
      <c r="BOI26" s="116"/>
      <c r="BOJ26" s="32"/>
      <c r="BOK26" s="32"/>
      <c r="BOL26" s="32"/>
      <c r="BOM26" s="32"/>
      <c r="BON26" s="32"/>
      <c r="BOO26" s="121"/>
      <c r="BOP26" s="32"/>
      <c r="BOQ26" s="32"/>
      <c r="BOR26" s="32"/>
      <c r="BOS26" s="32"/>
      <c r="BOT26" s="32"/>
      <c r="BOU26" s="60"/>
      <c r="BOV26" s="32"/>
      <c r="BOW26" s="32"/>
      <c r="BOX26" s="32"/>
      <c r="BOY26" s="32"/>
      <c r="BOZ26" s="32"/>
      <c r="BPA26" s="121"/>
      <c r="BPB26" s="32"/>
      <c r="BPC26" s="32"/>
      <c r="BPD26" s="32"/>
      <c r="BPE26" s="32"/>
      <c r="BPF26" s="32"/>
      <c r="BPG26" s="60"/>
      <c r="BPH26" s="32"/>
      <c r="BPI26" s="32"/>
      <c r="BPJ26" s="32"/>
      <c r="BPK26" s="32"/>
      <c r="BPL26" s="32"/>
      <c r="BPM26" s="121"/>
      <c r="BPN26" s="32"/>
      <c r="BPO26" s="32"/>
      <c r="BPP26" s="32"/>
      <c r="BPQ26" s="32"/>
      <c r="BPR26" s="32"/>
      <c r="BPS26" s="60"/>
      <c r="BPT26" s="32"/>
      <c r="BPU26" s="32"/>
      <c r="BPV26" s="32"/>
      <c r="BPW26" s="32"/>
      <c r="BPX26" s="32"/>
      <c r="BPY26" s="121"/>
      <c r="BPZ26" s="32"/>
      <c r="BQA26" s="32"/>
      <c r="BQB26" s="32"/>
      <c r="BQC26" s="32"/>
      <c r="BQD26" s="32"/>
      <c r="BQE26" s="60"/>
      <c r="BQF26" s="32"/>
      <c r="BQG26" s="32"/>
      <c r="BQH26" s="32"/>
      <c r="BQI26" s="32"/>
      <c r="BQJ26" s="32"/>
      <c r="BQK26" s="33"/>
      <c r="BQL26" s="31"/>
      <c r="BQM26" s="32"/>
      <c r="BQN26" s="32"/>
      <c r="BQO26" s="32"/>
      <c r="BQP26" s="32"/>
      <c r="BQQ26" s="116"/>
      <c r="BQR26" s="32"/>
      <c r="BQS26" s="32"/>
      <c r="BQT26" s="32"/>
      <c r="BQU26" s="32"/>
      <c r="BQV26" s="32"/>
      <c r="BQW26" s="121"/>
      <c r="BQX26" s="32"/>
      <c r="BQY26" s="32"/>
      <c r="BQZ26" s="32"/>
      <c r="BRA26" s="32"/>
      <c r="BRB26" s="32"/>
      <c r="BRC26" s="60"/>
      <c r="BRD26" s="32"/>
      <c r="BRE26" s="32"/>
      <c r="BRF26" s="32"/>
      <c r="BRG26" s="32"/>
      <c r="BRH26" s="32"/>
      <c r="BRI26" s="121"/>
      <c r="BRJ26" s="32"/>
      <c r="BRK26" s="32"/>
      <c r="BRL26" s="32"/>
      <c r="BRM26" s="32"/>
      <c r="BRN26" s="32"/>
      <c r="BRO26" s="60"/>
      <c r="BRP26" s="32"/>
      <c r="BRQ26" s="32"/>
      <c r="BRR26" s="32"/>
      <c r="BRS26" s="32"/>
      <c r="BRT26" s="32"/>
      <c r="BRU26" s="121"/>
      <c r="BRV26" s="32"/>
      <c r="BRW26" s="32"/>
      <c r="BRX26" s="32"/>
      <c r="BRY26" s="32"/>
      <c r="BRZ26" s="32"/>
      <c r="BSA26" s="60"/>
      <c r="BSB26" s="32"/>
      <c r="BSC26" s="32"/>
      <c r="BSD26" s="32"/>
      <c r="BSE26" s="32"/>
      <c r="BSF26" s="32"/>
      <c r="BSG26" s="121"/>
      <c r="BSH26" s="32"/>
      <c r="BSI26" s="32"/>
      <c r="BSJ26" s="32"/>
      <c r="BSK26" s="32"/>
      <c r="BSL26" s="32"/>
      <c r="BSM26" s="60"/>
      <c r="BSN26" s="32"/>
      <c r="BSO26" s="32"/>
      <c r="BSP26" s="32"/>
      <c r="BSQ26" s="32"/>
      <c r="BSR26" s="32"/>
      <c r="BSS26" s="33"/>
      <c r="BST26" s="31"/>
      <c r="BSU26" s="32"/>
      <c r="BSV26" s="32"/>
      <c r="BSW26" s="32"/>
      <c r="BSX26" s="32"/>
      <c r="BSY26" s="116"/>
      <c r="BSZ26" s="32"/>
      <c r="BTA26" s="32"/>
      <c r="BTB26" s="32"/>
      <c r="BTC26" s="32"/>
      <c r="BTD26" s="32"/>
      <c r="BTE26" s="121"/>
      <c r="BTF26" s="32"/>
      <c r="BTG26" s="32"/>
      <c r="BTH26" s="32"/>
      <c r="BTI26" s="32"/>
      <c r="BTJ26" s="32"/>
      <c r="BTK26" s="60"/>
      <c r="BTL26" s="32"/>
      <c r="BTM26" s="32"/>
      <c r="BTN26" s="32"/>
      <c r="BTO26" s="32"/>
      <c r="BTP26" s="32"/>
      <c r="BTQ26" s="121"/>
      <c r="BTR26" s="32"/>
      <c r="BTS26" s="32"/>
      <c r="BTT26" s="32"/>
      <c r="BTU26" s="32"/>
      <c r="BTV26" s="32"/>
      <c r="BTW26" s="60"/>
      <c r="BTX26" s="32"/>
      <c r="BTY26" s="32"/>
      <c r="BTZ26" s="32"/>
      <c r="BUA26" s="32"/>
      <c r="BUB26" s="32"/>
      <c r="BUC26" s="121"/>
      <c r="BUD26" s="32"/>
      <c r="BUE26" s="32"/>
      <c r="BUF26" s="32"/>
      <c r="BUG26" s="32"/>
      <c r="BUH26" s="32"/>
      <c r="BUI26" s="60"/>
      <c r="BUJ26" s="32"/>
      <c r="BUK26" s="32"/>
      <c r="BUL26" s="32"/>
      <c r="BUM26" s="32"/>
      <c r="BUN26" s="32"/>
      <c r="BUO26" s="121"/>
      <c r="BUP26" s="32"/>
      <c r="BUQ26" s="32"/>
      <c r="BUR26" s="32"/>
      <c r="BUS26" s="32"/>
      <c r="BUT26" s="32"/>
      <c r="BUU26" s="60"/>
      <c r="BUV26" s="32"/>
      <c r="BUW26" s="32"/>
      <c r="BUX26" s="32"/>
      <c r="BUY26" s="32"/>
      <c r="BUZ26" s="32"/>
      <c r="BVA26" s="33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74" t="s">
        <v>65</v>
      </c>
      <c r="D27" s="129" t="str">
        <f t="shared" si="0"/>
        <v>10h</v>
      </c>
      <c r="E27" s="34">
        <v>120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149"/>
      <c r="LS27" s="149"/>
      <c r="LT27" s="149"/>
      <c r="LU27" s="149"/>
      <c r="LV27" s="149"/>
      <c r="LW27" s="155"/>
      <c r="LX27" s="149"/>
      <c r="LY27" s="149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149"/>
      <c r="NX27" s="149"/>
      <c r="NY27" s="151"/>
      <c r="NZ27" s="149"/>
      <c r="OA27" s="149"/>
      <c r="OB27" s="149"/>
      <c r="OC27" s="149"/>
      <c r="OD27" s="149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149"/>
      <c r="SW27" s="149"/>
      <c r="SX27" s="149"/>
      <c r="SY27" s="149"/>
      <c r="SZ27" s="149"/>
      <c r="TA27" s="151"/>
      <c r="TB27" s="149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149"/>
      <c r="VN27" s="149"/>
      <c r="VO27" s="155"/>
      <c r="VP27" s="149"/>
      <c r="VQ27" s="149"/>
      <c r="VR27" s="149"/>
      <c r="VS27" s="149"/>
      <c r="VT27" s="149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148"/>
      <c r="YQ27" s="149"/>
      <c r="YR27" s="149"/>
      <c r="YS27" s="149"/>
      <c r="YT27" s="149"/>
      <c r="YU27" s="150"/>
      <c r="YV27" s="149"/>
      <c r="YW27" s="149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149"/>
      <c r="ADJ27" s="149"/>
      <c r="ADK27" s="150"/>
      <c r="ADL27" s="149"/>
      <c r="ADM27" s="149"/>
      <c r="ADN27" s="149"/>
      <c r="ADO27" s="149"/>
      <c r="ADP27" s="149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149"/>
      <c r="AFS27" s="150"/>
      <c r="AFT27" s="149"/>
      <c r="AFU27" s="149"/>
      <c r="AFV27" s="149"/>
      <c r="AFW27" s="149"/>
      <c r="AFX27" s="149"/>
      <c r="AFY27" s="151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36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35"/>
      <c r="BJO27" s="36"/>
      <c r="BJP27" s="36"/>
      <c r="BJQ27" s="36"/>
      <c r="BJR27" s="36"/>
      <c r="BJS27" s="117"/>
      <c r="BJT27" s="36"/>
      <c r="BJU27" s="36"/>
      <c r="BJV27" s="36"/>
      <c r="BJW27" s="36"/>
      <c r="BJX27" s="36"/>
      <c r="BJY27" s="122"/>
      <c r="BJZ27" s="36"/>
      <c r="BKA27" s="36"/>
      <c r="BKB27" s="36"/>
      <c r="BKC27" s="36"/>
      <c r="BKD27" s="36"/>
      <c r="BKE27" s="61"/>
      <c r="BKF27" s="36"/>
      <c r="BKG27" s="36"/>
      <c r="BKH27" s="36"/>
      <c r="BKI27" s="36"/>
      <c r="BKJ27" s="36"/>
      <c r="BKK27" s="122"/>
      <c r="BKL27" s="36"/>
      <c r="BKM27" s="36"/>
      <c r="BKN27" s="36"/>
      <c r="BKO27" s="36"/>
      <c r="BKP27" s="36"/>
      <c r="BKQ27" s="61"/>
      <c r="BKR27" s="36"/>
      <c r="BKS27" s="36"/>
      <c r="BKT27" s="36"/>
      <c r="BKU27" s="36"/>
      <c r="BKV27" s="36"/>
      <c r="BKW27" s="122"/>
      <c r="BKX27" s="36"/>
      <c r="BKY27" s="36"/>
      <c r="BKZ27" s="36"/>
      <c r="BLA27" s="36"/>
      <c r="BLB27" s="36"/>
      <c r="BLC27" s="61"/>
      <c r="BLD27" s="36"/>
      <c r="BLE27" s="36"/>
      <c r="BLF27" s="36"/>
      <c r="BLG27" s="36"/>
      <c r="BLH27" s="36"/>
      <c r="BLI27" s="122"/>
      <c r="BLJ27" s="36"/>
      <c r="BLK27" s="36"/>
      <c r="BLL27" s="36"/>
      <c r="BLM27" s="36"/>
      <c r="BLN27" s="36"/>
      <c r="BLO27" s="61"/>
      <c r="BLP27" s="36"/>
      <c r="BLQ27" s="36"/>
      <c r="BLR27" s="36"/>
      <c r="BLS27" s="36"/>
      <c r="BLT27" s="36"/>
      <c r="BLU27" s="37"/>
      <c r="BLV27" s="35"/>
      <c r="BLW27" s="36"/>
      <c r="BLX27" s="36"/>
      <c r="BLY27" s="36"/>
      <c r="BLZ27" s="36"/>
      <c r="BMA27" s="117"/>
      <c r="BMB27" s="36"/>
      <c r="BMC27" s="36"/>
      <c r="BMD27" s="36"/>
      <c r="BME27" s="36"/>
      <c r="BMF27" s="36"/>
      <c r="BMG27" s="122"/>
      <c r="BMH27" s="36"/>
      <c r="BMI27" s="36"/>
      <c r="BMJ27" s="36"/>
      <c r="BMK27" s="36"/>
      <c r="BML27" s="36"/>
      <c r="BMM27" s="61"/>
      <c r="BMN27" s="36"/>
      <c r="BMO27" s="36"/>
      <c r="BMP27" s="36"/>
      <c r="BMQ27" s="36"/>
      <c r="BMR27" s="36"/>
      <c r="BMS27" s="122"/>
      <c r="BMT27" s="36"/>
      <c r="BMU27" s="36"/>
      <c r="BMV27" s="36"/>
      <c r="BMW27" s="36"/>
      <c r="BMX27" s="36"/>
      <c r="BMY27" s="61"/>
      <c r="BMZ27" s="36"/>
      <c r="BNA27" s="36"/>
      <c r="BNB27" s="36"/>
      <c r="BNC27" s="36"/>
      <c r="BND27" s="36"/>
      <c r="BNE27" s="122"/>
      <c r="BNF27" s="36"/>
      <c r="BNG27" s="36"/>
      <c r="BNH27" s="36"/>
      <c r="BNI27" s="36"/>
      <c r="BNJ27" s="36"/>
      <c r="BNK27" s="61"/>
      <c r="BNL27" s="36"/>
      <c r="BNM27" s="36"/>
      <c r="BNN27" s="36"/>
      <c r="BNO27" s="36"/>
      <c r="BNP27" s="36"/>
      <c r="BNQ27" s="122"/>
      <c r="BNR27" s="36"/>
      <c r="BNS27" s="36"/>
      <c r="BNT27" s="36"/>
      <c r="BNU27" s="36"/>
      <c r="BNV27" s="36"/>
      <c r="BNW27" s="61"/>
      <c r="BNX27" s="36"/>
      <c r="BNY27" s="36"/>
      <c r="BNZ27" s="36"/>
      <c r="BOA27" s="36"/>
      <c r="BOB27" s="36"/>
      <c r="BOC27" s="37"/>
      <c r="BOD27" s="35"/>
      <c r="BOE27" s="36"/>
      <c r="BOF27" s="36"/>
      <c r="BOG27" s="36"/>
      <c r="BOH27" s="36"/>
      <c r="BOI27" s="117"/>
      <c r="BOJ27" s="36"/>
      <c r="BOK27" s="36"/>
      <c r="BOL27" s="36"/>
      <c r="BOM27" s="36"/>
      <c r="BON27" s="36"/>
      <c r="BOO27" s="122"/>
      <c r="BOP27" s="36"/>
      <c r="BOQ27" s="36"/>
      <c r="BOR27" s="36"/>
      <c r="BOS27" s="36"/>
      <c r="BOT27" s="36"/>
      <c r="BOU27" s="61"/>
      <c r="BOV27" s="36"/>
      <c r="BOW27" s="36"/>
      <c r="BOX27" s="36"/>
      <c r="BOY27" s="36"/>
      <c r="BOZ27" s="36"/>
      <c r="BPA27" s="122"/>
      <c r="BPB27" s="36"/>
      <c r="BPC27" s="36"/>
      <c r="BPD27" s="36"/>
      <c r="BPE27" s="36"/>
      <c r="BPF27" s="36"/>
      <c r="BPG27" s="61"/>
      <c r="BPH27" s="36"/>
      <c r="BPI27" s="36"/>
      <c r="BPJ27" s="36"/>
      <c r="BPK27" s="36"/>
      <c r="BPL27" s="36"/>
      <c r="BPM27" s="122"/>
      <c r="BPN27" s="36"/>
      <c r="BPO27" s="36"/>
      <c r="BPP27" s="36"/>
      <c r="BPQ27" s="36"/>
      <c r="BPR27" s="36"/>
      <c r="BPS27" s="61"/>
      <c r="BPT27" s="36"/>
      <c r="BPU27" s="36"/>
      <c r="BPV27" s="36"/>
      <c r="BPW27" s="36"/>
      <c r="BPX27" s="36"/>
      <c r="BPY27" s="122"/>
      <c r="BPZ27" s="36"/>
      <c r="BQA27" s="36"/>
      <c r="BQB27" s="36"/>
      <c r="BQC27" s="36"/>
      <c r="BQD27" s="36"/>
      <c r="BQE27" s="61"/>
      <c r="BQF27" s="36"/>
      <c r="BQG27" s="36"/>
      <c r="BQH27" s="36"/>
      <c r="BQI27" s="36"/>
      <c r="BQJ27" s="36"/>
      <c r="BQK27" s="37"/>
      <c r="BQL27" s="35"/>
      <c r="BQM27" s="36"/>
      <c r="BQN27" s="36"/>
      <c r="BQO27" s="36"/>
      <c r="BQP27" s="36"/>
      <c r="BQQ27" s="117"/>
      <c r="BQR27" s="36"/>
      <c r="BQS27" s="36"/>
      <c r="BQT27" s="36"/>
      <c r="BQU27" s="36"/>
      <c r="BQV27" s="36"/>
      <c r="BQW27" s="122"/>
      <c r="BQX27" s="36"/>
      <c r="BQY27" s="36"/>
      <c r="BQZ27" s="36"/>
      <c r="BRA27" s="36"/>
      <c r="BRB27" s="36"/>
      <c r="BRC27" s="61"/>
      <c r="BRD27" s="36"/>
      <c r="BRE27" s="36"/>
      <c r="BRF27" s="36"/>
      <c r="BRG27" s="36"/>
      <c r="BRH27" s="36"/>
      <c r="BRI27" s="122"/>
      <c r="BRJ27" s="36"/>
      <c r="BRK27" s="36"/>
      <c r="BRL27" s="36"/>
      <c r="BRM27" s="36"/>
      <c r="BRN27" s="36"/>
      <c r="BRO27" s="61"/>
      <c r="BRP27" s="36"/>
      <c r="BRQ27" s="36"/>
      <c r="BRR27" s="36"/>
      <c r="BRS27" s="36"/>
      <c r="BRT27" s="36"/>
      <c r="BRU27" s="122"/>
      <c r="BRV27" s="36"/>
      <c r="BRW27" s="36"/>
      <c r="BRX27" s="36"/>
      <c r="BRY27" s="36"/>
      <c r="BRZ27" s="36"/>
      <c r="BSA27" s="61"/>
      <c r="BSB27" s="36"/>
      <c r="BSC27" s="36"/>
      <c r="BSD27" s="36"/>
      <c r="BSE27" s="36"/>
      <c r="BSF27" s="36"/>
      <c r="BSG27" s="122"/>
      <c r="BSH27" s="36"/>
      <c r="BSI27" s="36"/>
      <c r="BSJ27" s="36"/>
      <c r="BSK27" s="36"/>
      <c r="BSL27" s="36"/>
      <c r="BSM27" s="61"/>
      <c r="BSN27" s="36"/>
      <c r="BSO27" s="36"/>
      <c r="BSP27" s="36"/>
      <c r="BSQ27" s="36"/>
      <c r="BSR27" s="36"/>
      <c r="BSS27" s="37"/>
      <c r="BST27" s="35"/>
      <c r="BSU27" s="36"/>
      <c r="BSV27" s="36"/>
      <c r="BSW27" s="36"/>
      <c r="BSX27" s="36"/>
      <c r="BSY27" s="117"/>
      <c r="BSZ27" s="36"/>
      <c r="BTA27" s="36"/>
      <c r="BTB27" s="36"/>
      <c r="BTC27" s="36"/>
      <c r="BTD27" s="36"/>
      <c r="BTE27" s="122"/>
      <c r="BTF27" s="36"/>
      <c r="BTG27" s="36"/>
      <c r="BTH27" s="36"/>
      <c r="BTI27" s="36"/>
      <c r="BTJ27" s="36"/>
      <c r="BTK27" s="61"/>
      <c r="BTL27" s="36"/>
      <c r="BTM27" s="36"/>
      <c r="BTN27" s="36"/>
      <c r="BTO27" s="36"/>
      <c r="BTP27" s="36"/>
      <c r="BTQ27" s="122"/>
      <c r="BTR27" s="36"/>
      <c r="BTS27" s="36"/>
      <c r="BTT27" s="36"/>
      <c r="BTU27" s="36"/>
      <c r="BTV27" s="36"/>
      <c r="BTW27" s="61"/>
      <c r="BTX27" s="36"/>
      <c r="BTY27" s="36"/>
      <c r="BTZ27" s="36"/>
      <c r="BUA27" s="36"/>
      <c r="BUB27" s="36"/>
      <c r="BUC27" s="122"/>
      <c r="BUD27" s="36"/>
      <c r="BUE27" s="36"/>
      <c r="BUF27" s="36"/>
      <c r="BUG27" s="36"/>
      <c r="BUH27" s="36"/>
      <c r="BUI27" s="61"/>
      <c r="BUJ27" s="36"/>
      <c r="BUK27" s="36"/>
      <c r="BUL27" s="36"/>
      <c r="BUM27" s="36"/>
      <c r="BUN27" s="36"/>
      <c r="BUO27" s="122"/>
      <c r="BUP27" s="36"/>
      <c r="BUQ27" s="36"/>
      <c r="BUR27" s="36"/>
      <c r="BUS27" s="36"/>
      <c r="BUT27" s="36"/>
      <c r="BUU27" s="61"/>
      <c r="BUV27" s="36"/>
      <c r="BUW27" s="36"/>
      <c r="BUX27" s="36"/>
      <c r="BUY27" s="36"/>
      <c r="BUZ27" s="36"/>
      <c r="BVA27" s="37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75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14"/>
      <c r="BHL28" s="24"/>
      <c r="BHM28" s="24"/>
      <c r="BHN28" s="24"/>
      <c r="BHO28" s="24"/>
      <c r="BHP28" s="24"/>
      <c r="BHQ28" s="119"/>
      <c r="BHR28" s="24"/>
      <c r="BHS28" s="24"/>
      <c r="BHT28" s="24"/>
      <c r="BHU28" s="24"/>
      <c r="BHV28" s="24"/>
      <c r="BHW28" s="58"/>
      <c r="BHX28" s="24"/>
      <c r="BHY28" s="24"/>
      <c r="BHZ28" s="24"/>
      <c r="BIA28" s="24"/>
      <c r="BIB28" s="24"/>
      <c r="BIC28" s="119"/>
      <c r="BID28" s="24"/>
      <c r="BIE28" s="24"/>
      <c r="BIF28" s="24"/>
      <c r="BIG28" s="24"/>
      <c r="BIH28" s="24"/>
      <c r="BII28" s="58"/>
      <c r="BIJ28" s="24"/>
      <c r="BIK28" s="24"/>
      <c r="BIL28" s="24"/>
      <c r="BIM28" s="24"/>
      <c r="BIN28" s="24"/>
      <c r="BIO28" s="119"/>
      <c r="BIP28" s="24"/>
      <c r="BIQ28" s="24"/>
      <c r="BIR28" s="24"/>
      <c r="BIS28" s="24"/>
      <c r="BIT28" s="24"/>
      <c r="BIU28" s="58"/>
      <c r="BIV28" s="24"/>
      <c r="BIW28" s="24"/>
      <c r="BIX28" s="24"/>
      <c r="BIY28" s="24"/>
      <c r="BIZ28" s="24"/>
      <c r="BJA28" s="119"/>
      <c r="BJB28" s="24"/>
      <c r="BJC28" s="24"/>
      <c r="BJD28" s="24"/>
      <c r="BJE28" s="24"/>
      <c r="BJF28" s="24"/>
      <c r="BJG28" s="58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14"/>
      <c r="BJT28" s="24"/>
      <c r="BJU28" s="24"/>
      <c r="BJV28" s="24"/>
      <c r="BJW28" s="24"/>
      <c r="BJX28" s="24"/>
      <c r="BJY28" s="119"/>
      <c r="BJZ28" s="24"/>
      <c r="BKA28" s="24"/>
      <c r="BKB28" s="24"/>
      <c r="BKC28" s="24"/>
      <c r="BKD28" s="24"/>
      <c r="BKE28" s="58"/>
      <c r="BKF28" s="24"/>
      <c r="BKG28" s="24"/>
      <c r="BKH28" s="24"/>
      <c r="BKI28" s="24"/>
      <c r="BKJ28" s="24"/>
      <c r="BKK28" s="119"/>
      <c r="BKL28" s="24"/>
      <c r="BKM28" s="24"/>
      <c r="BKN28" s="24"/>
      <c r="BKO28" s="24"/>
      <c r="BKP28" s="24"/>
      <c r="BKQ28" s="58"/>
      <c r="BKR28" s="24"/>
      <c r="BKS28" s="24"/>
      <c r="BKT28" s="24"/>
      <c r="BKU28" s="24"/>
      <c r="BKV28" s="24"/>
      <c r="BKW28" s="119"/>
      <c r="BKX28" s="24"/>
      <c r="BKY28" s="24"/>
      <c r="BKZ28" s="24"/>
      <c r="BLA28" s="24"/>
      <c r="BLB28" s="24"/>
      <c r="BLC28" s="58"/>
      <c r="BLD28" s="24"/>
      <c r="BLE28" s="24"/>
      <c r="BLF28" s="24"/>
      <c r="BLG28" s="24"/>
      <c r="BLH28" s="24"/>
      <c r="BLI28" s="119"/>
      <c r="BLJ28" s="24"/>
      <c r="BLK28" s="24"/>
      <c r="BLL28" s="24"/>
      <c r="BLM28" s="24"/>
      <c r="BLN28" s="24"/>
      <c r="BLO28" s="58"/>
      <c r="BLP28" s="24"/>
      <c r="BLQ28" s="24"/>
      <c r="BLR28" s="24"/>
      <c r="BLS28" s="24"/>
      <c r="BLT28" s="24"/>
      <c r="BLU28" s="25"/>
      <c r="BLV28" s="23"/>
      <c r="BLW28" s="24"/>
      <c r="BLX28" s="24"/>
      <c r="BLY28" s="24"/>
      <c r="BLZ28" s="24"/>
      <c r="BMA28" s="114"/>
      <c r="BMB28" s="24"/>
      <c r="BMC28" s="24"/>
      <c r="BMD28" s="24"/>
      <c r="BME28" s="24"/>
      <c r="BMF28" s="24"/>
      <c r="BMG28" s="119"/>
      <c r="BMH28" s="24"/>
      <c r="BMI28" s="24"/>
      <c r="BMJ28" s="24"/>
      <c r="BMK28" s="24"/>
      <c r="BML28" s="24"/>
      <c r="BMM28" s="58"/>
      <c r="BMN28" s="24"/>
      <c r="BMO28" s="24"/>
      <c r="BMP28" s="24"/>
      <c r="BMQ28" s="24"/>
      <c r="BMR28" s="24"/>
      <c r="BMS28" s="119"/>
      <c r="BMT28" s="24"/>
      <c r="BMU28" s="24"/>
      <c r="BMV28" s="24"/>
      <c r="BMW28" s="24"/>
      <c r="BMX28" s="24"/>
      <c r="BMY28" s="58"/>
      <c r="BMZ28" s="24"/>
      <c r="BNA28" s="24"/>
      <c r="BNB28" s="24"/>
      <c r="BNC28" s="24"/>
      <c r="BND28" s="24"/>
      <c r="BNE28" s="119"/>
      <c r="BNF28" s="24"/>
      <c r="BNG28" s="24"/>
      <c r="BNH28" s="24"/>
      <c r="BNI28" s="24"/>
      <c r="BNJ28" s="24"/>
      <c r="BNK28" s="58"/>
      <c r="BNL28" s="24"/>
      <c r="BNM28" s="24"/>
      <c r="BNN28" s="24"/>
      <c r="BNO28" s="24"/>
      <c r="BNP28" s="24"/>
      <c r="BNQ28" s="119"/>
      <c r="BNR28" s="24"/>
      <c r="BNS28" s="24"/>
      <c r="BNT28" s="24"/>
      <c r="BNU28" s="24"/>
      <c r="BNV28" s="24"/>
      <c r="BNW28" s="58"/>
      <c r="BNX28" s="24"/>
      <c r="BNY28" s="24"/>
      <c r="BNZ28" s="24"/>
      <c r="BOA28" s="24"/>
      <c r="BOB28" s="24"/>
      <c r="BOC28" s="25"/>
      <c r="BOD28" s="23"/>
      <c r="BOE28" s="24"/>
      <c r="BOF28" s="24"/>
      <c r="BOG28" s="24"/>
      <c r="BOH28" s="24"/>
      <c r="BOI28" s="114"/>
      <c r="BOJ28" s="24"/>
      <c r="BOK28" s="24"/>
      <c r="BOL28" s="24"/>
      <c r="BOM28" s="24"/>
      <c r="BON28" s="24"/>
      <c r="BOO28" s="119"/>
      <c r="BOP28" s="24"/>
      <c r="BOQ28" s="24"/>
      <c r="BOR28" s="24"/>
      <c r="BOS28" s="24"/>
      <c r="BOT28" s="24"/>
      <c r="BOU28" s="58"/>
      <c r="BOV28" s="24"/>
      <c r="BOW28" s="24"/>
      <c r="BOX28" s="24"/>
      <c r="BOY28" s="24"/>
      <c r="BOZ28" s="24"/>
      <c r="BPA28" s="119"/>
      <c r="BPB28" s="24"/>
      <c r="BPC28" s="24"/>
      <c r="BPD28" s="24"/>
      <c r="BPE28" s="24"/>
      <c r="BPF28" s="24"/>
      <c r="BPG28" s="58"/>
      <c r="BPH28" s="24"/>
      <c r="BPI28" s="24"/>
      <c r="BPJ28" s="24"/>
      <c r="BPK28" s="24"/>
      <c r="BPL28" s="24"/>
      <c r="BPM28" s="119"/>
      <c r="BPN28" s="24"/>
      <c r="BPO28" s="24"/>
      <c r="BPP28" s="24"/>
      <c r="BPQ28" s="24"/>
      <c r="BPR28" s="24"/>
      <c r="BPS28" s="58"/>
      <c r="BPT28" s="24"/>
      <c r="BPU28" s="24"/>
      <c r="BPV28" s="24"/>
      <c r="BPW28" s="24"/>
      <c r="BPX28" s="24"/>
      <c r="BPY28" s="119"/>
      <c r="BPZ28" s="24"/>
      <c r="BQA28" s="24"/>
      <c r="BQB28" s="24"/>
      <c r="BQC28" s="24"/>
      <c r="BQD28" s="24"/>
      <c r="BQE28" s="58"/>
      <c r="BQF28" s="24"/>
      <c r="BQG28" s="24"/>
      <c r="BQH28" s="24"/>
      <c r="BQI28" s="24"/>
      <c r="BQJ28" s="24"/>
      <c r="BQK28" s="25"/>
      <c r="BQL28" s="23"/>
      <c r="BQM28" s="24"/>
      <c r="BQN28" s="24"/>
      <c r="BQO28" s="24"/>
      <c r="BQP28" s="24"/>
      <c r="BQQ28" s="114"/>
      <c r="BQR28" s="24"/>
      <c r="BQS28" s="24"/>
      <c r="BQT28" s="24"/>
      <c r="BQU28" s="24"/>
      <c r="BQV28" s="24"/>
      <c r="BQW28" s="119"/>
      <c r="BQX28" s="24"/>
      <c r="BQY28" s="24"/>
      <c r="BQZ28" s="24"/>
      <c r="BRA28" s="24"/>
      <c r="BRB28" s="24"/>
      <c r="BRC28" s="58"/>
      <c r="BRD28" s="24"/>
      <c r="BRE28" s="24"/>
      <c r="BRF28" s="24"/>
      <c r="BRG28" s="24"/>
      <c r="BRH28" s="24"/>
      <c r="BRI28" s="119"/>
      <c r="BRJ28" s="24"/>
      <c r="BRK28" s="24"/>
      <c r="BRL28" s="24"/>
      <c r="BRM28" s="24"/>
      <c r="BRN28" s="24"/>
      <c r="BRO28" s="58"/>
      <c r="BRP28" s="24"/>
      <c r="BRQ28" s="24"/>
      <c r="BRR28" s="24"/>
      <c r="BRS28" s="24"/>
      <c r="BRT28" s="24"/>
      <c r="BRU28" s="119"/>
      <c r="BRV28" s="24"/>
      <c r="BRW28" s="24"/>
      <c r="BRX28" s="24"/>
      <c r="BRY28" s="24"/>
      <c r="BRZ28" s="24"/>
      <c r="BSA28" s="58"/>
      <c r="BSB28" s="24"/>
      <c r="BSC28" s="24"/>
      <c r="BSD28" s="24"/>
      <c r="BSE28" s="24"/>
      <c r="BSF28" s="24"/>
      <c r="BSG28" s="119"/>
      <c r="BSH28" s="24"/>
      <c r="BSI28" s="24"/>
      <c r="BSJ28" s="24"/>
      <c r="BSK28" s="24"/>
      <c r="BSL28" s="24"/>
      <c r="BSM28" s="58"/>
      <c r="BSN28" s="24"/>
      <c r="BSO28" s="24"/>
      <c r="BSP28" s="24"/>
      <c r="BSQ28" s="24"/>
      <c r="BSR28" s="24"/>
      <c r="BSS28" s="25"/>
      <c r="BST28" s="23"/>
      <c r="BSU28" s="24"/>
      <c r="BSV28" s="24"/>
      <c r="BSW28" s="24"/>
      <c r="BSX28" s="24"/>
      <c r="BSY28" s="114"/>
      <c r="BSZ28" s="24"/>
      <c r="BTA28" s="24"/>
      <c r="BTB28" s="24"/>
      <c r="BTC28" s="24"/>
      <c r="BTD28" s="24"/>
      <c r="BTE28" s="119"/>
      <c r="BTF28" s="24"/>
      <c r="BTG28" s="24"/>
      <c r="BTH28" s="24"/>
      <c r="BTI28" s="24"/>
      <c r="BTJ28" s="24"/>
      <c r="BTK28" s="58"/>
      <c r="BTL28" s="24"/>
      <c r="BTM28" s="24"/>
      <c r="BTN28" s="24"/>
      <c r="BTO28" s="24"/>
      <c r="BTP28" s="24"/>
      <c r="BTQ28" s="119"/>
      <c r="BTR28" s="24"/>
      <c r="BTS28" s="24"/>
      <c r="BTT28" s="24"/>
      <c r="BTU28" s="24"/>
      <c r="BTV28" s="24"/>
      <c r="BTW28" s="58"/>
      <c r="BTX28" s="24"/>
      <c r="BTY28" s="24"/>
      <c r="BTZ28" s="24"/>
      <c r="BUA28" s="24"/>
      <c r="BUB28" s="24"/>
      <c r="BUC28" s="119"/>
      <c r="BUD28" s="24"/>
      <c r="BUE28" s="24"/>
      <c r="BUF28" s="24"/>
      <c r="BUG28" s="24"/>
      <c r="BUH28" s="24"/>
      <c r="BUI28" s="58"/>
      <c r="BUJ28" s="24"/>
      <c r="BUK28" s="24"/>
      <c r="BUL28" s="24"/>
      <c r="BUM28" s="24"/>
      <c r="BUN28" s="24"/>
      <c r="BUO28" s="119"/>
      <c r="BUP28" s="24"/>
      <c r="BUQ28" s="24"/>
      <c r="BUR28" s="24"/>
      <c r="BUS28" s="24"/>
      <c r="BUT28" s="24"/>
      <c r="BUU28" s="58"/>
      <c r="BUV28" s="24"/>
      <c r="BUW28" s="24"/>
      <c r="BUX28" s="24"/>
      <c r="BUY28" s="24"/>
      <c r="BUZ28" s="24"/>
      <c r="BVA28" s="25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74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27"/>
      <c r="BJO29" s="28"/>
      <c r="BJP29" s="28"/>
      <c r="BJQ29" s="28"/>
      <c r="BJR29" s="28"/>
      <c r="BJS29" s="115"/>
      <c r="BJT29" s="28"/>
      <c r="BJU29" s="28"/>
      <c r="BJV29" s="28"/>
      <c r="BJW29" s="28"/>
      <c r="BJX29" s="28"/>
      <c r="BJY29" s="120"/>
      <c r="BJZ29" s="28"/>
      <c r="BKA29" s="28"/>
      <c r="BKB29" s="28"/>
      <c r="BKC29" s="28"/>
      <c r="BKD29" s="28"/>
      <c r="BKE29" s="59"/>
      <c r="BKF29" s="28"/>
      <c r="BKG29" s="28"/>
      <c r="BKH29" s="28"/>
      <c r="BKI29" s="28"/>
      <c r="BKJ29" s="28"/>
      <c r="BKK29" s="120"/>
      <c r="BKL29" s="28"/>
      <c r="BKM29" s="28"/>
      <c r="BKN29" s="28"/>
      <c r="BKO29" s="28"/>
      <c r="BKP29" s="28"/>
      <c r="BKQ29" s="59"/>
      <c r="BKR29" s="28"/>
      <c r="BKS29" s="28"/>
      <c r="BKT29" s="28"/>
      <c r="BKU29" s="28"/>
      <c r="BKV29" s="28"/>
      <c r="BKW29" s="120"/>
      <c r="BKX29" s="28"/>
      <c r="BKY29" s="28"/>
      <c r="BKZ29" s="28"/>
      <c r="BLA29" s="28"/>
      <c r="BLB29" s="28"/>
      <c r="BLC29" s="59"/>
      <c r="BLD29" s="28"/>
      <c r="BLE29" s="28"/>
      <c r="BLF29" s="28"/>
      <c r="BLG29" s="28"/>
      <c r="BLH29" s="28"/>
      <c r="BLI29" s="120"/>
      <c r="BLJ29" s="28"/>
      <c r="BLK29" s="28"/>
      <c r="BLL29" s="28"/>
      <c r="BLM29" s="28"/>
      <c r="BLN29" s="28"/>
      <c r="BLO29" s="59"/>
      <c r="BLP29" s="28"/>
      <c r="BLQ29" s="28"/>
      <c r="BLR29" s="28"/>
      <c r="BLS29" s="28"/>
      <c r="BLT29" s="28"/>
      <c r="BLU29" s="29"/>
      <c r="BLV29" s="27"/>
      <c r="BLW29" s="28"/>
      <c r="BLX29" s="28"/>
      <c r="BLY29" s="28"/>
      <c r="BLZ29" s="28"/>
      <c r="BMA29" s="115"/>
      <c r="BMB29" s="28"/>
      <c r="BMC29" s="28"/>
      <c r="BMD29" s="28"/>
      <c r="BME29" s="28"/>
      <c r="BMF29" s="28"/>
      <c r="BMG29" s="120"/>
      <c r="BMH29" s="28"/>
      <c r="BMI29" s="28"/>
      <c r="BMJ29" s="28"/>
      <c r="BMK29" s="28"/>
      <c r="BML29" s="28"/>
      <c r="BMM29" s="59"/>
      <c r="BMN29" s="28"/>
      <c r="BMO29" s="28"/>
      <c r="BMP29" s="28"/>
      <c r="BMQ29" s="28"/>
      <c r="BMR29" s="28"/>
      <c r="BMS29" s="120"/>
      <c r="BMT29" s="28"/>
      <c r="BMU29" s="28"/>
      <c r="BMV29" s="28"/>
      <c r="BMW29" s="28"/>
      <c r="BMX29" s="28"/>
      <c r="BMY29" s="59"/>
      <c r="BMZ29" s="28"/>
      <c r="BNA29" s="28"/>
      <c r="BNB29" s="28"/>
      <c r="BNC29" s="28"/>
      <c r="BND29" s="28"/>
      <c r="BNE29" s="120"/>
      <c r="BNF29" s="28"/>
      <c r="BNG29" s="28"/>
      <c r="BNH29" s="28"/>
      <c r="BNI29" s="28"/>
      <c r="BNJ29" s="28"/>
      <c r="BNK29" s="59"/>
      <c r="BNL29" s="28"/>
      <c r="BNM29" s="28"/>
      <c r="BNN29" s="28"/>
      <c r="BNO29" s="28"/>
      <c r="BNP29" s="28"/>
      <c r="BNQ29" s="120"/>
      <c r="BNR29" s="28"/>
      <c r="BNS29" s="28"/>
      <c r="BNT29" s="28"/>
      <c r="BNU29" s="28"/>
      <c r="BNV29" s="28"/>
      <c r="BNW29" s="59"/>
      <c r="BNX29" s="28"/>
      <c r="BNY29" s="28"/>
      <c r="BNZ29" s="28"/>
      <c r="BOA29" s="28"/>
      <c r="BOB29" s="28"/>
      <c r="BOC29" s="29"/>
      <c r="BOD29" s="27"/>
      <c r="BOE29" s="28"/>
      <c r="BOF29" s="28"/>
      <c r="BOG29" s="28"/>
      <c r="BOH29" s="28"/>
      <c r="BOI29" s="115"/>
      <c r="BOJ29" s="28"/>
      <c r="BOK29" s="28"/>
      <c r="BOL29" s="28"/>
      <c r="BOM29" s="28"/>
      <c r="BON29" s="28"/>
      <c r="BOO29" s="120"/>
      <c r="BOP29" s="28"/>
      <c r="BOQ29" s="28"/>
      <c r="BOR29" s="28"/>
      <c r="BOS29" s="28"/>
      <c r="BOT29" s="28"/>
      <c r="BOU29" s="59"/>
      <c r="BOV29" s="28"/>
      <c r="BOW29" s="28"/>
      <c r="BOX29" s="28"/>
      <c r="BOY29" s="28"/>
      <c r="BOZ29" s="28"/>
      <c r="BPA29" s="120"/>
      <c r="BPB29" s="28"/>
      <c r="BPC29" s="28"/>
      <c r="BPD29" s="28"/>
      <c r="BPE29" s="28"/>
      <c r="BPF29" s="28"/>
      <c r="BPG29" s="59"/>
      <c r="BPH29" s="28"/>
      <c r="BPI29" s="28"/>
      <c r="BPJ29" s="28"/>
      <c r="BPK29" s="28"/>
      <c r="BPL29" s="28"/>
      <c r="BPM29" s="120"/>
      <c r="BPN29" s="28"/>
      <c r="BPO29" s="28"/>
      <c r="BPP29" s="28"/>
      <c r="BPQ29" s="28"/>
      <c r="BPR29" s="28"/>
      <c r="BPS29" s="59"/>
      <c r="BPT29" s="28"/>
      <c r="BPU29" s="28"/>
      <c r="BPV29" s="28"/>
      <c r="BPW29" s="28"/>
      <c r="BPX29" s="28"/>
      <c r="BPY29" s="120"/>
      <c r="BPZ29" s="28"/>
      <c r="BQA29" s="28"/>
      <c r="BQB29" s="28"/>
      <c r="BQC29" s="28"/>
      <c r="BQD29" s="28"/>
      <c r="BQE29" s="59"/>
      <c r="BQF29" s="28"/>
      <c r="BQG29" s="28"/>
      <c r="BQH29" s="28"/>
      <c r="BQI29" s="28"/>
      <c r="BQJ29" s="28"/>
      <c r="BQK29" s="29"/>
      <c r="BQL29" s="27"/>
      <c r="BQM29" s="28"/>
      <c r="BQN29" s="28"/>
      <c r="BQO29" s="28"/>
      <c r="BQP29" s="28"/>
      <c r="BQQ29" s="115"/>
      <c r="BQR29" s="28"/>
      <c r="BQS29" s="28"/>
      <c r="BQT29" s="28"/>
      <c r="BQU29" s="28"/>
      <c r="BQV29" s="28"/>
      <c r="BQW29" s="120"/>
      <c r="BQX29" s="28"/>
      <c r="BQY29" s="28"/>
      <c r="BQZ29" s="28"/>
      <c r="BRA29" s="28"/>
      <c r="BRB29" s="28"/>
      <c r="BRC29" s="59"/>
      <c r="BRD29" s="28"/>
      <c r="BRE29" s="28"/>
      <c r="BRF29" s="28"/>
      <c r="BRG29" s="28"/>
      <c r="BRH29" s="28"/>
      <c r="BRI29" s="120"/>
      <c r="BRJ29" s="28"/>
      <c r="BRK29" s="28"/>
      <c r="BRL29" s="28"/>
      <c r="BRM29" s="28"/>
      <c r="BRN29" s="28"/>
      <c r="BRO29" s="59"/>
      <c r="BRP29" s="28"/>
      <c r="BRQ29" s="28"/>
      <c r="BRR29" s="28"/>
      <c r="BRS29" s="28"/>
      <c r="BRT29" s="28"/>
      <c r="BRU29" s="120"/>
      <c r="BRV29" s="28"/>
      <c r="BRW29" s="28"/>
      <c r="BRX29" s="28"/>
      <c r="BRY29" s="28"/>
      <c r="BRZ29" s="28"/>
      <c r="BSA29" s="59"/>
      <c r="BSB29" s="28"/>
      <c r="BSC29" s="28"/>
      <c r="BSD29" s="28"/>
      <c r="BSE29" s="28"/>
      <c r="BSF29" s="28"/>
      <c r="BSG29" s="120"/>
      <c r="BSH29" s="28"/>
      <c r="BSI29" s="28"/>
      <c r="BSJ29" s="28"/>
      <c r="BSK29" s="28"/>
      <c r="BSL29" s="28"/>
      <c r="BSM29" s="59"/>
      <c r="BSN29" s="28"/>
      <c r="BSO29" s="28"/>
      <c r="BSP29" s="28"/>
      <c r="BSQ29" s="28"/>
      <c r="BSR29" s="28"/>
      <c r="BSS29" s="29"/>
      <c r="BST29" s="27"/>
      <c r="BSU29" s="28"/>
      <c r="BSV29" s="28"/>
      <c r="BSW29" s="28"/>
      <c r="BSX29" s="28"/>
      <c r="BSY29" s="115"/>
      <c r="BSZ29" s="28"/>
      <c r="BTA29" s="28"/>
      <c r="BTB29" s="28"/>
      <c r="BTC29" s="28"/>
      <c r="BTD29" s="28"/>
      <c r="BTE29" s="120"/>
      <c r="BTF29" s="28"/>
      <c r="BTG29" s="28"/>
      <c r="BTH29" s="28"/>
      <c r="BTI29" s="28"/>
      <c r="BTJ29" s="28"/>
      <c r="BTK29" s="59"/>
      <c r="BTL29" s="28"/>
      <c r="BTM29" s="28"/>
      <c r="BTN29" s="28"/>
      <c r="BTO29" s="28"/>
      <c r="BTP29" s="28"/>
      <c r="BTQ29" s="120"/>
      <c r="BTR29" s="28"/>
      <c r="BTS29" s="28"/>
      <c r="BTT29" s="28"/>
      <c r="BTU29" s="28"/>
      <c r="BTV29" s="28"/>
      <c r="BTW29" s="59"/>
      <c r="BTX29" s="28"/>
      <c r="BTY29" s="28"/>
      <c r="BTZ29" s="28"/>
      <c r="BUA29" s="28"/>
      <c r="BUB29" s="28"/>
      <c r="BUC29" s="120"/>
      <c r="BUD29" s="28"/>
      <c r="BUE29" s="28"/>
      <c r="BUF29" s="28"/>
      <c r="BUG29" s="28"/>
      <c r="BUH29" s="28"/>
      <c r="BUI29" s="59"/>
      <c r="BUJ29" s="28"/>
      <c r="BUK29" s="28"/>
      <c r="BUL29" s="28"/>
      <c r="BUM29" s="28"/>
      <c r="BUN29" s="28"/>
      <c r="BUO29" s="120"/>
      <c r="BUP29" s="28"/>
      <c r="BUQ29" s="28"/>
      <c r="BUR29" s="28"/>
      <c r="BUS29" s="28"/>
      <c r="BUT29" s="28"/>
      <c r="BUU29" s="59"/>
      <c r="BUV29" s="28"/>
      <c r="BUW29" s="28"/>
      <c r="BUX29" s="28"/>
      <c r="BUY29" s="28"/>
      <c r="BUZ29" s="28"/>
      <c r="BVA29" s="29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75"/>
      <c r="D30" s="131" t="str">
        <f t="shared" si="0"/>
        <v>0h40min</v>
      </c>
      <c r="E30" s="30">
        <v>8</v>
      </c>
      <c r="F30" s="163"/>
      <c r="G30" s="164"/>
      <c r="H30" s="164"/>
      <c r="I30" s="164"/>
      <c r="J30" s="164"/>
      <c r="K30" s="165"/>
      <c r="L30" s="164"/>
      <c r="M30" s="164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16"/>
      <c r="BHL30" s="32"/>
      <c r="BHM30" s="32"/>
      <c r="BHN30" s="32"/>
      <c r="BHO30" s="32"/>
      <c r="BHP30" s="32"/>
      <c r="BHQ30" s="121"/>
      <c r="BHR30" s="32"/>
      <c r="BHS30" s="32"/>
      <c r="BHT30" s="32"/>
      <c r="BHU30" s="32"/>
      <c r="BHV30" s="32"/>
      <c r="BHW30" s="60"/>
      <c r="BHX30" s="32"/>
      <c r="BHY30" s="32"/>
      <c r="BHZ30" s="32"/>
      <c r="BIA30" s="32"/>
      <c r="BIB30" s="32"/>
      <c r="BIC30" s="121"/>
      <c r="BID30" s="32"/>
      <c r="BIE30" s="32"/>
      <c r="BIF30" s="32"/>
      <c r="BIG30" s="32"/>
      <c r="BIH30" s="32"/>
      <c r="BII30" s="60"/>
      <c r="BIJ30" s="32"/>
      <c r="BIK30" s="32"/>
      <c r="BIL30" s="32"/>
      <c r="BIM30" s="32"/>
      <c r="BIN30" s="32"/>
      <c r="BIO30" s="121"/>
      <c r="BIP30" s="32"/>
      <c r="BIQ30" s="32"/>
      <c r="BIR30" s="32"/>
      <c r="BIS30" s="32"/>
      <c r="BIT30" s="32"/>
      <c r="BIU30" s="60"/>
      <c r="BIV30" s="32"/>
      <c r="BIW30" s="32"/>
      <c r="BIX30" s="32"/>
      <c r="BIY30" s="32"/>
      <c r="BIZ30" s="32"/>
      <c r="BJA30" s="121"/>
      <c r="BJB30" s="32"/>
      <c r="BJC30" s="32"/>
      <c r="BJD30" s="32"/>
      <c r="BJE30" s="32"/>
      <c r="BJF30" s="32"/>
      <c r="BJG30" s="60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16"/>
      <c r="BJT30" s="32"/>
      <c r="BJU30" s="32"/>
      <c r="BJV30" s="32"/>
      <c r="BJW30" s="32"/>
      <c r="BJX30" s="32"/>
      <c r="BJY30" s="121"/>
      <c r="BJZ30" s="32"/>
      <c r="BKA30" s="32"/>
      <c r="BKB30" s="32"/>
      <c r="BKC30" s="32"/>
      <c r="BKD30" s="32"/>
      <c r="BKE30" s="60"/>
      <c r="BKF30" s="32"/>
      <c r="BKG30" s="32"/>
      <c r="BKH30" s="32"/>
      <c r="BKI30" s="32"/>
      <c r="BKJ30" s="32"/>
      <c r="BKK30" s="121"/>
      <c r="BKL30" s="32"/>
      <c r="BKM30" s="32"/>
      <c r="BKN30" s="32"/>
      <c r="BKO30" s="32"/>
      <c r="BKP30" s="32"/>
      <c r="BKQ30" s="60"/>
      <c r="BKR30" s="32"/>
      <c r="BKS30" s="32"/>
      <c r="BKT30" s="32"/>
      <c r="BKU30" s="32"/>
      <c r="BKV30" s="32"/>
      <c r="BKW30" s="121"/>
      <c r="BKX30" s="32"/>
      <c r="BKY30" s="32"/>
      <c r="BKZ30" s="32"/>
      <c r="BLA30" s="32"/>
      <c r="BLB30" s="32"/>
      <c r="BLC30" s="60"/>
      <c r="BLD30" s="32"/>
      <c r="BLE30" s="32"/>
      <c r="BLF30" s="32"/>
      <c r="BLG30" s="32"/>
      <c r="BLH30" s="32"/>
      <c r="BLI30" s="121"/>
      <c r="BLJ30" s="32"/>
      <c r="BLK30" s="32"/>
      <c r="BLL30" s="32"/>
      <c r="BLM30" s="32"/>
      <c r="BLN30" s="32"/>
      <c r="BLO30" s="60"/>
      <c r="BLP30" s="32"/>
      <c r="BLQ30" s="32"/>
      <c r="BLR30" s="32"/>
      <c r="BLS30" s="32"/>
      <c r="BLT30" s="32"/>
      <c r="BLU30" s="33"/>
      <c r="BLV30" s="31"/>
      <c r="BLW30" s="32"/>
      <c r="BLX30" s="32"/>
      <c r="BLY30" s="32"/>
      <c r="BLZ30" s="32"/>
      <c r="BMA30" s="116"/>
      <c r="BMB30" s="32"/>
      <c r="BMC30" s="32"/>
      <c r="BMD30" s="32"/>
      <c r="BME30" s="32"/>
      <c r="BMF30" s="32"/>
      <c r="BMG30" s="121"/>
      <c r="BMH30" s="32"/>
      <c r="BMI30" s="32"/>
      <c r="BMJ30" s="32"/>
      <c r="BMK30" s="32"/>
      <c r="BML30" s="32"/>
      <c r="BMM30" s="60"/>
      <c r="BMN30" s="32"/>
      <c r="BMO30" s="32"/>
      <c r="BMP30" s="32"/>
      <c r="BMQ30" s="32"/>
      <c r="BMR30" s="32"/>
      <c r="BMS30" s="121"/>
      <c r="BMT30" s="32"/>
      <c r="BMU30" s="32"/>
      <c r="BMV30" s="32"/>
      <c r="BMW30" s="32"/>
      <c r="BMX30" s="32"/>
      <c r="BMY30" s="60"/>
      <c r="BMZ30" s="32"/>
      <c r="BNA30" s="32"/>
      <c r="BNB30" s="32"/>
      <c r="BNC30" s="32"/>
      <c r="BND30" s="32"/>
      <c r="BNE30" s="121"/>
      <c r="BNF30" s="32"/>
      <c r="BNG30" s="32"/>
      <c r="BNH30" s="32"/>
      <c r="BNI30" s="32"/>
      <c r="BNJ30" s="32"/>
      <c r="BNK30" s="60"/>
      <c r="BNL30" s="32"/>
      <c r="BNM30" s="32"/>
      <c r="BNN30" s="32"/>
      <c r="BNO30" s="32"/>
      <c r="BNP30" s="32"/>
      <c r="BNQ30" s="121"/>
      <c r="BNR30" s="32"/>
      <c r="BNS30" s="32"/>
      <c r="BNT30" s="32"/>
      <c r="BNU30" s="32"/>
      <c r="BNV30" s="32"/>
      <c r="BNW30" s="60"/>
      <c r="BNX30" s="32"/>
      <c r="BNY30" s="32"/>
      <c r="BNZ30" s="32"/>
      <c r="BOA30" s="32"/>
      <c r="BOB30" s="32"/>
      <c r="BOC30" s="33"/>
      <c r="BOD30" s="31"/>
      <c r="BOE30" s="32"/>
      <c r="BOF30" s="32"/>
      <c r="BOG30" s="32"/>
      <c r="BOH30" s="32"/>
      <c r="BOI30" s="116"/>
      <c r="BOJ30" s="32"/>
      <c r="BOK30" s="32"/>
      <c r="BOL30" s="32"/>
      <c r="BOM30" s="32"/>
      <c r="BON30" s="32"/>
      <c r="BOO30" s="121"/>
      <c r="BOP30" s="32"/>
      <c r="BOQ30" s="32"/>
      <c r="BOR30" s="32"/>
      <c r="BOS30" s="32"/>
      <c r="BOT30" s="32"/>
      <c r="BOU30" s="60"/>
      <c r="BOV30" s="32"/>
      <c r="BOW30" s="32"/>
      <c r="BOX30" s="32"/>
      <c r="BOY30" s="32"/>
      <c r="BOZ30" s="32"/>
      <c r="BPA30" s="121"/>
      <c r="BPB30" s="32"/>
      <c r="BPC30" s="32"/>
      <c r="BPD30" s="32"/>
      <c r="BPE30" s="32"/>
      <c r="BPF30" s="32"/>
      <c r="BPG30" s="60"/>
      <c r="BPH30" s="32"/>
      <c r="BPI30" s="32"/>
      <c r="BPJ30" s="32"/>
      <c r="BPK30" s="32"/>
      <c r="BPL30" s="32"/>
      <c r="BPM30" s="121"/>
      <c r="BPN30" s="32"/>
      <c r="BPO30" s="32"/>
      <c r="BPP30" s="32"/>
      <c r="BPQ30" s="32"/>
      <c r="BPR30" s="32"/>
      <c r="BPS30" s="60"/>
      <c r="BPT30" s="32"/>
      <c r="BPU30" s="32"/>
      <c r="BPV30" s="32"/>
      <c r="BPW30" s="32"/>
      <c r="BPX30" s="32"/>
      <c r="BPY30" s="121"/>
      <c r="BPZ30" s="32"/>
      <c r="BQA30" s="32"/>
      <c r="BQB30" s="32"/>
      <c r="BQC30" s="32"/>
      <c r="BQD30" s="32"/>
      <c r="BQE30" s="60"/>
      <c r="BQF30" s="32"/>
      <c r="BQG30" s="32"/>
      <c r="BQH30" s="32"/>
      <c r="BQI30" s="32"/>
      <c r="BQJ30" s="32"/>
      <c r="BQK30" s="33"/>
      <c r="BQL30" s="31"/>
      <c r="BQM30" s="32"/>
      <c r="BQN30" s="32"/>
      <c r="BQO30" s="32"/>
      <c r="BQP30" s="32"/>
      <c r="BQQ30" s="116"/>
      <c r="BQR30" s="32"/>
      <c r="BQS30" s="32"/>
      <c r="BQT30" s="32"/>
      <c r="BQU30" s="32"/>
      <c r="BQV30" s="32"/>
      <c r="BQW30" s="121"/>
      <c r="BQX30" s="32"/>
      <c r="BQY30" s="32"/>
      <c r="BQZ30" s="32"/>
      <c r="BRA30" s="32"/>
      <c r="BRB30" s="32"/>
      <c r="BRC30" s="60"/>
      <c r="BRD30" s="32"/>
      <c r="BRE30" s="32"/>
      <c r="BRF30" s="32"/>
      <c r="BRG30" s="32"/>
      <c r="BRH30" s="32"/>
      <c r="BRI30" s="121"/>
      <c r="BRJ30" s="32"/>
      <c r="BRK30" s="32"/>
      <c r="BRL30" s="32"/>
      <c r="BRM30" s="32"/>
      <c r="BRN30" s="32"/>
      <c r="BRO30" s="60"/>
      <c r="BRP30" s="32"/>
      <c r="BRQ30" s="32"/>
      <c r="BRR30" s="32"/>
      <c r="BRS30" s="32"/>
      <c r="BRT30" s="32"/>
      <c r="BRU30" s="121"/>
      <c r="BRV30" s="32"/>
      <c r="BRW30" s="32"/>
      <c r="BRX30" s="32"/>
      <c r="BRY30" s="32"/>
      <c r="BRZ30" s="32"/>
      <c r="BSA30" s="60"/>
      <c r="BSB30" s="32"/>
      <c r="BSC30" s="32"/>
      <c r="BSD30" s="32"/>
      <c r="BSE30" s="32"/>
      <c r="BSF30" s="32"/>
      <c r="BSG30" s="121"/>
      <c r="BSH30" s="32"/>
      <c r="BSI30" s="32"/>
      <c r="BSJ30" s="32"/>
      <c r="BSK30" s="32"/>
      <c r="BSL30" s="32"/>
      <c r="BSM30" s="60"/>
      <c r="BSN30" s="32"/>
      <c r="BSO30" s="32"/>
      <c r="BSP30" s="32"/>
      <c r="BSQ30" s="32"/>
      <c r="BSR30" s="32"/>
      <c r="BSS30" s="33"/>
      <c r="BST30" s="31"/>
      <c r="BSU30" s="32"/>
      <c r="BSV30" s="32"/>
      <c r="BSW30" s="32"/>
      <c r="BSX30" s="32"/>
      <c r="BSY30" s="116"/>
      <c r="BSZ30" s="32"/>
      <c r="BTA30" s="32"/>
      <c r="BTB30" s="32"/>
      <c r="BTC30" s="32"/>
      <c r="BTD30" s="32"/>
      <c r="BTE30" s="121"/>
      <c r="BTF30" s="32"/>
      <c r="BTG30" s="32"/>
      <c r="BTH30" s="32"/>
      <c r="BTI30" s="32"/>
      <c r="BTJ30" s="32"/>
      <c r="BTK30" s="60"/>
      <c r="BTL30" s="32"/>
      <c r="BTM30" s="32"/>
      <c r="BTN30" s="32"/>
      <c r="BTO30" s="32"/>
      <c r="BTP30" s="32"/>
      <c r="BTQ30" s="121"/>
      <c r="BTR30" s="32"/>
      <c r="BTS30" s="32"/>
      <c r="BTT30" s="32"/>
      <c r="BTU30" s="32"/>
      <c r="BTV30" s="32"/>
      <c r="BTW30" s="60"/>
      <c r="BTX30" s="32"/>
      <c r="BTY30" s="32"/>
      <c r="BTZ30" s="32"/>
      <c r="BUA30" s="32"/>
      <c r="BUB30" s="32"/>
      <c r="BUC30" s="121"/>
      <c r="BUD30" s="32"/>
      <c r="BUE30" s="32"/>
      <c r="BUF30" s="32"/>
      <c r="BUG30" s="32"/>
      <c r="BUH30" s="32"/>
      <c r="BUI30" s="60"/>
      <c r="BUJ30" s="32"/>
      <c r="BUK30" s="32"/>
      <c r="BUL30" s="32"/>
      <c r="BUM30" s="32"/>
      <c r="BUN30" s="32"/>
      <c r="BUO30" s="121"/>
      <c r="BUP30" s="32"/>
      <c r="BUQ30" s="32"/>
      <c r="BUR30" s="32"/>
      <c r="BUS30" s="32"/>
      <c r="BUT30" s="32"/>
      <c r="BUU30" s="60"/>
      <c r="BUV30" s="32"/>
      <c r="BUW30" s="32"/>
      <c r="BUX30" s="32"/>
      <c r="BUY30" s="32"/>
      <c r="BUZ30" s="32"/>
      <c r="BVA30" s="33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74" t="s">
        <v>114</v>
      </c>
      <c r="D31" s="129" t="str">
        <f t="shared" si="0"/>
        <v>1h15min</v>
      </c>
      <c r="E31" s="34">
        <v>15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35"/>
      <c r="BJO31" s="36"/>
      <c r="BJP31" s="36"/>
      <c r="BJQ31" s="36"/>
      <c r="BJR31" s="36"/>
      <c r="BJS31" s="117"/>
      <c r="BJT31" s="36"/>
      <c r="BJU31" s="36"/>
      <c r="BJV31" s="36"/>
      <c r="BJW31" s="36"/>
      <c r="BJX31" s="36"/>
      <c r="BJY31" s="122"/>
      <c r="BJZ31" s="36"/>
      <c r="BKA31" s="36"/>
      <c r="BKB31" s="36"/>
      <c r="BKC31" s="36"/>
      <c r="BKD31" s="36"/>
      <c r="BKE31" s="61"/>
      <c r="BKF31" s="36"/>
      <c r="BKG31" s="36"/>
      <c r="BKH31" s="36"/>
      <c r="BKI31" s="36"/>
      <c r="BKJ31" s="36"/>
      <c r="BKK31" s="122"/>
      <c r="BKL31" s="36"/>
      <c r="BKM31" s="36"/>
      <c r="BKN31" s="36"/>
      <c r="BKO31" s="36"/>
      <c r="BKP31" s="36"/>
      <c r="BKQ31" s="61"/>
      <c r="BKR31" s="36"/>
      <c r="BKS31" s="36"/>
      <c r="BKT31" s="36"/>
      <c r="BKU31" s="36"/>
      <c r="BKV31" s="36"/>
      <c r="BKW31" s="122"/>
      <c r="BKX31" s="36"/>
      <c r="BKY31" s="36"/>
      <c r="BKZ31" s="36"/>
      <c r="BLA31" s="36"/>
      <c r="BLB31" s="36"/>
      <c r="BLC31" s="61"/>
      <c r="BLD31" s="36"/>
      <c r="BLE31" s="36"/>
      <c r="BLF31" s="36"/>
      <c r="BLG31" s="36"/>
      <c r="BLH31" s="36"/>
      <c r="BLI31" s="122"/>
      <c r="BLJ31" s="36"/>
      <c r="BLK31" s="36"/>
      <c r="BLL31" s="36"/>
      <c r="BLM31" s="36"/>
      <c r="BLN31" s="36"/>
      <c r="BLO31" s="61"/>
      <c r="BLP31" s="36"/>
      <c r="BLQ31" s="36"/>
      <c r="BLR31" s="36"/>
      <c r="BLS31" s="36"/>
      <c r="BLT31" s="36"/>
      <c r="BLU31" s="37"/>
      <c r="BLV31" s="35"/>
      <c r="BLW31" s="36"/>
      <c r="BLX31" s="36"/>
      <c r="BLY31" s="36"/>
      <c r="BLZ31" s="36"/>
      <c r="BMA31" s="117"/>
      <c r="BMB31" s="36"/>
      <c r="BMC31" s="36"/>
      <c r="BMD31" s="36"/>
      <c r="BME31" s="36"/>
      <c r="BMF31" s="36"/>
      <c r="BMG31" s="122"/>
      <c r="BMH31" s="36"/>
      <c r="BMI31" s="36"/>
      <c r="BMJ31" s="36"/>
      <c r="BMK31" s="36"/>
      <c r="BML31" s="36"/>
      <c r="BMM31" s="61"/>
      <c r="BMN31" s="36"/>
      <c r="BMO31" s="36"/>
      <c r="BMP31" s="36"/>
      <c r="BMQ31" s="36"/>
      <c r="BMR31" s="36"/>
      <c r="BMS31" s="122"/>
      <c r="BMT31" s="36"/>
      <c r="BMU31" s="36"/>
      <c r="BMV31" s="36"/>
      <c r="BMW31" s="36"/>
      <c r="BMX31" s="36"/>
      <c r="BMY31" s="61"/>
      <c r="BMZ31" s="36"/>
      <c r="BNA31" s="36"/>
      <c r="BNB31" s="36"/>
      <c r="BNC31" s="36"/>
      <c r="BND31" s="36"/>
      <c r="BNE31" s="122"/>
      <c r="BNF31" s="36"/>
      <c r="BNG31" s="36"/>
      <c r="BNH31" s="36"/>
      <c r="BNI31" s="36"/>
      <c r="BNJ31" s="36"/>
      <c r="BNK31" s="61"/>
      <c r="BNL31" s="36"/>
      <c r="BNM31" s="36"/>
      <c r="BNN31" s="36"/>
      <c r="BNO31" s="36"/>
      <c r="BNP31" s="36"/>
      <c r="BNQ31" s="122"/>
      <c r="BNR31" s="36"/>
      <c r="BNS31" s="36"/>
      <c r="BNT31" s="36"/>
      <c r="BNU31" s="36"/>
      <c r="BNV31" s="36"/>
      <c r="BNW31" s="61"/>
      <c r="BNX31" s="36"/>
      <c r="BNY31" s="36"/>
      <c r="BNZ31" s="36"/>
      <c r="BOA31" s="36"/>
      <c r="BOB31" s="36"/>
      <c r="BOC31" s="37"/>
      <c r="BOD31" s="35"/>
      <c r="BOE31" s="36"/>
      <c r="BOF31" s="36"/>
      <c r="BOG31" s="36"/>
      <c r="BOH31" s="36"/>
      <c r="BOI31" s="117"/>
      <c r="BOJ31" s="36"/>
      <c r="BOK31" s="36"/>
      <c r="BOL31" s="36"/>
      <c r="BOM31" s="36"/>
      <c r="BON31" s="36"/>
      <c r="BOO31" s="122"/>
      <c r="BOP31" s="36"/>
      <c r="BOQ31" s="36"/>
      <c r="BOR31" s="36"/>
      <c r="BOS31" s="36"/>
      <c r="BOT31" s="36"/>
      <c r="BOU31" s="61"/>
      <c r="BOV31" s="36"/>
      <c r="BOW31" s="36"/>
      <c r="BOX31" s="36"/>
      <c r="BOY31" s="36"/>
      <c r="BOZ31" s="36"/>
      <c r="BPA31" s="122"/>
      <c r="BPB31" s="36"/>
      <c r="BPC31" s="36"/>
      <c r="BPD31" s="36"/>
      <c r="BPE31" s="36"/>
      <c r="BPF31" s="36"/>
      <c r="BPG31" s="61"/>
      <c r="BPH31" s="36"/>
      <c r="BPI31" s="36"/>
      <c r="BPJ31" s="36"/>
      <c r="BPK31" s="36"/>
      <c r="BPL31" s="36"/>
      <c r="BPM31" s="122"/>
      <c r="BPN31" s="36"/>
      <c r="BPO31" s="36"/>
      <c r="BPP31" s="36"/>
      <c r="BPQ31" s="36"/>
      <c r="BPR31" s="36"/>
      <c r="BPS31" s="61"/>
      <c r="BPT31" s="36"/>
      <c r="BPU31" s="36"/>
      <c r="BPV31" s="36"/>
      <c r="BPW31" s="36"/>
      <c r="BPX31" s="36"/>
      <c r="BPY31" s="122"/>
      <c r="BPZ31" s="36"/>
      <c r="BQA31" s="36"/>
      <c r="BQB31" s="36"/>
      <c r="BQC31" s="36"/>
      <c r="BQD31" s="36"/>
      <c r="BQE31" s="61"/>
      <c r="BQF31" s="36"/>
      <c r="BQG31" s="36"/>
      <c r="BQH31" s="36"/>
      <c r="BQI31" s="36"/>
      <c r="BQJ31" s="36"/>
      <c r="BQK31" s="37"/>
      <c r="BQL31" s="35"/>
      <c r="BQM31" s="36"/>
      <c r="BQN31" s="36"/>
      <c r="BQO31" s="36"/>
      <c r="BQP31" s="36"/>
      <c r="BQQ31" s="117"/>
      <c r="BQR31" s="36"/>
      <c r="BQS31" s="36"/>
      <c r="BQT31" s="36"/>
      <c r="BQU31" s="36"/>
      <c r="BQV31" s="36"/>
      <c r="BQW31" s="122"/>
      <c r="BQX31" s="36"/>
      <c r="BQY31" s="36"/>
      <c r="BQZ31" s="36"/>
      <c r="BRA31" s="36"/>
      <c r="BRB31" s="36"/>
      <c r="BRC31" s="61"/>
      <c r="BRD31" s="36"/>
      <c r="BRE31" s="36"/>
      <c r="BRF31" s="36"/>
      <c r="BRG31" s="36"/>
      <c r="BRH31" s="36"/>
      <c r="BRI31" s="122"/>
      <c r="BRJ31" s="36"/>
      <c r="BRK31" s="36"/>
      <c r="BRL31" s="36"/>
      <c r="BRM31" s="36"/>
      <c r="BRN31" s="36"/>
      <c r="BRO31" s="61"/>
      <c r="BRP31" s="36"/>
      <c r="BRQ31" s="36"/>
      <c r="BRR31" s="36"/>
      <c r="BRS31" s="36"/>
      <c r="BRT31" s="36"/>
      <c r="BRU31" s="122"/>
      <c r="BRV31" s="36"/>
      <c r="BRW31" s="36"/>
      <c r="BRX31" s="36"/>
      <c r="BRY31" s="36"/>
      <c r="BRZ31" s="36"/>
      <c r="BSA31" s="61"/>
      <c r="BSB31" s="36"/>
      <c r="BSC31" s="36"/>
      <c r="BSD31" s="36"/>
      <c r="BSE31" s="36"/>
      <c r="BSF31" s="36"/>
      <c r="BSG31" s="122"/>
      <c r="BSH31" s="36"/>
      <c r="BSI31" s="36"/>
      <c r="BSJ31" s="36"/>
      <c r="BSK31" s="36"/>
      <c r="BSL31" s="36"/>
      <c r="BSM31" s="61"/>
      <c r="BSN31" s="36"/>
      <c r="BSO31" s="36"/>
      <c r="BSP31" s="36"/>
      <c r="BSQ31" s="36"/>
      <c r="BSR31" s="36"/>
      <c r="BSS31" s="37"/>
      <c r="BST31" s="35"/>
      <c r="BSU31" s="36"/>
      <c r="BSV31" s="36"/>
      <c r="BSW31" s="36"/>
      <c r="BSX31" s="36"/>
      <c r="BSY31" s="117"/>
      <c r="BSZ31" s="36"/>
      <c r="BTA31" s="36"/>
      <c r="BTB31" s="36"/>
      <c r="BTC31" s="36"/>
      <c r="BTD31" s="36"/>
      <c r="BTE31" s="122"/>
      <c r="BTF31" s="36"/>
      <c r="BTG31" s="36"/>
      <c r="BTH31" s="36"/>
      <c r="BTI31" s="36"/>
      <c r="BTJ31" s="36"/>
      <c r="BTK31" s="61"/>
      <c r="BTL31" s="36"/>
      <c r="BTM31" s="36"/>
      <c r="BTN31" s="36"/>
      <c r="BTO31" s="36"/>
      <c r="BTP31" s="36"/>
      <c r="BTQ31" s="122"/>
      <c r="BTR31" s="36"/>
      <c r="BTS31" s="36"/>
      <c r="BTT31" s="36"/>
      <c r="BTU31" s="36"/>
      <c r="BTV31" s="36"/>
      <c r="BTW31" s="61"/>
      <c r="BTX31" s="36"/>
      <c r="BTY31" s="36"/>
      <c r="BTZ31" s="36"/>
      <c r="BUA31" s="36"/>
      <c r="BUB31" s="36"/>
      <c r="BUC31" s="122"/>
      <c r="BUD31" s="36"/>
      <c r="BUE31" s="36"/>
      <c r="BUF31" s="36"/>
      <c r="BUG31" s="36"/>
      <c r="BUH31" s="36"/>
      <c r="BUI31" s="61"/>
      <c r="BUJ31" s="36"/>
      <c r="BUK31" s="36"/>
      <c r="BUL31" s="36"/>
      <c r="BUM31" s="36"/>
      <c r="BUN31" s="36"/>
      <c r="BUO31" s="122"/>
      <c r="BUP31" s="36"/>
      <c r="BUQ31" s="36"/>
      <c r="BUR31" s="36"/>
      <c r="BUS31" s="36"/>
      <c r="BUT31" s="36"/>
      <c r="BUU31" s="61"/>
      <c r="BUV31" s="36"/>
      <c r="BUW31" s="36"/>
      <c r="BUX31" s="36"/>
      <c r="BUY31" s="36"/>
      <c r="BUZ31" s="36"/>
      <c r="BVA31" s="37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75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14"/>
      <c r="BHL32" s="24"/>
      <c r="BHM32" s="24"/>
      <c r="BHN32" s="24"/>
      <c r="BHO32" s="24"/>
      <c r="BHP32" s="24"/>
      <c r="BHQ32" s="119"/>
      <c r="BHR32" s="24"/>
      <c r="BHS32" s="24"/>
      <c r="BHT32" s="24"/>
      <c r="BHU32" s="24"/>
      <c r="BHV32" s="24"/>
      <c r="BHW32" s="58"/>
      <c r="BHX32" s="24"/>
      <c r="BHY32" s="24"/>
      <c r="BHZ32" s="24"/>
      <c r="BIA32" s="24"/>
      <c r="BIB32" s="24"/>
      <c r="BIC32" s="119"/>
      <c r="BID32" s="24"/>
      <c r="BIE32" s="24"/>
      <c r="BIF32" s="24"/>
      <c r="BIG32" s="24"/>
      <c r="BIH32" s="24"/>
      <c r="BII32" s="58"/>
      <c r="BIJ32" s="24"/>
      <c r="BIK32" s="24"/>
      <c r="BIL32" s="24"/>
      <c r="BIM32" s="24"/>
      <c r="BIN32" s="24"/>
      <c r="BIO32" s="119"/>
      <c r="BIP32" s="24"/>
      <c r="BIQ32" s="24"/>
      <c r="BIR32" s="24"/>
      <c r="BIS32" s="24"/>
      <c r="BIT32" s="24"/>
      <c r="BIU32" s="58"/>
      <c r="BIV32" s="24"/>
      <c r="BIW32" s="24"/>
      <c r="BIX32" s="24"/>
      <c r="BIY32" s="24"/>
      <c r="BIZ32" s="24"/>
      <c r="BJA32" s="119"/>
      <c r="BJB32" s="24"/>
      <c r="BJC32" s="24"/>
      <c r="BJD32" s="24"/>
      <c r="BJE32" s="24"/>
      <c r="BJF32" s="24"/>
      <c r="BJG32" s="58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14"/>
      <c r="BJT32" s="24"/>
      <c r="BJU32" s="24"/>
      <c r="BJV32" s="24"/>
      <c r="BJW32" s="24"/>
      <c r="BJX32" s="24"/>
      <c r="BJY32" s="119"/>
      <c r="BJZ32" s="24"/>
      <c r="BKA32" s="24"/>
      <c r="BKB32" s="24"/>
      <c r="BKC32" s="24"/>
      <c r="BKD32" s="24"/>
      <c r="BKE32" s="58"/>
      <c r="BKF32" s="24"/>
      <c r="BKG32" s="24"/>
      <c r="BKH32" s="24"/>
      <c r="BKI32" s="24"/>
      <c r="BKJ32" s="24"/>
      <c r="BKK32" s="119"/>
      <c r="BKL32" s="24"/>
      <c r="BKM32" s="24"/>
      <c r="BKN32" s="24"/>
      <c r="BKO32" s="24"/>
      <c r="BKP32" s="24"/>
      <c r="BKQ32" s="58"/>
      <c r="BKR32" s="24"/>
      <c r="BKS32" s="24"/>
      <c r="BKT32" s="24"/>
      <c r="BKU32" s="24"/>
      <c r="BKV32" s="24"/>
      <c r="BKW32" s="119"/>
      <c r="BKX32" s="24"/>
      <c r="BKY32" s="24"/>
      <c r="BKZ32" s="24"/>
      <c r="BLA32" s="24"/>
      <c r="BLB32" s="24"/>
      <c r="BLC32" s="58"/>
      <c r="BLD32" s="24"/>
      <c r="BLE32" s="24"/>
      <c r="BLF32" s="24"/>
      <c r="BLG32" s="24"/>
      <c r="BLH32" s="24"/>
      <c r="BLI32" s="119"/>
      <c r="BLJ32" s="24"/>
      <c r="BLK32" s="24"/>
      <c r="BLL32" s="24"/>
      <c r="BLM32" s="24"/>
      <c r="BLN32" s="24"/>
      <c r="BLO32" s="58"/>
      <c r="BLP32" s="24"/>
      <c r="BLQ32" s="24"/>
      <c r="BLR32" s="24"/>
      <c r="BLS32" s="24"/>
      <c r="BLT32" s="24"/>
      <c r="BLU32" s="25"/>
      <c r="BLV32" s="23"/>
      <c r="BLW32" s="24"/>
      <c r="BLX32" s="24"/>
      <c r="BLY32" s="24"/>
      <c r="BLZ32" s="24"/>
      <c r="BMA32" s="114"/>
      <c r="BMB32" s="24"/>
      <c r="BMC32" s="24"/>
      <c r="BMD32" s="24"/>
      <c r="BME32" s="24"/>
      <c r="BMF32" s="24"/>
      <c r="BMG32" s="119"/>
      <c r="BMH32" s="24"/>
      <c r="BMI32" s="24"/>
      <c r="BMJ32" s="24"/>
      <c r="BMK32" s="24"/>
      <c r="BML32" s="24"/>
      <c r="BMM32" s="58"/>
      <c r="BMN32" s="24"/>
      <c r="BMO32" s="24"/>
      <c r="BMP32" s="24"/>
      <c r="BMQ32" s="24"/>
      <c r="BMR32" s="24"/>
      <c r="BMS32" s="119"/>
      <c r="BMT32" s="24"/>
      <c r="BMU32" s="24"/>
      <c r="BMV32" s="24"/>
      <c r="BMW32" s="24"/>
      <c r="BMX32" s="24"/>
      <c r="BMY32" s="58"/>
      <c r="BMZ32" s="24"/>
      <c r="BNA32" s="24"/>
      <c r="BNB32" s="24"/>
      <c r="BNC32" s="24"/>
      <c r="BND32" s="24"/>
      <c r="BNE32" s="119"/>
      <c r="BNF32" s="24"/>
      <c r="BNG32" s="24"/>
      <c r="BNH32" s="24"/>
      <c r="BNI32" s="24"/>
      <c r="BNJ32" s="24"/>
      <c r="BNK32" s="58"/>
      <c r="BNL32" s="24"/>
      <c r="BNM32" s="24"/>
      <c r="BNN32" s="24"/>
      <c r="BNO32" s="24"/>
      <c r="BNP32" s="24"/>
      <c r="BNQ32" s="119"/>
      <c r="BNR32" s="24"/>
      <c r="BNS32" s="24"/>
      <c r="BNT32" s="24"/>
      <c r="BNU32" s="24"/>
      <c r="BNV32" s="24"/>
      <c r="BNW32" s="58"/>
      <c r="BNX32" s="24"/>
      <c r="BNY32" s="24"/>
      <c r="BNZ32" s="24"/>
      <c r="BOA32" s="24"/>
      <c r="BOB32" s="24"/>
      <c r="BOC32" s="25"/>
      <c r="BOD32" s="23"/>
      <c r="BOE32" s="24"/>
      <c r="BOF32" s="24"/>
      <c r="BOG32" s="24"/>
      <c r="BOH32" s="24"/>
      <c r="BOI32" s="114"/>
      <c r="BOJ32" s="24"/>
      <c r="BOK32" s="24"/>
      <c r="BOL32" s="24"/>
      <c r="BOM32" s="24"/>
      <c r="BON32" s="24"/>
      <c r="BOO32" s="119"/>
      <c r="BOP32" s="24"/>
      <c r="BOQ32" s="24"/>
      <c r="BOR32" s="24"/>
      <c r="BOS32" s="24"/>
      <c r="BOT32" s="24"/>
      <c r="BOU32" s="58"/>
      <c r="BOV32" s="24"/>
      <c r="BOW32" s="24"/>
      <c r="BOX32" s="24"/>
      <c r="BOY32" s="24"/>
      <c r="BOZ32" s="24"/>
      <c r="BPA32" s="119"/>
      <c r="BPB32" s="24"/>
      <c r="BPC32" s="24"/>
      <c r="BPD32" s="24"/>
      <c r="BPE32" s="24"/>
      <c r="BPF32" s="24"/>
      <c r="BPG32" s="58"/>
      <c r="BPH32" s="24"/>
      <c r="BPI32" s="24"/>
      <c r="BPJ32" s="24"/>
      <c r="BPK32" s="24"/>
      <c r="BPL32" s="24"/>
      <c r="BPM32" s="119"/>
      <c r="BPN32" s="24"/>
      <c r="BPO32" s="24"/>
      <c r="BPP32" s="24"/>
      <c r="BPQ32" s="24"/>
      <c r="BPR32" s="24"/>
      <c r="BPS32" s="58"/>
      <c r="BPT32" s="24"/>
      <c r="BPU32" s="24"/>
      <c r="BPV32" s="24"/>
      <c r="BPW32" s="24"/>
      <c r="BPX32" s="24"/>
      <c r="BPY32" s="119"/>
      <c r="BPZ32" s="24"/>
      <c r="BQA32" s="24"/>
      <c r="BQB32" s="24"/>
      <c r="BQC32" s="24"/>
      <c r="BQD32" s="24"/>
      <c r="BQE32" s="58"/>
      <c r="BQF32" s="24"/>
      <c r="BQG32" s="24"/>
      <c r="BQH32" s="24"/>
      <c r="BQI32" s="24"/>
      <c r="BQJ32" s="24"/>
      <c r="BQK32" s="25"/>
      <c r="BQL32" s="23"/>
      <c r="BQM32" s="24"/>
      <c r="BQN32" s="24"/>
      <c r="BQO32" s="24"/>
      <c r="BQP32" s="24"/>
      <c r="BQQ32" s="114"/>
      <c r="BQR32" s="24"/>
      <c r="BQS32" s="24"/>
      <c r="BQT32" s="24"/>
      <c r="BQU32" s="24"/>
      <c r="BQV32" s="24"/>
      <c r="BQW32" s="119"/>
      <c r="BQX32" s="24"/>
      <c r="BQY32" s="24"/>
      <c r="BQZ32" s="24"/>
      <c r="BRA32" s="24"/>
      <c r="BRB32" s="24"/>
      <c r="BRC32" s="58"/>
      <c r="BRD32" s="24"/>
      <c r="BRE32" s="24"/>
      <c r="BRF32" s="24"/>
      <c r="BRG32" s="24"/>
      <c r="BRH32" s="24"/>
      <c r="BRI32" s="119"/>
      <c r="BRJ32" s="24"/>
      <c r="BRK32" s="24"/>
      <c r="BRL32" s="24"/>
      <c r="BRM32" s="24"/>
      <c r="BRN32" s="24"/>
      <c r="BRO32" s="58"/>
      <c r="BRP32" s="24"/>
      <c r="BRQ32" s="24"/>
      <c r="BRR32" s="24"/>
      <c r="BRS32" s="24"/>
      <c r="BRT32" s="24"/>
      <c r="BRU32" s="119"/>
      <c r="BRV32" s="24"/>
      <c r="BRW32" s="24"/>
      <c r="BRX32" s="24"/>
      <c r="BRY32" s="24"/>
      <c r="BRZ32" s="24"/>
      <c r="BSA32" s="58"/>
      <c r="BSB32" s="24"/>
      <c r="BSC32" s="24"/>
      <c r="BSD32" s="24"/>
      <c r="BSE32" s="24"/>
      <c r="BSF32" s="24"/>
      <c r="BSG32" s="119"/>
      <c r="BSH32" s="24"/>
      <c r="BSI32" s="24"/>
      <c r="BSJ32" s="24"/>
      <c r="BSK32" s="24"/>
      <c r="BSL32" s="24"/>
      <c r="BSM32" s="58"/>
      <c r="BSN32" s="24"/>
      <c r="BSO32" s="24"/>
      <c r="BSP32" s="24"/>
      <c r="BSQ32" s="24"/>
      <c r="BSR32" s="24"/>
      <c r="BSS32" s="25"/>
      <c r="BST32" s="23"/>
      <c r="BSU32" s="24"/>
      <c r="BSV32" s="24"/>
      <c r="BSW32" s="24"/>
      <c r="BSX32" s="24"/>
      <c r="BSY32" s="114"/>
      <c r="BSZ32" s="24"/>
      <c r="BTA32" s="24"/>
      <c r="BTB32" s="24"/>
      <c r="BTC32" s="24"/>
      <c r="BTD32" s="24"/>
      <c r="BTE32" s="119"/>
      <c r="BTF32" s="24"/>
      <c r="BTG32" s="24"/>
      <c r="BTH32" s="24"/>
      <c r="BTI32" s="24"/>
      <c r="BTJ32" s="24"/>
      <c r="BTK32" s="58"/>
      <c r="BTL32" s="24"/>
      <c r="BTM32" s="24"/>
      <c r="BTN32" s="24"/>
      <c r="BTO32" s="24"/>
      <c r="BTP32" s="24"/>
      <c r="BTQ32" s="119"/>
      <c r="BTR32" s="24"/>
      <c r="BTS32" s="24"/>
      <c r="BTT32" s="24"/>
      <c r="BTU32" s="24"/>
      <c r="BTV32" s="24"/>
      <c r="BTW32" s="58"/>
      <c r="BTX32" s="24"/>
      <c r="BTY32" s="24"/>
      <c r="BTZ32" s="24"/>
      <c r="BUA32" s="24"/>
      <c r="BUB32" s="24"/>
      <c r="BUC32" s="119"/>
      <c r="BUD32" s="24"/>
      <c r="BUE32" s="24"/>
      <c r="BUF32" s="24"/>
      <c r="BUG32" s="24"/>
      <c r="BUH32" s="24"/>
      <c r="BUI32" s="58"/>
      <c r="BUJ32" s="24"/>
      <c r="BUK32" s="24"/>
      <c r="BUL32" s="24"/>
      <c r="BUM32" s="24"/>
      <c r="BUN32" s="24"/>
      <c r="BUO32" s="119"/>
      <c r="BUP32" s="24"/>
      <c r="BUQ32" s="24"/>
      <c r="BUR32" s="24"/>
      <c r="BUS32" s="24"/>
      <c r="BUT32" s="24"/>
      <c r="BUU32" s="58"/>
      <c r="BUV32" s="24"/>
      <c r="BUW32" s="24"/>
      <c r="BUX32" s="24"/>
      <c r="BUY32" s="24"/>
      <c r="BUZ32" s="24"/>
      <c r="BVA32" s="25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74" t="s">
        <v>67</v>
      </c>
      <c r="D33" s="129" t="str">
        <f t="shared" si="0"/>
        <v>6h</v>
      </c>
      <c r="E33" s="26">
        <v>72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27"/>
      <c r="BJO33" s="28"/>
      <c r="BJP33" s="28"/>
      <c r="BJQ33" s="28"/>
      <c r="BJR33" s="28"/>
      <c r="BJS33" s="115"/>
      <c r="BJT33" s="28"/>
      <c r="BJU33" s="28"/>
      <c r="BJV33" s="28"/>
      <c r="BJW33" s="28"/>
      <c r="BJX33" s="28"/>
      <c r="BJY33" s="120"/>
      <c r="BJZ33" s="28"/>
      <c r="BKA33" s="28"/>
      <c r="BKB33" s="28"/>
      <c r="BKC33" s="28"/>
      <c r="BKD33" s="28"/>
      <c r="BKE33" s="59"/>
      <c r="BKF33" s="28"/>
      <c r="BKG33" s="28"/>
      <c r="BKH33" s="28"/>
      <c r="BKI33" s="28"/>
      <c r="BKJ33" s="28"/>
      <c r="BKK33" s="120"/>
      <c r="BKL33" s="28"/>
      <c r="BKM33" s="28"/>
      <c r="BKN33" s="28"/>
      <c r="BKO33" s="28"/>
      <c r="BKP33" s="28"/>
      <c r="BKQ33" s="59"/>
      <c r="BKR33" s="28"/>
      <c r="BKS33" s="28"/>
      <c r="BKT33" s="28"/>
      <c r="BKU33" s="28"/>
      <c r="BKV33" s="28"/>
      <c r="BKW33" s="120"/>
      <c r="BKX33" s="28"/>
      <c r="BKY33" s="28"/>
      <c r="BKZ33" s="28"/>
      <c r="BLA33" s="28"/>
      <c r="BLB33" s="28"/>
      <c r="BLC33" s="59"/>
      <c r="BLD33" s="28"/>
      <c r="BLE33" s="28"/>
      <c r="BLF33" s="28"/>
      <c r="BLG33" s="28"/>
      <c r="BLH33" s="28"/>
      <c r="BLI33" s="120"/>
      <c r="BLJ33" s="28"/>
      <c r="BLK33" s="28"/>
      <c r="BLL33" s="28"/>
      <c r="BLM33" s="28"/>
      <c r="BLN33" s="28"/>
      <c r="BLO33" s="59"/>
      <c r="BLP33" s="28"/>
      <c r="BLQ33" s="28"/>
      <c r="BLR33" s="28"/>
      <c r="BLS33" s="28"/>
      <c r="BLT33" s="28"/>
      <c r="BLU33" s="29"/>
      <c r="BLV33" s="27"/>
      <c r="BLW33" s="28"/>
      <c r="BLX33" s="28"/>
      <c r="BLY33" s="28"/>
      <c r="BLZ33" s="28"/>
      <c r="BMA33" s="115"/>
      <c r="BMB33" s="28"/>
      <c r="BMC33" s="28"/>
      <c r="BMD33" s="28"/>
      <c r="BME33" s="28"/>
      <c r="BMF33" s="28"/>
      <c r="BMG33" s="120"/>
      <c r="BMH33" s="28"/>
      <c r="BMI33" s="28"/>
      <c r="BMJ33" s="28"/>
      <c r="BMK33" s="28"/>
      <c r="BML33" s="28"/>
      <c r="BMM33" s="59"/>
      <c r="BMN33" s="28"/>
      <c r="BMO33" s="28"/>
      <c r="BMP33" s="28"/>
      <c r="BMQ33" s="28"/>
      <c r="BMR33" s="28"/>
      <c r="BMS33" s="120"/>
      <c r="BMT33" s="28"/>
      <c r="BMU33" s="28"/>
      <c r="BMV33" s="28"/>
      <c r="BMW33" s="28"/>
      <c r="BMX33" s="28"/>
      <c r="BMY33" s="59"/>
      <c r="BMZ33" s="28"/>
      <c r="BNA33" s="28"/>
      <c r="BNB33" s="28"/>
      <c r="BNC33" s="28"/>
      <c r="BND33" s="28"/>
      <c r="BNE33" s="120"/>
      <c r="BNF33" s="28"/>
      <c r="BNG33" s="28"/>
      <c r="BNH33" s="28"/>
      <c r="BNI33" s="28"/>
      <c r="BNJ33" s="28"/>
      <c r="BNK33" s="59"/>
      <c r="BNL33" s="28"/>
      <c r="BNM33" s="28"/>
      <c r="BNN33" s="28"/>
      <c r="BNO33" s="28"/>
      <c r="BNP33" s="28"/>
      <c r="BNQ33" s="120"/>
      <c r="BNR33" s="28"/>
      <c r="BNS33" s="28"/>
      <c r="BNT33" s="28"/>
      <c r="BNU33" s="28"/>
      <c r="BNV33" s="28"/>
      <c r="BNW33" s="59"/>
      <c r="BNX33" s="28"/>
      <c r="BNY33" s="28"/>
      <c r="BNZ33" s="28"/>
      <c r="BOA33" s="28"/>
      <c r="BOB33" s="28"/>
      <c r="BOC33" s="29"/>
      <c r="BOD33" s="27"/>
      <c r="BOE33" s="28"/>
      <c r="BOF33" s="28"/>
      <c r="BOG33" s="28"/>
      <c r="BOH33" s="28"/>
      <c r="BOI33" s="115"/>
      <c r="BOJ33" s="28"/>
      <c r="BOK33" s="28"/>
      <c r="BOL33" s="28"/>
      <c r="BOM33" s="28"/>
      <c r="BON33" s="28"/>
      <c r="BOO33" s="120"/>
      <c r="BOP33" s="28"/>
      <c r="BOQ33" s="28"/>
      <c r="BOR33" s="28"/>
      <c r="BOS33" s="28"/>
      <c r="BOT33" s="28"/>
      <c r="BOU33" s="59"/>
      <c r="BOV33" s="28"/>
      <c r="BOW33" s="28"/>
      <c r="BOX33" s="28"/>
      <c r="BOY33" s="28"/>
      <c r="BOZ33" s="28"/>
      <c r="BPA33" s="120"/>
      <c r="BPB33" s="28"/>
      <c r="BPC33" s="28"/>
      <c r="BPD33" s="28"/>
      <c r="BPE33" s="28"/>
      <c r="BPF33" s="28"/>
      <c r="BPG33" s="59"/>
      <c r="BPH33" s="28"/>
      <c r="BPI33" s="28"/>
      <c r="BPJ33" s="28"/>
      <c r="BPK33" s="28"/>
      <c r="BPL33" s="28"/>
      <c r="BPM33" s="120"/>
      <c r="BPN33" s="28"/>
      <c r="BPO33" s="28"/>
      <c r="BPP33" s="28"/>
      <c r="BPQ33" s="28"/>
      <c r="BPR33" s="28"/>
      <c r="BPS33" s="59"/>
      <c r="BPT33" s="28"/>
      <c r="BPU33" s="28"/>
      <c r="BPV33" s="28"/>
      <c r="BPW33" s="28"/>
      <c r="BPX33" s="28"/>
      <c r="BPY33" s="120"/>
      <c r="BPZ33" s="28"/>
      <c r="BQA33" s="28"/>
      <c r="BQB33" s="28"/>
      <c r="BQC33" s="28"/>
      <c r="BQD33" s="28"/>
      <c r="BQE33" s="59"/>
      <c r="BQF33" s="28"/>
      <c r="BQG33" s="28"/>
      <c r="BQH33" s="28"/>
      <c r="BQI33" s="28"/>
      <c r="BQJ33" s="28"/>
      <c r="BQK33" s="29"/>
      <c r="BQL33" s="27"/>
      <c r="BQM33" s="28"/>
      <c r="BQN33" s="28"/>
      <c r="BQO33" s="28"/>
      <c r="BQP33" s="28"/>
      <c r="BQQ33" s="115"/>
      <c r="BQR33" s="28"/>
      <c r="BQS33" s="28"/>
      <c r="BQT33" s="28"/>
      <c r="BQU33" s="28"/>
      <c r="BQV33" s="28"/>
      <c r="BQW33" s="120"/>
      <c r="BQX33" s="28"/>
      <c r="BQY33" s="28"/>
      <c r="BQZ33" s="28"/>
      <c r="BRA33" s="28"/>
      <c r="BRB33" s="28"/>
      <c r="BRC33" s="59"/>
      <c r="BRD33" s="28"/>
      <c r="BRE33" s="28"/>
      <c r="BRF33" s="28"/>
      <c r="BRG33" s="28"/>
      <c r="BRH33" s="28"/>
      <c r="BRI33" s="120"/>
      <c r="BRJ33" s="28"/>
      <c r="BRK33" s="28"/>
      <c r="BRL33" s="28"/>
      <c r="BRM33" s="28"/>
      <c r="BRN33" s="28"/>
      <c r="BRO33" s="59"/>
      <c r="BRP33" s="28"/>
      <c r="BRQ33" s="28"/>
      <c r="BRR33" s="28"/>
      <c r="BRS33" s="28"/>
      <c r="BRT33" s="28"/>
      <c r="BRU33" s="120"/>
      <c r="BRV33" s="28"/>
      <c r="BRW33" s="28"/>
      <c r="BRX33" s="28"/>
      <c r="BRY33" s="28"/>
      <c r="BRZ33" s="28"/>
      <c r="BSA33" s="59"/>
      <c r="BSB33" s="28"/>
      <c r="BSC33" s="28"/>
      <c r="BSD33" s="28"/>
      <c r="BSE33" s="28"/>
      <c r="BSF33" s="28"/>
      <c r="BSG33" s="120"/>
      <c r="BSH33" s="28"/>
      <c r="BSI33" s="28"/>
      <c r="BSJ33" s="28"/>
      <c r="BSK33" s="28"/>
      <c r="BSL33" s="28"/>
      <c r="BSM33" s="59"/>
      <c r="BSN33" s="28"/>
      <c r="BSO33" s="28"/>
      <c r="BSP33" s="28"/>
      <c r="BSQ33" s="28"/>
      <c r="BSR33" s="28"/>
      <c r="BSS33" s="29"/>
      <c r="BST33" s="27"/>
      <c r="BSU33" s="28"/>
      <c r="BSV33" s="28"/>
      <c r="BSW33" s="28"/>
      <c r="BSX33" s="28"/>
      <c r="BSY33" s="115"/>
      <c r="BSZ33" s="28"/>
      <c r="BTA33" s="28"/>
      <c r="BTB33" s="28"/>
      <c r="BTC33" s="28"/>
      <c r="BTD33" s="28"/>
      <c r="BTE33" s="120"/>
      <c r="BTF33" s="28"/>
      <c r="BTG33" s="28"/>
      <c r="BTH33" s="28"/>
      <c r="BTI33" s="28"/>
      <c r="BTJ33" s="28"/>
      <c r="BTK33" s="59"/>
      <c r="BTL33" s="28"/>
      <c r="BTM33" s="28"/>
      <c r="BTN33" s="28"/>
      <c r="BTO33" s="28"/>
      <c r="BTP33" s="28"/>
      <c r="BTQ33" s="120"/>
      <c r="BTR33" s="28"/>
      <c r="BTS33" s="28"/>
      <c r="BTT33" s="28"/>
      <c r="BTU33" s="28"/>
      <c r="BTV33" s="28"/>
      <c r="BTW33" s="59"/>
      <c r="BTX33" s="28"/>
      <c r="BTY33" s="28"/>
      <c r="BTZ33" s="28"/>
      <c r="BUA33" s="28"/>
      <c r="BUB33" s="28"/>
      <c r="BUC33" s="120"/>
      <c r="BUD33" s="28"/>
      <c r="BUE33" s="28"/>
      <c r="BUF33" s="28"/>
      <c r="BUG33" s="28"/>
      <c r="BUH33" s="28"/>
      <c r="BUI33" s="59"/>
      <c r="BUJ33" s="28"/>
      <c r="BUK33" s="28"/>
      <c r="BUL33" s="28"/>
      <c r="BUM33" s="28"/>
      <c r="BUN33" s="28"/>
      <c r="BUO33" s="120"/>
      <c r="BUP33" s="28"/>
      <c r="BUQ33" s="28"/>
      <c r="BUR33" s="28"/>
      <c r="BUS33" s="28"/>
      <c r="BUT33" s="28"/>
      <c r="BUU33" s="59"/>
      <c r="BUV33" s="28"/>
      <c r="BUW33" s="28"/>
      <c r="BUX33" s="28"/>
      <c r="BUY33" s="28"/>
      <c r="BUZ33" s="28"/>
      <c r="BVA33" s="29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75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16"/>
      <c r="BHL34" s="32"/>
      <c r="BHM34" s="32"/>
      <c r="BHN34" s="32"/>
      <c r="BHO34" s="32"/>
      <c r="BHP34" s="32"/>
      <c r="BHQ34" s="121"/>
      <c r="BHR34" s="32"/>
      <c r="BHS34" s="32"/>
      <c r="BHT34" s="32"/>
      <c r="BHU34" s="32"/>
      <c r="BHV34" s="32"/>
      <c r="BHW34" s="60"/>
      <c r="BHX34" s="32"/>
      <c r="BHY34" s="32"/>
      <c r="BHZ34" s="32"/>
      <c r="BIA34" s="32"/>
      <c r="BIB34" s="32"/>
      <c r="BIC34" s="121"/>
      <c r="BID34" s="32"/>
      <c r="BIE34" s="32"/>
      <c r="BIF34" s="32"/>
      <c r="BIG34" s="32"/>
      <c r="BIH34" s="32"/>
      <c r="BII34" s="60"/>
      <c r="BIJ34" s="32"/>
      <c r="BIK34" s="32"/>
      <c r="BIL34" s="32"/>
      <c r="BIM34" s="32"/>
      <c r="BIN34" s="32"/>
      <c r="BIO34" s="121"/>
      <c r="BIP34" s="32"/>
      <c r="BIQ34" s="32"/>
      <c r="BIR34" s="32"/>
      <c r="BIS34" s="32"/>
      <c r="BIT34" s="32"/>
      <c r="BIU34" s="60"/>
      <c r="BIV34" s="32"/>
      <c r="BIW34" s="32"/>
      <c r="BIX34" s="32"/>
      <c r="BIY34" s="32"/>
      <c r="BIZ34" s="32"/>
      <c r="BJA34" s="121"/>
      <c r="BJB34" s="32"/>
      <c r="BJC34" s="32"/>
      <c r="BJD34" s="32"/>
      <c r="BJE34" s="32"/>
      <c r="BJF34" s="32"/>
      <c r="BJG34" s="60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16"/>
      <c r="BJT34" s="32"/>
      <c r="BJU34" s="32"/>
      <c r="BJV34" s="32"/>
      <c r="BJW34" s="32"/>
      <c r="BJX34" s="32"/>
      <c r="BJY34" s="121"/>
      <c r="BJZ34" s="32"/>
      <c r="BKA34" s="32"/>
      <c r="BKB34" s="32"/>
      <c r="BKC34" s="32"/>
      <c r="BKD34" s="32"/>
      <c r="BKE34" s="60"/>
      <c r="BKF34" s="32"/>
      <c r="BKG34" s="32"/>
      <c r="BKH34" s="32"/>
      <c r="BKI34" s="32"/>
      <c r="BKJ34" s="32"/>
      <c r="BKK34" s="121"/>
      <c r="BKL34" s="32"/>
      <c r="BKM34" s="32"/>
      <c r="BKN34" s="32"/>
      <c r="BKO34" s="32"/>
      <c r="BKP34" s="32"/>
      <c r="BKQ34" s="60"/>
      <c r="BKR34" s="32"/>
      <c r="BKS34" s="32"/>
      <c r="BKT34" s="32"/>
      <c r="BKU34" s="32"/>
      <c r="BKV34" s="32"/>
      <c r="BKW34" s="121"/>
      <c r="BKX34" s="32"/>
      <c r="BKY34" s="32"/>
      <c r="BKZ34" s="32"/>
      <c r="BLA34" s="32"/>
      <c r="BLB34" s="32"/>
      <c r="BLC34" s="60"/>
      <c r="BLD34" s="32"/>
      <c r="BLE34" s="32"/>
      <c r="BLF34" s="32"/>
      <c r="BLG34" s="32"/>
      <c r="BLH34" s="32"/>
      <c r="BLI34" s="121"/>
      <c r="BLJ34" s="32"/>
      <c r="BLK34" s="32"/>
      <c r="BLL34" s="32"/>
      <c r="BLM34" s="32"/>
      <c r="BLN34" s="32"/>
      <c r="BLO34" s="60"/>
      <c r="BLP34" s="32"/>
      <c r="BLQ34" s="32"/>
      <c r="BLR34" s="32"/>
      <c r="BLS34" s="32"/>
      <c r="BLT34" s="32"/>
      <c r="BLU34" s="33"/>
      <c r="BLV34" s="31"/>
      <c r="BLW34" s="32"/>
      <c r="BLX34" s="32"/>
      <c r="BLY34" s="32"/>
      <c r="BLZ34" s="32"/>
      <c r="BMA34" s="116"/>
      <c r="BMB34" s="32"/>
      <c r="BMC34" s="32"/>
      <c r="BMD34" s="32"/>
      <c r="BME34" s="32"/>
      <c r="BMF34" s="32"/>
      <c r="BMG34" s="121"/>
      <c r="BMH34" s="32"/>
      <c r="BMI34" s="32"/>
      <c r="BMJ34" s="32"/>
      <c r="BMK34" s="32"/>
      <c r="BML34" s="32"/>
      <c r="BMM34" s="60"/>
      <c r="BMN34" s="32"/>
      <c r="BMO34" s="32"/>
      <c r="BMP34" s="32"/>
      <c r="BMQ34" s="32"/>
      <c r="BMR34" s="32"/>
      <c r="BMS34" s="121"/>
      <c r="BMT34" s="32"/>
      <c r="BMU34" s="32"/>
      <c r="BMV34" s="32"/>
      <c r="BMW34" s="32"/>
      <c r="BMX34" s="32"/>
      <c r="BMY34" s="60"/>
      <c r="BMZ34" s="32"/>
      <c r="BNA34" s="32"/>
      <c r="BNB34" s="32"/>
      <c r="BNC34" s="32"/>
      <c r="BND34" s="32"/>
      <c r="BNE34" s="121"/>
      <c r="BNF34" s="32"/>
      <c r="BNG34" s="32"/>
      <c r="BNH34" s="32"/>
      <c r="BNI34" s="32"/>
      <c r="BNJ34" s="32"/>
      <c r="BNK34" s="60"/>
      <c r="BNL34" s="32"/>
      <c r="BNM34" s="32"/>
      <c r="BNN34" s="32"/>
      <c r="BNO34" s="32"/>
      <c r="BNP34" s="32"/>
      <c r="BNQ34" s="121"/>
      <c r="BNR34" s="32"/>
      <c r="BNS34" s="32"/>
      <c r="BNT34" s="32"/>
      <c r="BNU34" s="32"/>
      <c r="BNV34" s="32"/>
      <c r="BNW34" s="60"/>
      <c r="BNX34" s="32"/>
      <c r="BNY34" s="32"/>
      <c r="BNZ34" s="32"/>
      <c r="BOA34" s="32"/>
      <c r="BOB34" s="32"/>
      <c r="BOC34" s="33"/>
      <c r="BOD34" s="31"/>
      <c r="BOE34" s="32"/>
      <c r="BOF34" s="32"/>
      <c r="BOG34" s="32"/>
      <c r="BOH34" s="32"/>
      <c r="BOI34" s="116"/>
      <c r="BOJ34" s="32"/>
      <c r="BOK34" s="32"/>
      <c r="BOL34" s="32"/>
      <c r="BOM34" s="32"/>
      <c r="BON34" s="32"/>
      <c r="BOO34" s="121"/>
      <c r="BOP34" s="32"/>
      <c r="BOQ34" s="32"/>
      <c r="BOR34" s="32"/>
      <c r="BOS34" s="32"/>
      <c r="BOT34" s="32"/>
      <c r="BOU34" s="60"/>
      <c r="BOV34" s="32"/>
      <c r="BOW34" s="32"/>
      <c r="BOX34" s="32"/>
      <c r="BOY34" s="32"/>
      <c r="BOZ34" s="32"/>
      <c r="BPA34" s="121"/>
      <c r="BPB34" s="32"/>
      <c r="BPC34" s="32"/>
      <c r="BPD34" s="32"/>
      <c r="BPE34" s="32"/>
      <c r="BPF34" s="32"/>
      <c r="BPG34" s="60"/>
      <c r="BPH34" s="32"/>
      <c r="BPI34" s="32"/>
      <c r="BPJ34" s="32"/>
      <c r="BPK34" s="32"/>
      <c r="BPL34" s="32"/>
      <c r="BPM34" s="121"/>
      <c r="BPN34" s="32"/>
      <c r="BPO34" s="32"/>
      <c r="BPP34" s="32"/>
      <c r="BPQ34" s="32"/>
      <c r="BPR34" s="32"/>
      <c r="BPS34" s="60"/>
      <c r="BPT34" s="32"/>
      <c r="BPU34" s="32"/>
      <c r="BPV34" s="32"/>
      <c r="BPW34" s="32"/>
      <c r="BPX34" s="32"/>
      <c r="BPY34" s="121"/>
      <c r="BPZ34" s="32"/>
      <c r="BQA34" s="32"/>
      <c r="BQB34" s="32"/>
      <c r="BQC34" s="32"/>
      <c r="BQD34" s="32"/>
      <c r="BQE34" s="60"/>
      <c r="BQF34" s="32"/>
      <c r="BQG34" s="32"/>
      <c r="BQH34" s="32"/>
      <c r="BQI34" s="32"/>
      <c r="BQJ34" s="32"/>
      <c r="BQK34" s="33"/>
      <c r="BQL34" s="31"/>
      <c r="BQM34" s="32"/>
      <c r="BQN34" s="32"/>
      <c r="BQO34" s="32"/>
      <c r="BQP34" s="32"/>
      <c r="BQQ34" s="116"/>
      <c r="BQR34" s="32"/>
      <c r="BQS34" s="32"/>
      <c r="BQT34" s="32"/>
      <c r="BQU34" s="32"/>
      <c r="BQV34" s="32"/>
      <c r="BQW34" s="121"/>
      <c r="BQX34" s="32"/>
      <c r="BQY34" s="32"/>
      <c r="BQZ34" s="32"/>
      <c r="BRA34" s="32"/>
      <c r="BRB34" s="32"/>
      <c r="BRC34" s="60"/>
      <c r="BRD34" s="32"/>
      <c r="BRE34" s="32"/>
      <c r="BRF34" s="32"/>
      <c r="BRG34" s="32"/>
      <c r="BRH34" s="32"/>
      <c r="BRI34" s="121"/>
      <c r="BRJ34" s="32"/>
      <c r="BRK34" s="32"/>
      <c r="BRL34" s="32"/>
      <c r="BRM34" s="32"/>
      <c r="BRN34" s="32"/>
      <c r="BRO34" s="60"/>
      <c r="BRP34" s="32"/>
      <c r="BRQ34" s="32"/>
      <c r="BRR34" s="32"/>
      <c r="BRS34" s="32"/>
      <c r="BRT34" s="32"/>
      <c r="BRU34" s="121"/>
      <c r="BRV34" s="32"/>
      <c r="BRW34" s="32"/>
      <c r="BRX34" s="32"/>
      <c r="BRY34" s="32"/>
      <c r="BRZ34" s="32"/>
      <c r="BSA34" s="60"/>
      <c r="BSB34" s="32"/>
      <c r="BSC34" s="32"/>
      <c r="BSD34" s="32"/>
      <c r="BSE34" s="32"/>
      <c r="BSF34" s="32"/>
      <c r="BSG34" s="121"/>
      <c r="BSH34" s="32"/>
      <c r="BSI34" s="32"/>
      <c r="BSJ34" s="32"/>
      <c r="BSK34" s="32"/>
      <c r="BSL34" s="32"/>
      <c r="BSM34" s="60"/>
      <c r="BSN34" s="32"/>
      <c r="BSO34" s="32"/>
      <c r="BSP34" s="32"/>
      <c r="BSQ34" s="32"/>
      <c r="BSR34" s="32"/>
      <c r="BSS34" s="33"/>
      <c r="BST34" s="31"/>
      <c r="BSU34" s="32"/>
      <c r="BSV34" s="32"/>
      <c r="BSW34" s="32"/>
      <c r="BSX34" s="32"/>
      <c r="BSY34" s="116"/>
      <c r="BSZ34" s="32"/>
      <c r="BTA34" s="32"/>
      <c r="BTB34" s="32"/>
      <c r="BTC34" s="32"/>
      <c r="BTD34" s="32"/>
      <c r="BTE34" s="121"/>
      <c r="BTF34" s="32"/>
      <c r="BTG34" s="32"/>
      <c r="BTH34" s="32"/>
      <c r="BTI34" s="32"/>
      <c r="BTJ34" s="32"/>
      <c r="BTK34" s="60"/>
      <c r="BTL34" s="32"/>
      <c r="BTM34" s="32"/>
      <c r="BTN34" s="32"/>
      <c r="BTO34" s="32"/>
      <c r="BTP34" s="32"/>
      <c r="BTQ34" s="121"/>
      <c r="BTR34" s="32"/>
      <c r="BTS34" s="32"/>
      <c r="BTT34" s="32"/>
      <c r="BTU34" s="32"/>
      <c r="BTV34" s="32"/>
      <c r="BTW34" s="60"/>
      <c r="BTX34" s="32"/>
      <c r="BTY34" s="32"/>
      <c r="BTZ34" s="32"/>
      <c r="BUA34" s="32"/>
      <c r="BUB34" s="32"/>
      <c r="BUC34" s="121"/>
      <c r="BUD34" s="32"/>
      <c r="BUE34" s="32"/>
      <c r="BUF34" s="32"/>
      <c r="BUG34" s="32"/>
      <c r="BUH34" s="32"/>
      <c r="BUI34" s="60"/>
      <c r="BUJ34" s="32"/>
      <c r="BUK34" s="32"/>
      <c r="BUL34" s="32"/>
      <c r="BUM34" s="32"/>
      <c r="BUN34" s="32"/>
      <c r="BUO34" s="121"/>
      <c r="BUP34" s="32"/>
      <c r="BUQ34" s="32"/>
      <c r="BUR34" s="32"/>
      <c r="BUS34" s="32"/>
      <c r="BUT34" s="32"/>
      <c r="BUU34" s="60"/>
      <c r="BUV34" s="32"/>
      <c r="BUW34" s="32"/>
      <c r="BUX34" s="32"/>
      <c r="BUY34" s="32"/>
      <c r="BUZ34" s="32"/>
      <c r="BVA34" s="33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74" t="s">
        <v>68</v>
      </c>
      <c r="D35" s="129" t="str">
        <f t="shared" si="0"/>
        <v>2h</v>
      </c>
      <c r="E35" s="34">
        <v>24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35"/>
      <c r="BJO35" s="36"/>
      <c r="BJP35" s="36"/>
      <c r="BJQ35" s="36"/>
      <c r="BJR35" s="36"/>
      <c r="BJS35" s="117"/>
      <c r="BJT35" s="36"/>
      <c r="BJU35" s="36"/>
      <c r="BJV35" s="36"/>
      <c r="BJW35" s="36"/>
      <c r="BJX35" s="36"/>
      <c r="BJY35" s="122"/>
      <c r="BJZ35" s="36"/>
      <c r="BKA35" s="36"/>
      <c r="BKB35" s="36"/>
      <c r="BKC35" s="36"/>
      <c r="BKD35" s="36"/>
      <c r="BKE35" s="61"/>
      <c r="BKF35" s="36"/>
      <c r="BKG35" s="36"/>
      <c r="BKH35" s="36"/>
      <c r="BKI35" s="36"/>
      <c r="BKJ35" s="36"/>
      <c r="BKK35" s="122"/>
      <c r="BKL35" s="36"/>
      <c r="BKM35" s="36"/>
      <c r="BKN35" s="36"/>
      <c r="BKO35" s="36"/>
      <c r="BKP35" s="36"/>
      <c r="BKQ35" s="61"/>
      <c r="BKR35" s="36"/>
      <c r="BKS35" s="36"/>
      <c r="BKT35" s="36"/>
      <c r="BKU35" s="36"/>
      <c r="BKV35" s="36"/>
      <c r="BKW35" s="122"/>
      <c r="BKX35" s="36"/>
      <c r="BKY35" s="36"/>
      <c r="BKZ35" s="36"/>
      <c r="BLA35" s="36"/>
      <c r="BLB35" s="36"/>
      <c r="BLC35" s="61"/>
      <c r="BLD35" s="36"/>
      <c r="BLE35" s="36"/>
      <c r="BLF35" s="36"/>
      <c r="BLG35" s="36"/>
      <c r="BLH35" s="36"/>
      <c r="BLI35" s="122"/>
      <c r="BLJ35" s="36"/>
      <c r="BLK35" s="36"/>
      <c r="BLL35" s="36"/>
      <c r="BLM35" s="36"/>
      <c r="BLN35" s="36"/>
      <c r="BLO35" s="61"/>
      <c r="BLP35" s="36"/>
      <c r="BLQ35" s="36"/>
      <c r="BLR35" s="36"/>
      <c r="BLS35" s="36"/>
      <c r="BLT35" s="36"/>
      <c r="BLU35" s="37"/>
      <c r="BLV35" s="35"/>
      <c r="BLW35" s="36"/>
      <c r="BLX35" s="36"/>
      <c r="BLY35" s="36"/>
      <c r="BLZ35" s="36"/>
      <c r="BMA35" s="117"/>
      <c r="BMB35" s="36"/>
      <c r="BMC35" s="36"/>
      <c r="BMD35" s="36"/>
      <c r="BME35" s="36"/>
      <c r="BMF35" s="36"/>
      <c r="BMG35" s="122"/>
      <c r="BMH35" s="36"/>
      <c r="BMI35" s="36"/>
      <c r="BMJ35" s="36"/>
      <c r="BMK35" s="36"/>
      <c r="BML35" s="36"/>
      <c r="BMM35" s="61"/>
      <c r="BMN35" s="36"/>
      <c r="BMO35" s="36"/>
      <c r="BMP35" s="36"/>
      <c r="BMQ35" s="36"/>
      <c r="BMR35" s="36"/>
      <c r="BMS35" s="122"/>
      <c r="BMT35" s="36"/>
      <c r="BMU35" s="36"/>
      <c r="BMV35" s="36"/>
      <c r="BMW35" s="36"/>
      <c r="BMX35" s="36"/>
      <c r="BMY35" s="61"/>
      <c r="BMZ35" s="36"/>
      <c r="BNA35" s="36"/>
      <c r="BNB35" s="36"/>
      <c r="BNC35" s="36"/>
      <c r="BND35" s="36"/>
      <c r="BNE35" s="122"/>
      <c r="BNF35" s="36"/>
      <c r="BNG35" s="36"/>
      <c r="BNH35" s="36"/>
      <c r="BNI35" s="36"/>
      <c r="BNJ35" s="36"/>
      <c r="BNK35" s="61"/>
      <c r="BNL35" s="36"/>
      <c r="BNM35" s="36"/>
      <c r="BNN35" s="36"/>
      <c r="BNO35" s="36"/>
      <c r="BNP35" s="36"/>
      <c r="BNQ35" s="122"/>
      <c r="BNR35" s="36"/>
      <c r="BNS35" s="36"/>
      <c r="BNT35" s="36"/>
      <c r="BNU35" s="36"/>
      <c r="BNV35" s="36"/>
      <c r="BNW35" s="61"/>
      <c r="BNX35" s="36"/>
      <c r="BNY35" s="36"/>
      <c r="BNZ35" s="36"/>
      <c r="BOA35" s="36"/>
      <c r="BOB35" s="36"/>
      <c r="BOC35" s="37"/>
      <c r="BOD35" s="35"/>
      <c r="BOE35" s="36"/>
      <c r="BOF35" s="36"/>
      <c r="BOG35" s="36"/>
      <c r="BOH35" s="36"/>
      <c r="BOI35" s="117"/>
      <c r="BOJ35" s="36"/>
      <c r="BOK35" s="36"/>
      <c r="BOL35" s="36"/>
      <c r="BOM35" s="36"/>
      <c r="BON35" s="36"/>
      <c r="BOO35" s="122"/>
      <c r="BOP35" s="36"/>
      <c r="BOQ35" s="36"/>
      <c r="BOR35" s="36"/>
      <c r="BOS35" s="36"/>
      <c r="BOT35" s="36"/>
      <c r="BOU35" s="61"/>
      <c r="BOV35" s="36"/>
      <c r="BOW35" s="36"/>
      <c r="BOX35" s="36"/>
      <c r="BOY35" s="36"/>
      <c r="BOZ35" s="36"/>
      <c r="BPA35" s="122"/>
      <c r="BPB35" s="36"/>
      <c r="BPC35" s="36"/>
      <c r="BPD35" s="36"/>
      <c r="BPE35" s="36"/>
      <c r="BPF35" s="36"/>
      <c r="BPG35" s="61"/>
      <c r="BPH35" s="36"/>
      <c r="BPI35" s="36"/>
      <c r="BPJ35" s="36"/>
      <c r="BPK35" s="36"/>
      <c r="BPL35" s="36"/>
      <c r="BPM35" s="122"/>
      <c r="BPN35" s="36"/>
      <c r="BPO35" s="36"/>
      <c r="BPP35" s="36"/>
      <c r="BPQ35" s="36"/>
      <c r="BPR35" s="36"/>
      <c r="BPS35" s="61"/>
      <c r="BPT35" s="36"/>
      <c r="BPU35" s="36"/>
      <c r="BPV35" s="36"/>
      <c r="BPW35" s="36"/>
      <c r="BPX35" s="36"/>
      <c r="BPY35" s="122"/>
      <c r="BPZ35" s="36"/>
      <c r="BQA35" s="36"/>
      <c r="BQB35" s="36"/>
      <c r="BQC35" s="36"/>
      <c r="BQD35" s="36"/>
      <c r="BQE35" s="61"/>
      <c r="BQF35" s="36"/>
      <c r="BQG35" s="36"/>
      <c r="BQH35" s="36"/>
      <c r="BQI35" s="36"/>
      <c r="BQJ35" s="36"/>
      <c r="BQK35" s="37"/>
      <c r="BQL35" s="35"/>
      <c r="BQM35" s="36"/>
      <c r="BQN35" s="36"/>
      <c r="BQO35" s="36"/>
      <c r="BQP35" s="36"/>
      <c r="BQQ35" s="117"/>
      <c r="BQR35" s="36"/>
      <c r="BQS35" s="36"/>
      <c r="BQT35" s="36"/>
      <c r="BQU35" s="36"/>
      <c r="BQV35" s="36"/>
      <c r="BQW35" s="122"/>
      <c r="BQX35" s="36"/>
      <c r="BQY35" s="36"/>
      <c r="BQZ35" s="36"/>
      <c r="BRA35" s="36"/>
      <c r="BRB35" s="36"/>
      <c r="BRC35" s="61"/>
      <c r="BRD35" s="36"/>
      <c r="BRE35" s="36"/>
      <c r="BRF35" s="36"/>
      <c r="BRG35" s="36"/>
      <c r="BRH35" s="36"/>
      <c r="BRI35" s="122"/>
      <c r="BRJ35" s="36"/>
      <c r="BRK35" s="36"/>
      <c r="BRL35" s="36"/>
      <c r="BRM35" s="36"/>
      <c r="BRN35" s="36"/>
      <c r="BRO35" s="61"/>
      <c r="BRP35" s="36"/>
      <c r="BRQ35" s="36"/>
      <c r="BRR35" s="36"/>
      <c r="BRS35" s="36"/>
      <c r="BRT35" s="36"/>
      <c r="BRU35" s="122"/>
      <c r="BRV35" s="36"/>
      <c r="BRW35" s="36"/>
      <c r="BRX35" s="36"/>
      <c r="BRY35" s="36"/>
      <c r="BRZ35" s="36"/>
      <c r="BSA35" s="61"/>
      <c r="BSB35" s="36"/>
      <c r="BSC35" s="36"/>
      <c r="BSD35" s="36"/>
      <c r="BSE35" s="36"/>
      <c r="BSF35" s="36"/>
      <c r="BSG35" s="122"/>
      <c r="BSH35" s="36"/>
      <c r="BSI35" s="36"/>
      <c r="BSJ35" s="36"/>
      <c r="BSK35" s="36"/>
      <c r="BSL35" s="36"/>
      <c r="BSM35" s="61"/>
      <c r="BSN35" s="36"/>
      <c r="BSO35" s="36"/>
      <c r="BSP35" s="36"/>
      <c r="BSQ35" s="36"/>
      <c r="BSR35" s="36"/>
      <c r="BSS35" s="37"/>
      <c r="BST35" s="35"/>
      <c r="BSU35" s="36"/>
      <c r="BSV35" s="36"/>
      <c r="BSW35" s="36"/>
      <c r="BSX35" s="36"/>
      <c r="BSY35" s="117"/>
      <c r="BSZ35" s="36"/>
      <c r="BTA35" s="36"/>
      <c r="BTB35" s="36"/>
      <c r="BTC35" s="36"/>
      <c r="BTD35" s="36"/>
      <c r="BTE35" s="122"/>
      <c r="BTF35" s="36"/>
      <c r="BTG35" s="36"/>
      <c r="BTH35" s="36"/>
      <c r="BTI35" s="36"/>
      <c r="BTJ35" s="36"/>
      <c r="BTK35" s="61"/>
      <c r="BTL35" s="36"/>
      <c r="BTM35" s="36"/>
      <c r="BTN35" s="36"/>
      <c r="BTO35" s="36"/>
      <c r="BTP35" s="36"/>
      <c r="BTQ35" s="122"/>
      <c r="BTR35" s="36"/>
      <c r="BTS35" s="36"/>
      <c r="BTT35" s="36"/>
      <c r="BTU35" s="36"/>
      <c r="BTV35" s="36"/>
      <c r="BTW35" s="61"/>
      <c r="BTX35" s="36"/>
      <c r="BTY35" s="36"/>
      <c r="BTZ35" s="36"/>
      <c r="BUA35" s="36"/>
      <c r="BUB35" s="36"/>
      <c r="BUC35" s="122"/>
      <c r="BUD35" s="36"/>
      <c r="BUE35" s="36"/>
      <c r="BUF35" s="36"/>
      <c r="BUG35" s="36"/>
      <c r="BUH35" s="36"/>
      <c r="BUI35" s="61"/>
      <c r="BUJ35" s="36"/>
      <c r="BUK35" s="36"/>
      <c r="BUL35" s="36"/>
      <c r="BUM35" s="36"/>
      <c r="BUN35" s="36"/>
      <c r="BUO35" s="122"/>
      <c r="BUP35" s="36"/>
      <c r="BUQ35" s="36"/>
      <c r="BUR35" s="36"/>
      <c r="BUS35" s="36"/>
      <c r="BUT35" s="36"/>
      <c r="BUU35" s="61"/>
      <c r="BUV35" s="36"/>
      <c r="BUW35" s="36"/>
      <c r="BUX35" s="36"/>
      <c r="BUY35" s="36"/>
      <c r="BUZ35" s="36"/>
      <c r="BVA35" s="37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75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14"/>
      <c r="BHL36" s="24"/>
      <c r="BHM36" s="24"/>
      <c r="BHN36" s="24"/>
      <c r="BHO36" s="24"/>
      <c r="BHP36" s="24"/>
      <c r="BHQ36" s="119"/>
      <c r="BHR36" s="24"/>
      <c r="BHS36" s="24"/>
      <c r="BHT36" s="24"/>
      <c r="BHU36" s="24"/>
      <c r="BHV36" s="24"/>
      <c r="BHW36" s="58"/>
      <c r="BHX36" s="24"/>
      <c r="BHY36" s="24"/>
      <c r="BHZ36" s="24"/>
      <c r="BIA36" s="24"/>
      <c r="BIB36" s="24"/>
      <c r="BIC36" s="119"/>
      <c r="BID36" s="24"/>
      <c r="BIE36" s="24"/>
      <c r="BIF36" s="24"/>
      <c r="BIG36" s="24"/>
      <c r="BIH36" s="24"/>
      <c r="BII36" s="58"/>
      <c r="BIJ36" s="24"/>
      <c r="BIK36" s="24"/>
      <c r="BIL36" s="24"/>
      <c r="BIM36" s="24"/>
      <c r="BIN36" s="24"/>
      <c r="BIO36" s="119"/>
      <c r="BIP36" s="24"/>
      <c r="BIQ36" s="24"/>
      <c r="BIR36" s="24"/>
      <c r="BIS36" s="24"/>
      <c r="BIT36" s="24"/>
      <c r="BIU36" s="58"/>
      <c r="BIV36" s="24"/>
      <c r="BIW36" s="24"/>
      <c r="BIX36" s="24"/>
      <c r="BIY36" s="24"/>
      <c r="BIZ36" s="24"/>
      <c r="BJA36" s="119"/>
      <c r="BJB36" s="24"/>
      <c r="BJC36" s="24"/>
      <c r="BJD36" s="24"/>
      <c r="BJE36" s="24"/>
      <c r="BJF36" s="24"/>
      <c r="BJG36" s="58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14"/>
      <c r="BJT36" s="24"/>
      <c r="BJU36" s="24"/>
      <c r="BJV36" s="24"/>
      <c r="BJW36" s="24"/>
      <c r="BJX36" s="24"/>
      <c r="BJY36" s="119"/>
      <c r="BJZ36" s="24"/>
      <c r="BKA36" s="24"/>
      <c r="BKB36" s="24"/>
      <c r="BKC36" s="24"/>
      <c r="BKD36" s="24"/>
      <c r="BKE36" s="58"/>
      <c r="BKF36" s="24"/>
      <c r="BKG36" s="24"/>
      <c r="BKH36" s="24"/>
      <c r="BKI36" s="24"/>
      <c r="BKJ36" s="24"/>
      <c r="BKK36" s="119"/>
      <c r="BKL36" s="24"/>
      <c r="BKM36" s="24"/>
      <c r="BKN36" s="24"/>
      <c r="BKO36" s="24"/>
      <c r="BKP36" s="24"/>
      <c r="BKQ36" s="58"/>
      <c r="BKR36" s="24"/>
      <c r="BKS36" s="24"/>
      <c r="BKT36" s="24"/>
      <c r="BKU36" s="24"/>
      <c r="BKV36" s="24"/>
      <c r="BKW36" s="119"/>
      <c r="BKX36" s="24"/>
      <c r="BKY36" s="24"/>
      <c r="BKZ36" s="24"/>
      <c r="BLA36" s="24"/>
      <c r="BLB36" s="24"/>
      <c r="BLC36" s="58"/>
      <c r="BLD36" s="24"/>
      <c r="BLE36" s="24"/>
      <c r="BLF36" s="24"/>
      <c r="BLG36" s="24"/>
      <c r="BLH36" s="24"/>
      <c r="BLI36" s="119"/>
      <c r="BLJ36" s="24"/>
      <c r="BLK36" s="24"/>
      <c r="BLL36" s="24"/>
      <c r="BLM36" s="24"/>
      <c r="BLN36" s="24"/>
      <c r="BLO36" s="58"/>
      <c r="BLP36" s="24"/>
      <c r="BLQ36" s="24"/>
      <c r="BLR36" s="24"/>
      <c r="BLS36" s="24"/>
      <c r="BLT36" s="24"/>
      <c r="BLU36" s="25"/>
      <c r="BLV36" s="23"/>
      <c r="BLW36" s="24"/>
      <c r="BLX36" s="24"/>
      <c r="BLY36" s="24"/>
      <c r="BLZ36" s="24"/>
      <c r="BMA36" s="114"/>
      <c r="BMB36" s="24"/>
      <c r="BMC36" s="24"/>
      <c r="BMD36" s="24"/>
      <c r="BME36" s="24"/>
      <c r="BMF36" s="24"/>
      <c r="BMG36" s="119"/>
      <c r="BMH36" s="24"/>
      <c r="BMI36" s="24"/>
      <c r="BMJ36" s="24"/>
      <c r="BMK36" s="24"/>
      <c r="BML36" s="24"/>
      <c r="BMM36" s="58"/>
      <c r="BMN36" s="24"/>
      <c r="BMO36" s="24"/>
      <c r="BMP36" s="24"/>
      <c r="BMQ36" s="24"/>
      <c r="BMR36" s="24"/>
      <c r="BMS36" s="119"/>
      <c r="BMT36" s="24"/>
      <c r="BMU36" s="24"/>
      <c r="BMV36" s="24"/>
      <c r="BMW36" s="24"/>
      <c r="BMX36" s="24"/>
      <c r="BMY36" s="58"/>
      <c r="BMZ36" s="24"/>
      <c r="BNA36" s="24"/>
      <c r="BNB36" s="24"/>
      <c r="BNC36" s="24"/>
      <c r="BND36" s="24"/>
      <c r="BNE36" s="119"/>
      <c r="BNF36" s="24"/>
      <c r="BNG36" s="24"/>
      <c r="BNH36" s="24"/>
      <c r="BNI36" s="24"/>
      <c r="BNJ36" s="24"/>
      <c r="BNK36" s="58"/>
      <c r="BNL36" s="24"/>
      <c r="BNM36" s="24"/>
      <c r="BNN36" s="24"/>
      <c r="BNO36" s="24"/>
      <c r="BNP36" s="24"/>
      <c r="BNQ36" s="119"/>
      <c r="BNR36" s="24"/>
      <c r="BNS36" s="24"/>
      <c r="BNT36" s="24"/>
      <c r="BNU36" s="24"/>
      <c r="BNV36" s="24"/>
      <c r="BNW36" s="58"/>
      <c r="BNX36" s="24"/>
      <c r="BNY36" s="24"/>
      <c r="BNZ36" s="24"/>
      <c r="BOA36" s="24"/>
      <c r="BOB36" s="24"/>
      <c r="BOC36" s="25"/>
      <c r="BOD36" s="23"/>
      <c r="BOE36" s="24"/>
      <c r="BOF36" s="24"/>
      <c r="BOG36" s="24"/>
      <c r="BOH36" s="24"/>
      <c r="BOI36" s="114"/>
      <c r="BOJ36" s="24"/>
      <c r="BOK36" s="24"/>
      <c r="BOL36" s="24"/>
      <c r="BOM36" s="24"/>
      <c r="BON36" s="24"/>
      <c r="BOO36" s="119"/>
      <c r="BOP36" s="24"/>
      <c r="BOQ36" s="24"/>
      <c r="BOR36" s="24"/>
      <c r="BOS36" s="24"/>
      <c r="BOT36" s="24"/>
      <c r="BOU36" s="58"/>
      <c r="BOV36" s="24"/>
      <c r="BOW36" s="24"/>
      <c r="BOX36" s="24"/>
      <c r="BOY36" s="24"/>
      <c r="BOZ36" s="24"/>
      <c r="BPA36" s="119"/>
      <c r="BPB36" s="24"/>
      <c r="BPC36" s="24"/>
      <c r="BPD36" s="24"/>
      <c r="BPE36" s="24"/>
      <c r="BPF36" s="24"/>
      <c r="BPG36" s="58"/>
      <c r="BPH36" s="24"/>
      <c r="BPI36" s="24"/>
      <c r="BPJ36" s="24"/>
      <c r="BPK36" s="24"/>
      <c r="BPL36" s="24"/>
      <c r="BPM36" s="119"/>
      <c r="BPN36" s="24"/>
      <c r="BPO36" s="24"/>
      <c r="BPP36" s="24"/>
      <c r="BPQ36" s="24"/>
      <c r="BPR36" s="24"/>
      <c r="BPS36" s="58"/>
      <c r="BPT36" s="24"/>
      <c r="BPU36" s="24"/>
      <c r="BPV36" s="24"/>
      <c r="BPW36" s="24"/>
      <c r="BPX36" s="24"/>
      <c r="BPY36" s="119"/>
      <c r="BPZ36" s="24"/>
      <c r="BQA36" s="24"/>
      <c r="BQB36" s="24"/>
      <c r="BQC36" s="24"/>
      <c r="BQD36" s="24"/>
      <c r="BQE36" s="58"/>
      <c r="BQF36" s="24"/>
      <c r="BQG36" s="24"/>
      <c r="BQH36" s="24"/>
      <c r="BQI36" s="24"/>
      <c r="BQJ36" s="24"/>
      <c r="BQK36" s="25"/>
      <c r="BQL36" s="23"/>
      <c r="BQM36" s="24"/>
      <c r="BQN36" s="24"/>
      <c r="BQO36" s="24"/>
      <c r="BQP36" s="24"/>
      <c r="BQQ36" s="114"/>
      <c r="BQR36" s="24"/>
      <c r="BQS36" s="24"/>
      <c r="BQT36" s="24"/>
      <c r="BQU36" s="24"/>
      <c r="BQV36" s="24"/>
      <c r="BQW36" s="119"/>
      <c r="BQX36" s="24"/>
      <c r="BQY36" s="24"/>
      <c r="BQZ36" s="24"/>
      <c r="BRA36" s="24"/>
      <c r="BRB36" s="24"/>
      <c r="BRC36" s="58"/>
      <c r="BRD36" s="24"/>
      <c r="BRE36" s="24"/>
      <c r="BRF36" s="24"/>
      <c r="BRG36" s="24"/>
      <c r="BRH36" s="24"/>
      <c r="BRI36" s="119"/>
      <c r="BRJ36" s="24"/>
      <c r="BRK36" s="24"/>
      <c r="BRL36" s="24"/>
      <c r="BRM36" s="24"/>
      <c r="BRN36" s="24"/>
      <c r="BRO36" s="58"/>
      <c r="BRP36" s="24"/>
      <c r="BRQ36" s="24"/>
      <c r="BRR36" s="24"/>
      <c r="BRS36" s="24"/>
      <c r="BRT36" s="24"/>
      <c r="BRU36" s="119"/>
      <c r="BRV36" s="24"/>
      <c r="BRW36" s="24"/>
      <c r="BRX36" s="24"/>
      <c r="BRY36" s="24"/>
      <c r="BRZ36" s="24"/>
      <c r="BSA36" s="58"/>
      <c r="BSB36" s="24"/>
      <c r="BSC36" s="24"/>
      <c r="BSD36" s="24"/>
      <c r="BSE36" s="24"/>
      <c r="BSF36" s="24"/>
      <c r="BSG36" s="119"/>
      <c r="BSH36" s="24"/>
      <c r="BSI36" s="24"/>
      <c r="BSJ36" s="24"/>
      <c r="BSK36" s="24"/>
      <c r="BSL36" s="24"/>
      <c r="BSM36" s="58"/>
      <c r="BSN36" s="24"/>
      <c r="BSO36" s="24"/>
      <c r="BSP36" s="24"/>
      <c r="BSQ36" s="24"/>
      <c r="BSR36" s="24"/>
      <c r="BSS36" s="25"/>
      <c r="BST36" s="23"/>
      <c r="BSU36" s="24"/>
      <c r="BSV36" s="24"/>
      <c r="BSW36" s="24"/>
      <c r="BSX36" s="24"/>
      <c r="BSY36" s="114"/>
      <c r="BSZ36" s="24"/>
      <c r="BTA36" s="24"/>
      <c r="BTB36" s="24"/>
      <c r="BTC36" s="24"/>
      <c r="BTD36" s="24"/>
      <c r="BTE36" s="119"/>
      <c r="BTF36" s="24"/>
      <c r="BTG36" s="24"/>
      <c r="BTH36" s="24"/>
      <c r="BTI36" s="24"/>
      <c r="BTJ36" s="24"/>
      <c r="BTK36" s="58"/>
      <c r="BTL36" s="24"/>
      <c r="BTM36" s="24"/>
      <c r="BTN36" s="24"/>
      <c r="BTO36" s="24"/>
      <c r="BTP36" s="24"/>
      <c r="BTQ36" s="119"/>
      <c r="BTR36" s="24"/>
      <c r="BTS36" s="24"/>
      <c r="BTT36" s="24"/>
      <c r="BTU36" s="24"/>
      <c r="BTV36" s="24"/>
      <c r="BTW36" s="58"/>
      <c r="BTX36" s="24"/>
      <c r="BTY36" s="24"/>
      <c r="BTZ36" s="24"/>
      <c r="BUA36" s="24"/>
      <c r="BUB36" s="24"/>
      <c r="BUC36" s="119"/>
      <c r="BUD36" s="24"/>
      <c r="BUE36" s="24"/>
      <c r="BUF36" s="24"/>
      <c r="BUG36" s="24"/>
      <c r="BUH36" s="24"/>
      <c r="BUI36" s="58"/>
      <c r="BUJ36" s="24"/>
      <c r="BUK36" s="24"/>
      <c r="BUL36" s="24"/>
      <c r="BUM36" s="24"/>
      <c r="BUN36" s="24"/>
      <c r="BUO36" s="119"/>
      <c r="BUP36" s="24"/>
      <c r="BUQ36" s="24"/>
      <c r="BUR36" s="24"/>
      <c r="BUS36" s="24"/>
      <c r="BUT36" s="24"/>
      <c r="BUU36" s="58"/>
      <c r="BUV36" s="24"/>
      <c r="BUW36" s="24"/>
      <c r="BUX36" s="24"/>
      <c r="BUY36" s="24"/>
      <c r="BUZ36" s="24"/>
      <c r="BVA36" s="25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74" t="s">
        <v>111</v>
      </c>
      <c r="D37" s="129" t="str">
        <f t="shared" si="0"/>
        <v>1h10min</v>
      </c>
      <c r="E37" s="26">
        <v>14</v>
      </c>
      <c r="F37" s="27"/>
      <c r="G37" s="28"/>
      <c r="H37" s="28"/>
      <c r="I37" s="28"/>
      <c r="J37" s="28"/>
      <c r="K37" s="115"/>
      <c r="L37" s="28"/>
      <c r="M37" s="28"/>
      <c r="N37" s="152"/>
      <c r="O37" s="152"/>
      <c r="P37" s="152"/>
      <c r="Q37" s="154"/>
      <c r="R37" s="152"/>
      <c r="S37" s="152"/>
      <c r="T37" s="152"/>
      <c r="U37" s="152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152"/>
      <c r="BIC37" s="154"/>
      <c r="BID37" s="152"/>
      <c r="BIE37" s="152"/>
      <c r="BIF37" s="152"/>
      <c r="BIG37" s="152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27"/>
      <c r="BJO37" s="28"/>
      <c r="BJP37" s="28"/>
      <c r="BJQ37" s="28"/>
      <c r="BJR37" s="28"/>
      <c r="BJS37" s="115"/>
      <c r="BJT37" s="28"/>
      <c r="BJU37" s="28"/>
      <c r="BJV37" s="28"/>
      <c r="BJW37" s="28"/>
      <c r="BJX37" s="28"/>
      <c r="BJY37" s="120"/>
      <c r="BJZ37" s="28"/>
      <c r="BKA37" s="28"/>
      <c r="BKB37" s="28"/>
      <c r="BKC37" s="28"/>
      <c r="BKD37" s="28"/>
      <c r="BKE37" s="59"/>
      <c r="BKF37" s="28"/>
      <c r="BKG37" s="28"/>
      <c r="BKH37" s="28"/>
      <c r="BKI37" s="28"/>
      <c r="BKJ37" s="28"/>
      <c r="BKK37" s="120"/>
      <c r="BKL37" s="28"/>
      <c r="BKM37" s="28"/>
      <c r="BKN37" s="28"/>
      <c r="BKO37" s="28"/>
      <c r="BKP37" s="28"/>
      <c r="BKQ37" s="59"/>
      <c r="BKR37" s="28"/>
      <c r="BKS37" s="28"/>
      <c r="BKT37" s="28"/>
      <c r="BKU37" s="28"/>
      <c r="BKV37" s="28"/>
      <c r="BKW37" s="120"/>
      <c r="BKX37" s="28"/>
      <c r="BKY37" s="28"/>
      <c r="BKZ37" s="28"/>
      <c r="BLA37" s="28"/>
      <c r="BLB37" s="28"/>
      <c r="BLC37" s="59"/>
      <c r="BLD37" s="28"/>
      <c r="BLE37" s="28"/>
      <c r="BLF37" s="28"/>
      <c r="BLG37" s="28"/>
      <c r="BLH37" s="28"/>
      <c r="BLI37" s="120"/>
      <c r="BLJ37" s="28"/>
      <c r="BLK37" s="28"/>
      <c r="BLL37" s="28"/>
      <c r="BLM37" s="28"/>
      <c r="BLN37" s="28"/>
      <c r="BLO37" s="59"/>
      <c r="BLP37" s="28"/>
      <c r="BLQ37" s="28"/>
      <c r="BLR37" s="28"/>
      <c r="BLS37" s="28"/>
      <c r="BLT37" s="28"/>
      <c r="BLU37" s="29"/>
      <c r="BLV37" s="27"/>
      <c r="BLW37" s="28"/>
      <c r="BLX37" s="28"/>
      <c r="BLY37" s="28"/>
      <c r="BLZ37" s="28"/>
      <c r="BMA37" s="115"/>
      <c r="BMB37" s="28"/>
      <c r="BMC37" s="28"/>
      <c r="BMD37" s="28"/>
      <c r="BME37" s="28"/>
      <c r="BMF37" s="28"/>
      <c r="BMG37" s="120"/>
      <c r="BMH37" s="28"/>
      <c r="BMI37" s="28"/>
      <c r="BMJ37" s="28"/>
      <c r="BMK37" s="28"/>
      <c r="BML37" s="28"/>
      <c r="BMM37" s="59"/>
      <c r="BMN37" s="28"/>
      <c r="BMO37" s="28"/>
      <c r="BMP37" s="28"/>
      <c r="BMQ37" s="28"/>
      <c r="BMR37" s="28"/>
      <c r="BMS37" s="120"/>
      <c r="BMT37" s="28"/>
      <c r="BMU37" s="28"/>
      <c r="BMV37" s="28"/>
      <c r="BMW37" s="28"/>
      <c r="BMX37" s="28"/>
      <c r="BMY37" s="59"/>
      <c r="BMZ37" s="28"/>
      <c r="BNA37" s="28"/>
      <c r="BNB37" s="28"/>
      <c r="BNC37" s="28"/>
      <c r="BND37" s="28"/>
      <c r="BNE37" s="120"/>
      <c r="BNF37" s="28"/>
      <c r="BNG37" s="28"/>
      <c r="BNH37" s="28"/>
      <c r="BNI37" s="28"/>
      <c r="BNJ37" s="28"/>
      <c r="BNK37" s="59"/>
      <c r="BNL37" s="28"/>
      <c r="BNM37" s="28"/>
      <c r="BNN37" s="28"/>
      <c r="BNO37" s="28"/>
      <c r="BNP37" s="28"/>
      <c r="BNQ37" s="120"/>
      <c r="BNR37" s="28"/>
      <c r="BNS37" s="28"/>
      <c r="BNT37" s="28"/>
      <c r="BNU37" s="28"/>
      <c r="BNV37" s="28"/>
      <c r="BNW37" s="59"/>
      <c r="BNX37" s="28"/>
      <c r="BNY37" s="28"/>
      <c r="BNZ37" s="28"/>
      <c r="BOA37" s="28"/>
      <c r="BOB37" s="28"/>
      <c r="BOC37" s="29"/>
      <c r="BOD37" s="27"/>
      <c r="BOE37" s="28"/>
      <c r="BOF37" s="28"/>
      <c r="BOG37" s="28"/>
      <c r="BOH37" s="28"/>
      <c r="BOI37" s="115"/>
      <c r="BOJ37" s="28"/>
      <c r="BOK37" s="28"/>
      <c r="BOL37" s="28"/>
      <c r="BOM37" s="28"/>
      <c r="BON37" s="28"/>
      <c r="BOO37" s="120"/>
      <c r="BOP37" s="28"/>
      <c r="BOQ37" s="28"/>
      <c r="BOR37" s="28"/>
      <c r="BOS37" s="28"/>
      <c r="BOT37" s="28"/>
      <c r="BOU37" s="59"/>
      <c r="BOV37" s="28"/>
      <c r="BOW37" s="28"/>
      <c r="BOX37" s="28"/>
      <c r="BOY37" s="28"/>
      <c r="BOZ37" s="28"/>
      <c r="BPA37" s="120"/>
      <c r="BPB37" s="28"/>
      <c r="BPC37" s="28"/>
      <c r="BPD37" s="28"/>
      <c r="BPE37" s="28"/>
      <c r="BPF37" s="28"/>
      <c r="BPG37" s="59"/>
      <c r="BPH37" s="28"/>
      <c r="BPI37" s="28"/>
      <c r="BPJ37" s="28"/>
      <c r="BPK37" s="28"/>
      <c r="BPL37" s="28"/>
      <c r="BPM37" s="120"/>
      <c r="BPN37" s="28"/>
      <c r="BPO37" s="28"/>
      <c r="BPP37" s="28"/>
      <c r="BPQ37" s="28"/>
      <c r="BPR37" s="28"/>
      <c r="BPS37" s="59"/>
      <c r="BPT37" s="28"/>
      <c r="BPU37" s="28"/>
      <c r="BPV37" s="28"/>
      <c r="BPW37" s="28"/>
      <c r="BPX37" s="28"/>
      <c r="BPY37" s="120"/>
      <c r="BPZ37" s="28"/>
      <c r="BQA37" s="28"/>
      <c r="BQB37" s="28"/>
      <c r="BQC37" s="28"/>
      <c r="BQD37" s="28"/>
      <c r="BQE37" s="59"/>
      <c r="BQF37" s="28"/>
      <c r="BQG37" s="28"/>
      <c r="BQH37" s="28"/>
      <c r="BQI37" s="28"/>
      <c r="BQJ37" s="28"/>
      <c r="BQK37" s="29"/>
      <c r="BQL37" s="27"/>
      <c r="BQM37" s="28"/>
      <c r="BQN37" s="28"/>
      <c r="BQO37" s="28"/>
      <c r="BQP37" s="28"/>
      <c r="BQQ37" s="115"/>
      <c r="BQR37" s="28"/>
      <c r="BQS37" s="28"/>
      <c r="BQT37" s="28"/>
      <c r="BQU37" s="28"/>
      <c r="BQV37" s="28"/>
      <c r="BQW37" s="120"/>
      <c r="BQX37" s="28"/>
      <c r="BQY37" s="28"/>
      <c r="BQZ37" s="28"/>
      <c r="BRA37" s="28"/>
      <c r="BRB37" s="28"/>
      <c r="BRC37" s="59"/>
      <c r="BRD37" s="28"/>
      <c r="BRE37" s="28"/>
      <c r="BRF37" s="28"/>
      <c r="BRG37" s="28"/>
      <c r="BRH37" s="28"/>
      <c r="BRI37" s="120"/>
      <c r="BRJ37" s="28"/>
      <c r="BRK37" s="28"/>
      <c r="BRL37" s="28"/>
      <c r="BRM37" s="28"/>
      <c r="BRN37" s="28"/>
      <c r="BRO37" s="59"/>
      <c r="BRP37" s="28"/>
      <c r="BRQ37" s="28"/>
      <c r="BRR37" s="28"/>
      <c r="BRS37" s="28"/>
      <c r="BRT37" s="28"/>
      <c r="BRU37" s="120"/>
      <c r="BRV37" s="28"/>
      <c r="BRW37" s="28"/>
      <c r="BRX37" s="28"/>
      <c r="BRY37" s="28"/>
      <c r="BRZ37" s="28"/>
      <c r="BSA37" s="59"/>
      <c r="BSB37" s="28"/>
      <c r="BSC37" s="28"/>
      <c r="BSD37" s="28"/>
      <c r="BSE37" s="28"/>
      <c r="BSF37" s="28"/>
      <c r="BSG37" s="120"/>
      <c r="BSH37" s="28"/>
      <c r="BSI37" s="28"/>
      <c r="BSJ37" s="28"/>
      <c r="BSK37" s="28"/>
      <c r="BSL37" s="28"/>
      <c r="BSM37" s="59"/>
      <c r="BSN37" s="28"/>
      <c r="BSO37" s="28"/>
      <c r="BSP37" s="28"/>
      <c r="BSQ37" s="28"/>
      <c r="BSR37" s="28"/>
      <c r="BSS37" s="29"/>
      <c r="BST37" s="27"/>
      <c r="BSU37" s="28"/>
      <c r="BSV37" s="28"/>
      <c r="BSW37" s="28"/>
      <c r="BSX37" s="28"/>
      <c r="BSY37" s="115"/>
      <c r="BSZ37" s="28"/>
      <c r="BTA37" s="28"/>
      <c r="BTB37" s="28"/>
      <c r="BTC37" s="28"/>
      <c r="BTD37" s="28"/>
      <c r="BTE37" s="120"/>
      <c r="BTF37" s="28"/>
      <c r="BTG37" s="28"/>
      <c r="BTH37" s="28"/>
      <c r="BTI37" s="28"/>
      <c r="BTJ37" s="28"/>
      <c r="BTK37" s="59"/>
      <c r="BTL37" s="28"/>
      <c r="BTM37" s="28"/>
      <c r="BTN37" s="28"/>
      <c r="BTO37" s="28"/>
      <c r="BTP37" s="28"/>
      <c r="BTQ37" s="120"/>
      <c r="BTR37" s="28"/>
      <c r="BTS37" s="28"/>
      <c r="BTT37" s="28"/>
      <c r="BTU37" s="28"/>
      <c r="BTV37" s="28"/>
      <c r="BTW37" s="59"/>
      <c r="BTX37" s="28"/>
      <c r="BTY37" s="28"/>
      <c r="BTZ37" s="28"/>
      <c r="BUA37" s="28"/>
      <c r="BUB37" s="28"/>
      <c r="BUC37" s="120"/>
      <c r="BUD37" s="28"/>
      <c r="BUE37" s="28"/>
      <c r="BUF37" s="28"/>
      <c r="BUG37" s="28"/>
      <c r="BUH37" s="28"/>
      <c r="BUI37" s="59"/>
      <c r="BUJ37" s="28"/>
      <c r="BUK37" s="28"/>
      <c r="BUL37" s="28"/>
      <c r="BUM37" s="28"/>
      <c r="BUN37" s="28"/>
      <c r="BUO37" s="120"/>
      <c r="BUP37" s="28"/>
      <c r="BUQ37" s="28"/>
      <c r="BUR37" s="28"/>
      <c r="BUS37" s="28"/>
      <c r="BUT37" s="28"/>
      <c r="BUU37" s="59"/>
      <c r="BUV37" s="28"/>
      <c r="BUW37" s="28"/>
      <c r="BUX37" s="28"/>
      <c r="BUY37" s="28"/>
      <c r="BUZ37" s="28"/>
      <c r="BVA37" s="29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82"/>
      <c r="D38" s="131" t="str">
        <f t="shared" si="0"/>
        <v>0h35min</v>
      </c>
      <c r="E38" s="30">
        <v>7</v>
      </c>
      <c r="F38" s="31"/>
      <c r="G38" s="32"/>
      <c r="H38" s="32"/>
      <c r="I38" s="32"/>
      <c r="J38" s="32"/>
      <c r="K38" s="116"/>
      <c r="L38" s="32"/>
      <c r="M38" s="32"/>
      <c r="N38" s="164"/>
      <c r="O38" s="164"/>
      <c r="P38" s="164"/>
      <c r="Q38" s="166"/>
      <c r="R38" s="164"/>
      <c r="S38" s="164"/>
      <c r="T38" s="164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16"/>
      <c r="BHL38" s="32"/>
      <c r="BHM38" s="32"/>
      <c r="BHN38" s="32"/>
      <c r="BHO38" s="32"/>
      <c r="BHP38" s="32"/>
      <c r="BHQ38" s="121"/>
      <c r="BHR38" s="32"/>
      <c r="BHS38" s="32"/>
      <c r="BHT38" s="32"/>
      <c r="BHU38" s="32"/>
      <c r="BHV38" s="32"/>
      <c r="BHW38" s="60"/>
      <c r="BHX38" s="32"/>
      <c r="BHY38" s="32"/>
      <c r="BHZ38" s="32"/>
      <c r="BIA38" s="32"/>
      <c r="BIB38" s="32"/>
      <c r="BIC38" s="121"/>
      <c r="BID38" s="32"/>
      <c r="BIE38" s="32"/>
      <c r="BIF38" s="32"/>
      <c r="BIG38" s="32"/>
      <c r="BIH38" s="32"/>
      <c r="BII38" s="60"/>
      <c r="BIJ38" s="32"/>
      <c r="BIK38" s="32"/>
      <c r="BIL38" s="32"/>
      <c r="BIM38" s="32"/>
      <c r="BIN38" s="32"/>
      <c r="BIO38" s="121"/>
      <c r="BIP38" s="32"/>
      <c r="BIQ38" s="32"/>
      <c r="BIR38" s="32"/>
      <c r="BIS38" s="32"/>
      <c r="BIT38" s="32"/>
      <c r="BIU38" s="60"/>
      <c r="BIV38" s="32"/>
      <c r="BIW38" s="32"/>
      <c r="BIX38" s="32"/>
      <c r="BIY38" s="32"/>
      <c r="BIZ38" s="32"/>
      <c r="BJA38" s="121"/>
      <c r="BJB38" s="32"/>
      <c r="BJC38" s="32"/>
      <c r="BJD38" s="32"/>
      <c r="BJE38" s="32"/>
      <c r="BJF38" s="32"/>
      <c r="BJG38" s="60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16"/>
      <c r="BJT38" s="32"/>
      <c r="BJU38" s="32"/>
      <c r="BJV38" s="32"/>
      <c r="BJW38" s="32"/>
      <c r="BJX38" s="32"/>
      <c r="BJY38" s="121"/>
      <c r="BJZ38" s="32"/>
      <c r="BKA38" s="32"/>
      <c r="BKB38" s="32"/>
      <c r="BKC38" s="32"/>
      <c r="BKD38" s="32"/>
      <c r="BKE38" s="60"/>
      <c r="BKF38" s="32"/>
      <c r="BKG38" s="32"/>
      <c r="BKH38" s="32"/>
      <c r="BKI38" s="32"/>
      <c r="BKJ38" s="32"/>
      <c r="BKK38" s="121"/>
      <c r="BKL38" s="32"/>
      <c r="BKM38" s="32"/>
      <c r="BKN38" s="32"/>
      <c r="BKO38" s="32"/>
      <c r="BKP38" s="32"/>
      <c r="BKQ38" s="60"/>
      <c r="BKR38" s="32"/>
      <c r="BKS38" s="32"/>
      <c r="BKT38" s="32"/>
      <c r="BKU38" s="32"/>
      <c r="BKV38" s="32"/>
      <c r="BKW38" s="121"/>
      <c r="BKX38" s="32"/>
      <c r="BKY38" s="32"/>
      <c r="BKZ38" s="32"/>
      <c r="BLA38" s="32"/>
      <c r="BLB38" s="32"/>
      <c r="BLC38" s="60"/>
      <c r="BLD38" s="32"/>
      <c r="BLE38" s="32"/>
      <c r="BLF38" s="32"/>
      <c r="BLG38" s="32"/>
      <c r="BLH38" s="32"/>
      <c r="BLI38" s="121"/>
      <c r="BLJ38" s="32"/>
      <c r="BLK38" s="32"/>
      <c r="BLL38" s="32"/>
      <c r="BLM38" s="32"/>
      <c r="BLN38" s="32"/>
      <c r="BLO38" s="60"/>
      <c r="BLP38" s="32"/>
      <c r="BLQ38" s="32"/>
      <c r="BLR38" s="32"/>
      <c r="BLS38" s="32"/>
      <c r="BLT38" s="32"/>
      <c r="BLU38" s="33"/>
      <c r="BLV38" s="31"/>
      <c r="BLW38" s="32"/>
      <c r="BLX38" s="32"/>
      <c r="BLY38" s="32"/>
      <c r="BLZ38" s="32"/>
      <c r="BMA38" s="116"/>
      <c r="BMB38" s="32"/>
      <c r="BMC38" s="32"/>
      <c r="BMD38" s="32"/>
      <c r="BME38" s="32"/>
      <c r="BMF38" s="32"/>
      <c r="BMG38" s="121"/>
      <c r="BMH38" s="32"/>
      <c r="BMI38" s="32"/>
      <c r="BMJ38" s="32"/>
      <c r="BMK38" s="32"/>
      <c r="BML38" s="32"/>
      <c r="BMM38" s="60"/>
      <c r="BMN38" s="32"/>
      <c r="BMO38" s="32"/>
      <c r="BMP38" s="32"/>
      <c r="BMQ38" s="32"/>
      <c r="BMR38" s="32"/>
      <c r="BMS38" s="121"/>
      <c r="BMT38" s="32"/>
      <c r="BMU38" s="32"/>
      <c r="BMV38" s="32"/>
      <c r="BMW38" s="32"/>
      <c r="BMX38" s="32"/>
      <c r="BMY38" s="60"/>
      <c r="BMZ38" s="32"/>
      <c r="BNA38" s="32"/>
      <c r="BNB38" s="32"/>
      <c r="BNC38" s="32"/>
      <c r="BND38" s="32"/>
      <c r="BNE38" s="121"/>
      <c r="BNF38" s="32"/>
      <c r="BNG38" s="32"/>
      <c r="BNH38" s="32"/>
      <c r="BNI38" s="32"/>
      <c r="BNJ38" s="32"/>
      <c r="BNK38" s="60"/>
      <c r="BNL38" s="32"/>
      <c r="BNM38" s="32"/>
      <c r="BNN38" s="32"/>
      <c r="BNO38" s="32"/>
      <c r="BNP38" s="32"/>
      <c r="BNQ38" s="121"/>
      <c r="BNR38" s="32"/>
      <c r="BNS38" s="32"/>
      <c r="BNT38" s="32"/>
      <c r="BNU38" s="32"/>
      <c r="BNV38" s="32"/>
      <c r="BNW38" s="60"/>
      <c r="BNX38" s="32"/>
      <c r="BNY38" s="32"/>
      <c r="BNZ38" s="32"/>
      <c r="BOA38" s="32"/>
      <c r="BOB38" s="32"/>
      <c r="BOC38" s="33"/>
      <c r="BOD38" s="31"/>
      <c r="BOE38" s="32"/>
      <c r="BOF38" s="32"/>
      <c r="BOG38" s="32"/>
      <c r="BOH38" s="32"/>
      <c r="BOI38" s="116"/>
      <c r="BOJ38" s="32"/>
      <c r="BOK38" s="32"/>
      <c r="BOL38" s="32"/>
      <c r="BOM38" s="32"/>
      <c r="BON38" s="32"/>
      <c r="BOO38" s="121"/>
      <c r="BOP38" s="32"/>
      <c r="BOQ38" s="32"/>
      <c r="BOR38" s="32"/>
      <c r="BOS38" s="32"/>
      <c r="BOT38" s="32"/>
      <c r="BOU38" s="60"/>
      <c r="BOV38" s="32"/>
      <c r="BOW38" s="32"/>
      <c r="BOX38" s="32"/>
      <c r="BOY38" s="32"/>
      <c r="BOZ38" s="32"/>
      <c r="BPA38" s="121"/>
      <c r="BPB38" s="32"/>
      <c r="BPC38" s="32"/>
      <c r="BPD38" s="32"/>
      <c r="BPE38" s="32"/>
      <c r="BPF38" s="32"/>
      <c r="BPG38" s="60"/>
      <c r="BPH38" s="32"/>
      <c r="BPI38" s="32"/>
      <c r="BPJ38" s="32"/>
      <c r="BPK38" s="32"/>
      <c r="BPL38" s="32"/>
      <c r="BPM38" s="121"/>
      <c r="BPN38" s="32"/>
      <c r="BPO38" s="32"/>
      <c r="BPP38" s="32"/>
      <c r="BPQ38" s="32"/>
      <c r="BPR38" s="32"/>
      <c r="BPS38" s="60"/>
      <c r="BPT38" s="32"/>
      <c r="BPU38" s="32"/>
      <c r="BPV38" s="32"/>
      <c r="BPW38" s="32"/>
      <c r="BPX38" s="32"/>
      <c r="BPY38" s="121"/>
      <c r="BPZ38" s="32"/>
      <c r="BQA38" s="32"/>
      <c r="BQB38" s="32"/>
      <c r="BQC38" s="32"/>
      <c r="BQD38" s="32"/>
      <c r="BQE38" s="60"/>
      <c r="BQF38" s="32"/>
      <c r="BQG38" s="32"/>
      <c r="BQH38" s="32"/>
      <c r="BQI38" s="32"/>
      <c r="BQJ38" s="32"/>
      <c r="BQK38" s="33"/>
      <c r="BQL38" s="31"/>
      <c r="BQM38" s="32"/>
      <c r="BQN38" s="32"/>
      <c r="BQO38" s="32"/>
      <c r="BQP38" s="32"/>
      <c r="BQQ38" s="116"/>
      <c r="BQR38" s="32"/>
      <c r="BQS38" s="32"/>
      <c r="BQT38" s="32"/>
      <c r="BQU38" s="32"/>
      <c r="BQV38" s="32"/>
      <c r="BQW38" s="121"/>
      <c r="BQX38" s="32"/>
      <c r="BQY38" s="32"/>
      <c r="BQZ38" s="32"/>
      <c r="BRA38" s="32"/>
      <c r="BRB38" s="32"/>
      <c r="BRC38" s="60"/>
      <c r="BRD38" s="32"/>
      <c r="BRE38" s="32"/>
      <c r="BRF38" s="32"/>
      <c r="BRG38" s="32"/>
      <c r="BRH38" s="32"/>
      <c r="BRI38" s="121"/>
      <c r="BRJ38" s="32"/>
      <c r="BRK38" s="32"/>
      <c r="BRL38" s="32"/>
      <c r="BRM38" s="32"/>
      <c r="BRN38" s="32"/>
      <c r="BRO38" s="60"/>
      <c r="BRP38" s="32"/>
      <c r="BRQ38" s="32"/>
      <c r="BRR38" s="32"/>
      <c r="BRS38" s="32"/>
      <c r="BRT38" s="32"/>
      <c r="BRU38" s="121"/>
      <c r="BRV38" s="32"/>
      <c r="BRW38" s="32"/>
      <c r="BRX38" s="32"/>
      <c r="BRY38" s="32"/>
      <c r="BRZ38" s="32"/>
      <c r="BSA38" s="60"/>
      <c r="BSB38" s="32"/>
      <c r="BSC38" s="32"/>
      <c r="BSD38" s="32"/>
      <c r="BSE38" s="32"/>
      <c r="BSF38" s="32"/>
      <c r="BSG38" s="121"/>
      <c r="BSH38" s="32"/>
      <c r="BSI38" s="32"/>
      <c r="BSJ38" s="32"/>
      <c r="BSK38" s="32"/>
      <c r="BSL38" s="32"/>
      <c r="BSM38" s="60"/>
      <c r="BSN38" s="32"/>
      <c r="BSO38" s="32"/>
      <c r="BSP38" s="32"/>
      <c r="BSQ38" s="32"/>
      <c r="BSR38" s="32"/>
      <c r="BSS38" s="33"/>
      <c r="BST38" s="31"/>
      <c r="BSU38" s="32"/>
      <c r="BSV38" s="32"/>
      <c r="BSW38" s="32"/>
      <c r="BSX38" s="32"/>
      <c r="BSY38" s="116"/>
      <c r="BSZ38" s="32"/>
      <c r="BTA38" s="32"/>
      <c r="BTB38" s="32"/>
      <c r="BTC38" s="32"/>
      <c r="BTD38" s="32"/>
      <c r="BTE38" s="121"/>
      <c r="BTF38" s="32"/>
      <c r="BTG38" s="32"/>
      <c r="BTH38" s="32"/>
      <c r="BTI38" s="32"/>
      <c r="BTJ38" s="32"/>
      <c r="BTK38" s="60"/>
      <c r="BTL38" s="32"/>
      <c r="BTM38" s="32"/>
      <c r="BTN38" s="32"/>
      <c r="BTO38" s="32"/>
      <c r="BTP38" s="32"/>
      <c r="BTQ38" s="121"/>
      <c r="BTR38" s="32"/>
      <c r="BTS38" s="32"/>
      <c r="BTT38" s="32"/>
      <c r="BTU38" s="32"/>
      <c r="BTV38" s="32"/>
      <c r="BTW38" s="60"/>
      <c r="BTX38" s="32"/>
      <c r="BTY38" s="32"/>
      <c r="BTZ38" s="32"/>
      <c r="BUA38" s="32"/>
      <c r="BUB38" s="32"/>
      <c r="BUC38" s="121"/>
      <c r="BUD38" s="32"/>
      <c r="BUE38" s="32"/>
      <c r="BUF38" s="32"/>
      <c r="BUG38" s="32"/>
      <c r="BUH38" s="32"/>
      <c r="BUI38" s="60"/>
      <c r="BUJ38" s="32"/>
      <c r="BUK38" s="32"/>
      <c r="BUL38" s="32"/>
      <c r="BUM38" s="32"/>
      <c r="BUN38" s="32"/>
      <c r="BUO38" s="121"/>
      <c r="BUP38" s="32"/>
      <c r="BUQ38" s="32"/>
      <c r="BUR38" s="32"/>
      <c r="BUS38" s="32"/>
      <c r="BUT38" s="32"/>
      <c r="BUU38" s="60"/>
      <c r="BUV38" s="32"/>
      <c r="BUW38" s="32"/>
      <c r="BUX38" s="32"/>
      <c r="BUY38" s="32"/>
      <c r="BUZ38" s="32"/>
      <c r="BVA38" s="33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74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35"/>
      <c r="BJO39" s="36"/>
      <c r="BJP39" s="36"/>
      <c r="BJQ39" s="36"/>
      <c r="BJR39" s="36"/>
      <c r="BJS39" s="117"/>
      <c r="BJT39" s="36"/>
      <c r="BJU39" s="36"/>
      <c r="BJV39" s="36"/>
      <c r="BJW39" s="36"/>
      <c r="BJX39" s="36"/>
      <c r="BJY39" s="122"/>
      <c r="BJZ39" s="36"/>
      <c r="BKA39" s="36"/>
      <c r="BKB39" s="36"/>
      <c r="BKC39" s="36"/>
      <c r="BKD39" s="36"/>
      <c r="BKE39" s="61"/>
      <c r="BKF39" s="36"/>
      <c r="BKG39" s="36"/>
      <c r="BKH39" s="36"/>
      <c r="BKI39" s="36"/>
      <c r="BKJ39" s="36"/>
      <c r="BKK39" s="122"/>
      <c r="BKL39" s="36"/>
      <c r="BKM39" s="36"/>
      <c r="BKN39" s="36"/>
      <c r="BKO39" s="36"/>
      <c r="BKP39" s="36"/>
      <c r="BKQ39" s="61"/>
      <c r="BKR39" s="36"/>
      <c r="BKS39" s="36"/>
      <c r="BKT39" s="36"/>
      <c r="BKU39" s="36"/>
      <c r="BKV39" s="36"/>
      <c r="BKW39" s="122"/>
      <c r="BKX39" s="36"/>
      <c r="BKY39" s="36"/>
      <c r="BKZ39" s="36"/>
      <c r="BLA39" s="36"/>
      <c r="BLB39" s="36"/>
      <c r="BLC39" s="61"/>
      <c r="BLD39" s="36"/>
      <c r="BLE39" s="36"/>
      <c r="BLF39" s="36"/>
      <c r="BLG39" s="36"/>
      <c r="BLH39" s="36"/>
      <c r="BLI39" s="122"/>
      <c r="BLJ39" s="36"/>
      <c r="BLK39" s="36"/>
      <c r="BLL39" s="36"/>
      <c r="BLM39" s="36"/>
      <c r="BLN39" s="36"/>
      <c r="BLO39" s="61"/>
      <c r="BLP39" s="36"/>
      <c r="BLQ39" s="36"/>
      <c r="BLR39" s="36"/>
      <c r="BLS39" s="36"/>
      <c r="BLT39" s="36"/>
      <c r="BLU39" s="37"/>
      <c r="BLV39" s="35"/>
      <c r="BLW39" s="36"/>
      <c r="BLX39" s="36"/>
      <c r="BLY39" s="36"/>
      <c r="BLZ39" s="36"/>
      <c r="BMA39" s="117"/>
      <c r="BMB39" s="36"/>
      <c r="BMC39" s="36"/>
      <c r="BMD39" s="36"/>
      <c r="BME39" s="36"/>
      <c r="BMF39" s="36"/>
      <c r="BMG39" s="122"/>
      <c r="BMH39" s="36"/>
      <c r="BMI39" s="36"/>
      <c r="BMJ39" s="36"/>
      <c r="BMK39" s="36"/>
      <c r="BML39" s="36"/>
      <c r="BMM39" s="61"/>
      <c r="BMN39" s="36"/>
      <c r="BMO39" s="36"/>
      <c r="BMP39" s="36"/>
      <c r="BMQ39" s="36"/>
      <c r="BMR39" s="36"/>
      <c r="BMS39" s="122"/>
      <c r="BMT39" s="36"/>
      <c r="BMU39" s="36"/>
      <c r="BMV39" s="36"/>
      <c r="BMW39" s="36"/>
      <c r="BMX39" s="36"/>
      <c r="BMY39" s="61"/>
      <c r="BMZ39" s="36"/>
      <c r="BNA39" s="36"/>
      <c r="BNB39" s="36"/>
      <c r="BNC39" s="36"/>
      <c r="BND39" s="36"/>
      <c r="BNE39" s="122"/>
      <c r="BNF39" s="36"/>
      <c r="BNG39" s="36"/>
      <c r="BNH39" s="36"/>
      <c r="BNI39" s="36"/>
      <c r="BNJ39" s="36"/>
      <c r="BNK39" s="61"/>
      <c r="BNL39" s="36"/>
      <c r="BNM39" s="36"/>
      <c r="BNN39" s="36"/>
      <c r="BNO39" s="36"/>
      <c r="BNP39" s="36"/>
      <c r="BNQ39" s="122"/>
      <c r="BNR39" s="36"/>
      <c r="BNS39" s="36"/>
      <c r="BNT39" s="36"/>
      <c r="BNU39" s="36"/>
      <c r="BNV39" s="36"/>
      <c r="BNW39" s="61"/>
      <c r="BNX39" s="36"/>
      <c r="BNY39" s="36"/>
      <c r="BNZ39" s="36"/>
      <c r="BOA39" s="36"/>
      <c r="BOB39" s="36"/>
      <c r="BOC39" s="37"/>
      <c r="BOD39" s="35"/>
      <c r="BOE39" s="36"/>
      <c r="BOF39" s="36"/>
      <c r="BOG39" s="36"/>
      <c r="BOH39" s="36"/>
      <c r="BOI39" s="117"/>
      <c r="BOJ39" s="36"/>
      <c r="BOK39" s="36"/>
      <c r="BOL39" s="36"/>
      <c r="BOM39" s="36"/>
      <c r="BON39" s="36"/>
      <c r="BOO39" s="122"/>
      <c r="BOP39" s="36"/>
      <c r="BOQ39" s="36"/>
      <c r="BOR39" s="36"/>
      <c r="BOS39" s="36"/>
      <c r="BOT39" s="36"/>
      <c r="BOU39" s="61"/>
      <c r="BOV39" s="36"/>
      <c r="BOW39" s="36"/>
      <c r="BOX39" s="36"/>
      <c r="BOY39" s="36"/>
      <c r="BOZ39" s="36"/>
      <c r="BPA39" s="122"/>
      <c r="BPB39" s="36"/>
      <c r="BPC39" s="36"/>
      <c r="BPD39" s="36"/>
      <c r="BPE39" s="36"/>
      <c r="BPF39" s="36"/>
      <c r="BPG39" s="61"/>
      <c r="BPH39" s="36"/>
      <c r="BPI39" s="36"/>
      <c r="BPJ39" s="36"/>
      <c r="BPK39" s="36"/>
      <c r="BPL39" s="36"/>
      <c r="BPM39" s="122"/>
      <c r="BPN39" s="36"/>
      <c r="BPO39" s="36"/>
      <c r="BPP39" s="36"/>
      <c r="BPQ39" s="36"/>
      <c r="BPR39" s="36"/>
      <c r="BPS39" s="61"/>
      <c r="BPT39" s="36"/>
      <c r="BPU39" s="36"/>
      <c r="BPV39" s="36"/>
      <c r="BPW39" s="36"/>
      <c r="BPX39" s="36"/>
      <c r="BPY39" s="122"/>
      <c r="BPZ39" s="36"/>
      <c r="BQA39" s="36"/>
      <c r="BQB39" s="36"/>
      <c r="BQC39" s="36"/>
      <c r="BQD39" s="36"/>
      <c r="BQE39" s="61"/>
      <c r="BQF39" s="36"/>
      <c r="BQG39" s="36"/>
      <c r="BQH39" s="36"/>
      <c r="BQI39" s="36"/>
      <c r="BQJ39" s="36"/>
      <c r="BQK39" s="37"/>
      <c r="BQL39" s="35"/>
      <c r="BQM39" s="36"/>
      <c r="BQN39" s="36"/>
      <c r="BQO39" s="36"/>
      <c r="BQP39" s="36"/>
      <c r="BQQ39" s="117"/>
      <c r="BQR39" s="36"/>
      <c r="BQS39" s="36"/>
      <c r="BQT39" s="36"/>
      <c r="BQU39" s="36"/>
      <c r="BQV39" s="36"/>
      <c r="BQW39" s="122"/>
      <c r="BQX39" s="36"/>
      <c r="BQY39" s="36"/>
      <c r="BQZ39" s="36"/>
      <c r="BRA39" s="36"/>
      <c r="BRB39" s="36"/>
      <c r="BRC39" s="61"/>
      <c r="BRD39" s="36"/>
      <c r="BRE39" s="36"/>
      <c r="BRF39" s="36"/>
      <c r="BRG39" s="36"/>
      <c r="BRH39" s="36"/>
      <c r="BRI39" s="122"/>
      <c r="BRJ39" s="36"/>
      <c r="BRK39" s="36"/>
      <c r="BRL39" s="36"/>
      <c r="BRM39" s="36"/>
      <c r="BRN39" s="36"/>
      <c r="BRO39" s="61"/>
      <c r="BRP39" s="36"/>
      <c r="BRQ39" s="36"/>
      <c r="BRR39" s="36"/>
      <c r="BRS39" s="36"/>
      <c r="BRT39" s="36"/>
      <c r="BRU39" s="122"/>
      <c r="BRV39" s="36"/>
      <c r="BRW39" s="36"/>
      <c r="BRX39" s="36"/>
      <c r="BRY39" s="36"/>
      <c r="BRZ39" s="36"/>
      <c r="BSA39" s="61"/>
      <c r="BSB39" s="36"/>
      <c r="BSC39" s="36"/>
      <c r="BSD39" s="36"/>
      <c r="BSE39" s="36"/>
      <c r="BSF39" s="36"/>
      <c r="BSG39" s="122"/>
      <c r="BSH39" s="36"/>
      <c r="BSI39" s="36"/>
      <c r="BSJ39" s="36"/>
      <c r="BSK39" s="36"/>
      <c r="BSL39" s="36"/>
      <c r="BSM39" s="61"/>
      <c r="BSN39" s="36"/>
      <c r="BSO39" s="36"/>
      <c r="BSP39" s="36"/>
      <c r="BSQ39" s="36"/>
      <c r="BSR39" s="36"/>
      <c r="BSS39" s="37"/>
      <c r="BST39" s="35"/>
      <c r="BSU39" s="36"/>
      <c r="BSV39" s="36"/>
      <c r="BSW39" s="36"/>
      <c r="BSX39" s="36"/>
      <c r="BSY39" s="117"/>
      <c r="BSZ39" s="36"/>
      <c r="BTA39" s="36"/>
      <c r="BTB39" s="36"/>
      <c r="BTC39" s="36"/>
      <c r="BTD39" s="36"/>
      <c r="BTE39" s="122"/>
      <c r="BTF39" s="36"/>
      <c r="BTG39" s="36"/>
      <c r="BTH39" s="36"/>
      <c r="BTI39" s="36"/>
      <c r="BTJ39" s="36"/>
      <c r="BTK39" s="61"/>
      <c r="BTL39" s="36"/>
      <c r="BTM39" s="36"/>
      <c r="BTN39" s="36"/>
      <c r="BTO39" s="36"/>
      <c r="BTP39" s="36"/>
      <c r="BTQ39" s="122"/>
      <c r="BTR39" s="36"/>
      <c r="BTS39" s="36"/>
      <c r="BTT39" s="36"/>
      <c r="BTU39" s="36"/>
      <c r="BTV39" s="36"/>
      <c r="BTW39" s="61"/>
      <c r="BTX39" s="36"/>
      <c r="BTY39" s="36"/>
      <c r="BTZ39" s="36"/>
      <c r="BUA39" s="36"/>
      <c r="BUB39" s="36"/>
      <c r="BUC39" s="122"/>
      <c r="BUD39" s="36"/>
      <c r="BUE39" s="36"/>
      <c r="BUF39" s="36"/>
      <c r="BUG39" s="36"/>
      <c r="BUH39" s="36"/>
      <c r="BUI39" s="61"/>
      <c r="BUJ39" s="36"/>
      <c r="BUK39" s="36"/>
      <c r="BUL39" s="36"/>
      <c r="BUM39" s="36"/>
      <c r="BUN39" s="36"/>
      <c r="BUO39" s="122"/>
      <c r="BUP39" s="36"/>
      <c r="BUQ39" s="36"/>
      <c r="BUR39" s="36"/>
      <c r="BUS39" s="36"/>
      <c r="BUT39" s="36"/>
      <c r="BUU39" s="61"/>
      <c r="BUV39" s="36"/>
      <c r="BUW39" s="36"/>
      <c r="BUX39" s="36"/>
      <c r="BUY39" s="36"/>
      <c r="BUZ39" s="36"/>
      <c r="BVA39" s="37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75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14"/>
      <c r="BHL40" s="24"/>
      <c r="BHM40" s="24"/>
      <c r="BHN40" s="24"/>
      <c r="BHO40" s="24"/>
      <c r="BHP40" s="24"/>
      <c r="BHQ40" s="119"/>
      <c r="BHR40" s="24"/>
      <c r="BHS40" s="24"/>
      <c r="BHT40" s="24"/>
      <c r="BHU40" s="24"/>
      <c r="BHV40" s="24"/>
      <c r="BHW40" s="58"/>
      <c r="BHX40" s="24"/>
      <c r="BHY40" s="24"/>
      <c r="BHZ40" s="24"/>
      <c r="BIA40" s="24"/>
      <c r="BIB40" s="24"/>
      <c r="BIC40" s="119"/>
      <c r="BID40" s="24"/>
      <c r="BIE40" s="24"/>
      <c r="BIF40" s="24"/>
      <c r="BIG40" s="24"/>
      <c r="BIH40" s="24"/>
      <c r="BII40" s="58"/>
      <c r="BIJ40" s="24"/>
      <c r="BIK40" s="24"/>
      <c r="BIL40" s="24"/>
      <c r="BIM40" s="24"/>
      <c r="BIN40" s="24"/>
      <c r="BIO40" s="119"/>
      <c r="BIP40" s="24"/>
      <c r="BIQ40" s="24"/>
      <c r="BIR40" s="24"/>
      <c r="BIS40" s="24"/>
      <c r="BIT40" s="24"/>
      <c r="BIU40" s="58"/>
      <c r="BIV40" s="24"/>
      <c r="BIW40" s="24"/>
      <c r="BIX40" s="24"/>
      <c r="BIY40" s="24"/>
      <c r="BIZ40" s="24"/>
      <c r="BJA40" s="119"/>
      <c r="BJB40" s="24"/>
      <c r="BJC40" s="24"/>
      <c r="BJD40" s="24"/>
      <c r="BJE40" s="24"/>
      <c r="BJF40" s="24"/>
      <c r="BJG40" s="58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14"/>
      <c r="BJT40" s="24"/>
      <c r="BJU40" s="24"/>
      <c r="BJV40" s="24"/>
      <c r="BJW40" s="24"/>
      <c r="BJX40" s="24"/>
      <c r="BJY40" s="119"/>
      <c r="BJZ40" s="24"/>
      <c r="BKA40" s="24"/>
      <c r="BKB40" s="24"/>
      <c r="BKC40" s="24"/>
      <c r="BKD40" s="24"/>
      <c r="BKE40" s="58"/>
      <c r="BKF40" s="24"/>
      <c r="BKG40" s="24"/>
      <c r="BKH40" s="24"/>
      <c r="BKI40" s="24"/>
      <c r="BKJ40" s="24"/>
      <c r="BKK40" s="119"/>
      <c r="BKL40" s="24"/>
      <c r="BKM40" s="24"/>
      <c r="BKN40" s="24"/>
      <c r="BKO40" s="24"/>
      <c r="BKP40" s="24"/>
      <c r="BKQ40" s="58"/>
      <c r="BKR40" s="24"/>
      <c r="BKS40" s="24"/>
      <c r="BKT40" s="24"/>
      <c r="BKU40" s="24"/>
      <c r="BKV40" s="24"/>
      <c r="BKW40" s="119"/>
      <c r="BKX40" s="24"/>
      <c r="BKY40" s="24"/>
      <c r="BKZ40" s="24"/>
      <c r="BLA40" s="24"/>
      <c r="BLB40" s="24"/>
      <c r="BLC40" s="58"/>
      <c r="BLD40" s="24"/>
      <c r="BLE40" s="24"/>
      <c r="BLF40" s="24"/>
      <c r="BLG40" s="24"/>
      <c r="BLH40" s="24"/>
      <c r="BLI40" s="119"/>
      <c r="BLJ40" s="24"/>
      <c r="BLK40" s="24"/>
      <c r="BLL40" s="24"/>
      <c r="BLM40" s="24"/>
      <c r="BLN40" s="24"/>
      <c r="BLO40" s="58"/>
      <c r="BLP40" s="24"/>
      <c r="BLQ40" s="24"/>
      <c r="BLR40" s="24"/>
      <c r="BLS40" s="24"/>
      <c r="BLT40" s="24"/>
      <c r="BLU40" s="25"/>
      <c r="BLV40" s="23"/>
      <c r="BLW40" s="24"/>
      <c r="BLX40" s="24"/>
      <c r="BLY40" s="24"/>
      <c r="BLZ40" s="24"/>
      <c r="BMA40" s="114"/>
      <c r="BMB40" s="24"/>
      <c r="BMC40" s="24"/>
      <c r="BMD40" s="24"/>
      <c r="BME40" s="24"/>
      <c r="BMF40" s="24"/>
      <c r="BMG40" s="119"/>
      <c r="BMH40" s="24"/>
      <c r="BMI40" s="24"/>
      <c r="BMJ40" s="24"/>
      <c r="BMK40" s="24"/>
      <c r="BML40" s="24"/>
      <c r="BMM40" s="58"/>
      <c r="BMN40" s="24"/>
      <c r="BMO40" s="24"/>
      <c r="BMP40" s="24"/>
      <c r="BMQ40" s="24"/>
      <c r="BMR40" s="24"/>
      <c r="BMS40" s="119"/>
      <c r="BMT40" s="24"/>
      <c r="BMU40" s="24"/>
      <c r="BMV40" s="24"/>
      <c r="BMW40" s="24"/>
      <c r="BMX40" s="24"/>
      <c r="BMY40" s="58"/>
      <c r="BMZ40" s="24"/>
      <c r="BNA40" s="24"/>
      <c r="BNB40" s="24"/>
      <c r="BNC40" s="24"/>
      <c r="BND40" s="24"/>
      <c r="BNE40" s="119"/>
      <c r="BNF40" s="24"/>
      <c r="BNG40" s="24"/>
      <c r="BNH40" s="24"/>
      <c r="BNI40" s="24"/>
      <c r="BNJ40" s="24"/>
      <c r="BNK40" s="58"/>
      <c r="BNL40" s="24"/>
      <c r="BNM40" s="24"/>
      <c r="BNN40" s="24"/>
      <c r="BNO40" s="24"/>
      <c r="BNP40" s="24"/>
      <c r="BNQ40" s="119"/>
      <c r="BNR40" s="24"/>
      <c r="BNS40" s="24"/>
      <c r="BNT40" s="24"/>
      <c r="BNU40" s="24"/>
      <c r="BNV40" s="24"/>
      <c r="BNW40" s="58"/>
      <c r="BNX40" s="24"/>
      <c r="BNY40" s="24"/>
      <c r="BNZ40" s="24"/>
      <c r="BOA40" s="24"/>
      <c r="BOB40" s="24"/>
      <c r="BOC40" s="25"/>
      <c r="BOD40" s="23"/>
      <c r="BOE40" s="24"/>
      <c r="BOF40" s="24"/>
      <c r="BOG40" s="24"/>
      <c r="BOH40" s="24"/>
      <c r="BOI40" s="114"/>
      <c r="BOJ40" s="24"/>
      <c r="BOK40" s="24"/>
      <c r="BOL40" s="24"/>
      <c r="BOM40" s="24"/>
      <c r="BON40" s="24"/>
      <c r="BOO40" s="119"/>
      <c r="BOP40" s="24"/>
      <c r="BOQ40" s="24"/>
      <c r="BOR40" s="24"/>
      <c r="BOS40" s="24"/>
      <c r="BOT40" s="24"/>
      <c r="BOU40" s="58"/>
      <c r="BOV40" s="24"/>
      <c r="BOW40" s="24"/>
      <c r="BOX40" s="24"/>
      <c r="BOY40" s="24"/>
      <c r="BOZ40" s="24"/>
      <c r="BPA40" s="119"/>
      <c r="BPB40" s="24"/>
      <c r="BPC40" s="24"/>
      <c r="BPD40" s="24"/>
      <c r="BPE40" s="24"/>
      <c r="BPF40" s="24"/>
      <c r="BPG40" s="58"/>
      <c r="BPH40" s="24"/>
      <c r="BPI40" s="24"/>
      <c r="BPJ40" s="24"/>
      <c r="BPK40" s="24"/>
      <c r="BPL40" s="24"/>
      <c r="BPM40" s="119"/>
      <c r="BPN40" s="24"/>
      <c r="BPO40" s="24"/>
      <c r="BPP40" s="24"/>
      <c r="BPQ40" s="24"/>
      <c r="BPR40" s="24"/>
      <c r="BPS40" s="58"/>
      <c r="BPT40" s="24"/>
      <c r="BPU40" s="24"/>
      <c r="BPV40" s="24"/>
      <c r="BPW40" s="24"/>
      <c r="BPX40" s="24"/>
      <c r="BPY40" s="119"/>
      <c r="BPZ40" s="24"/>
      <c r="BQA40" s="24"/>
      <c r="BQB40" s="24"/>
      <c r="BQC40" s="24"/>
      <c r="BQD40" s="24"/>
      <c r="BQE40" s="58"/>
      <c r="BQF40" s="24"/>
      <c r="BQG40" s="24"/>
      <c r="BQH40" s="24"/>
      <c r="BQI40" s="24"/>
      <c r="BQJ40" s="24"/>
      <c r="BQK40" s="25"/>
      <c r="BQL40" s="23"/>
      <c r="BQM40" s="24"/>
      <c r="BQN40" s="24"/>
      <c r="BQO40" s="24"/>
      <c r="BQP40" s="24"/>
      <c r="BQQ40" s="114"/>
      <c r="BQR40" s="24"/>
      <c r="BQS40" s="24"/>
      <c r="BQT40" s="24"/>
      <c r="BQU40" s="24"/>
      <c r="BQV40" s="24"/>
      <c r="BQW40" s="119"/>
      <c r="BQX40" s="24"/>
      <c r="BQY40" s="24"/>
      <c r="BQZ40" s="24"/>
      <c r="BRA40" s="24"/>
      <c r="BRB40" s="24"/>
      <c r="BRC40" s="58"/>
      <c r="BRD40" s="24"/>
      <c r="BRE40" s="24"/>
      <c r="BRF40" s="24"/>
      <c r="BRG40" s="24"/>
      <c r="BRH40" s="24"/>
      <c r="BRI40" s="119"/>
      <c r="BRJ40" s="24"/>
      <c r="BRK40" s="24"/>
      <c r="BRL40" s="24"/>
      <c r="BRM40" s="24"/>
      <c r="BRN40" s="24"/>
      <c r="BRO40" s="58"/>
      <c r="BRP40" s="24"/>
      <c r="BRQ40" s="24"/>
      <c r="BRR40" s="24"/>
      <c r="BRS40" s="24"/>
      <c r="BRT40" s="24"/>
      <c r="BRU40" s="119"/>
      <c r="BRV40" s="24"/>
      <c r="BRW40" s="24"/>
      <c r="BRX40" s="24"/>
      <c r="BRY40" s="24"/>
      <c r="BRZ40" s="24"/>
      <c r="BSA40" s="58"/>
      <c r="BSB40" s="24"/>
      <c r="BSC40" s="24"/>
      <c r="BSD40" s="24"/>
      <c r="BSE40" s="24"/>
      <c r="BSF40" s="24"/>
      <c r="BSG40" s="119"/>
      <c r="BSH40" s="24"/>
      <c r="BSI40" s="24"/>
      <c r="BSJ40" s="24"/>
      <c r="BSK40" s="24"/>
      <c r="BSL40" s="24"/>
      <c r="BSM40" s="58"/>
      <c r="BSN40" s="24"/>
      <c r="BSO40" s="24"/>
      <c r="BSP40" s="24"/>
      <c r="BSQ40" s="24"/>
      <c r="BSR40" s="24"/>
      <c r="BSS40" s="25"/>
      <c r="BST40" s="23"/>
      <c r="BSU40" s="24"/>
      <c r="BSV40" s="24"/>
      <c r="BSW40" s="24"/>
      <c r="BSX40" s="24"/>
      <c r="BSY40" s="114"/>
      <c r="BSZ40" s="24"/>
      <c r="BTA40" s="24"/>
      <c r="BTB40" s="24"/>
      <c r="BTC40" s="24"/>
      <c r="BTD40" s="24"/>
      <c r="BTE40" s="119"/>
      <c r="BTF40" s="24"/>
      <c r="BTG40" s="24"/>
      <c r="BTH40" s="24"/>
      <c r="BTI40" s="24"/>
      <c r="BTJ40" s="24"/>
      <c r="BTK40" s="58"/>
      <c r="BTL40" s="24"/>
      <c r="BTM40" s="24"/>
      <c r="BTN40" s="24"/>
      <c r="BTO40" s="24"/>
      <c r="BTP40" s="24"/>
      <c r="BTQ40" s="119"/>
      <c r="BTR40" s="24"/>
      <c r="BTS40" s="24"/>
      <c r="BTT40" s="24"/>
      <c r="BTU40" s="24"/>
      <c r="BTV40" s="24"/>
      <c r="BTW40" s="58"/>
      <c r="BTX40" s="24"/>
      <c r="BTY40" s="24"/>
      <c r="BTZ40" s="24"/>
      <c r="BUA40" s="24"/>
      <c r="BUB40" s="24"/>
      <c r="BUC40" s="119"/>
      <c r="BUD40" s="24"/>
      <c r="BUE40" s="24"/>
      <c r="BUF40" s="24"/>
      <c r="BUG40" s="24"/>
      <c r="BUH40" s="24"/>
      <c r="BUI40" s="58"/>
      <c r="BUJ40" s="24"/>
      <c r="BUK40" s="24"/>
      <c r="BUL40" s="24"/>
      <c r="BUM40" s="24"/>
      <c r="BUN40" s="24"/>
      <c r="BUO40" s="119"/>
      <c r="BUP40" s="24"/>
      <c r="BUQ40" s="24"/>
      <c r="BUR40" s="24"/>
      <c r="BUS40" s="24"/>
      <c r="BUT40" s="24"/>
      <c r="BUU40" s="58"/>
      <c r="BUV40" s="24"/>
      <c r="BUW40" s="24"/>
      <c r="BUX40" s="24"/>
      <c r="BUY40" s="24"/>
      <c r="BUZ40" s="24"/>
      <c r="BVA40" s="25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74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27"/>
      <c r="BJO41" s="28"/>
      <c r="BJP41" s="28"/>
      <c r="BJQ41" s="28"/>
      <c r="BJR41" s="28"/>
      <c r="BJS41" s="115"/>
      <c r="BJT41" s="28"/>
      <c r="BJU41" s="28"/>
      <c r="BJV41" s="28"/>
      <c r="BJW41" s="28"/>
      <c r="BJX41" s="28"/>
      <c r="BJY41" s="120"/>
      <c r="BJZ41" s="28"/>
      <c r="BKA41" s="28"/>
      <c r="BKB41" s="28"/>
      <c r="BKC41" s="28"/>
      <c r="BKD41" s="28"/>
      <c r="BKE41" s="59"/>
      <c r="BKF41" s="28"/>
      <c r="BKG41" s="28"/>
      <c r="BKH41" s="28"/>
      <c r="BKI41" s="28"/>
      <c r="BKJ41" s="28"/>
      <c r="BKK41" s="120"/>
      <c r="BKL41" s="28"/>
      <c r="BKM41" s="28"/>
      <c r="BKN41" s="28"/>
      <c r="BKO41" s="28"/>
      <c r="BKP41" s="28"/>
      <c r="BKQ41" s="59"/>
      <c r="BKR41" s="28"/>
      <c r="BKS41" s="28"/>
      <c r="BKT41" s="28"/>
      <c r="BKU41" s="28"/>
      <c r="BKV41" s="28"/>
      <c r="BKW41" s="120"/>
      <c r="BKX41" s="28"/>
      <c r="BKY41" s="28"/>
      <c r="BKZ41" s="28"/>
      <c r="BLA41" s="28"/>
      <c r="BLB41" s="28"/>
      <c r="BLC41" s="59"/>
      <c r="BLD41" s="28"/>
      <c r="BLE41" s="28"/>
      <c r="BLF41" s="28"/>
      <c r="BLG41" s="28"/>
      <c r="BLH41" s="28"/>
      <c r="BLI41" s="120"/>
      <c r="BLJ41" s="28"/>
      <c r="BLK41" s="28"/>
      <c r="BLL41" s="28"/>
      <c r="BLM41" s="28"/>
      <c r="BLN41" s="28"/>
      <c r="BLO41" s="59"/>
      <c r="BLP41" s="28"/>
      <c r="BLQ41" s="28"/>
      <c r="BLR41" s="28"/>
      <c r="BLS41" s="28"/>
      <c r="BLT41" s="28"/>
      <c r="BLU41" s="29"/>
      <c r="BLV41" s="27"/>
      <c r="BLW41" s="28"/>
      <c r="BLX41" s="28"/>
      <c r="BLY41" s="28"/>
      <c r="BLZ41" s="28"/>
      <c r="BMA41" s="115"/>
      <c r="BMB41" s="28"/>
      <c r="BMC41" s="28"/>
      <c r="BMD41" s="28"/>
      <c r="BME41" s="28"/>
      <c r="BMF41" s="28"/>
      <c r="BMG41" s="120"/>
      <c r="BMH41" s="28"/>
      <c r="BMI41" s="28"/>
      <c r="BMJ41" s="28"/>
      <c r="BMK41" s="28"/>
      <c r="BML41" s="28"/>
      <c r="BMM41" s="59"/>
      <c r="BMN41" s="28"/>
      <c r="BMO41" s="28"/>
      <c r="BMP41" s="28"/>
      <c r="BMQ41" s="28"/>
      <c r="BMR41" s="28"/>
      <c r="BMS41" s="120"/>
      <c r="BMT41" s="28"/>
      <c r="BMU41" s="28"/>
      <c r="BMV41" s="28"/>
      <c r="BMW41" s="28"/>
      <c r="BMX41" s="28"/>
      <c r="BMY41" s="59"/>
      <c r="BMZ41" s="28"/>
      <c r="BNA41" s="28"/>
      <c r="BNB41" s="28"/>
      <c r="BNC41" s="28"/>
      <c r="BND41" s="28"/>
      <c r="BNE41" s="120"/>
      <c r="BNF41" s="28"/>
      <c r="BNG41" s="28"/>
      <c r="BNH41" s="28"/>
      <c r="BNI41" s="28"/>
      <c r="BNJ41" s="28"/>
      <c r="BNK41" s="59"/>
      <c r="BNL41" s="28"/>
      <c r="BNM41" s="28"/>
      <c r="BNN41" s="28"/>
      <c r="BNO41" s="28"/>
      <c r="BNP41" s="28"/>
      <c r="BNQ41" s="120"/>
      <c r="BNR41" s="28"/>
      <c r="BNS41" s="28"/>
      <c r="BNT41" s="28"/>
      <c r="BNU41" s="28"/>
      <c r="BNV41" s="28"/>
      <c r="BNW41" s="59"/>
      <c r="BNX41" s="28"/>
      <c r="BNY41" s="28"/>
      <c r="BNZ41" s="28"/>
      <c r="BOA41" s="28"/>
      <c r="BOB41" s="28"/>
      <c r="BOC41" s="29"/>
      <c r="BOD41" s="27"/>
      <c r="BOE41" s="28"/>
      <c r="BOF41" s="28"/>
      <c r="BOG41" s="28"/>
      <c r="BOH41" s="28"/>
      <c r="BOI41" s="115"/>
      <c r="BOJ41" s="28"/>
      <c r="BOK41" s="28"/>
      <c r="BOL41" s="28"/>
      <c r="BOM41" s="28"/>
      <c r="BON41" s="28"/>
      <c r="BOO41" s="120"/>
      <c r="BOP41" s="28"/>
      <c r="BOQ41" s="28"/>
      <c r="BOR41" s="28"/>
      <c r="BOS41" s="28"/>
      <c r="BOT41" s="28"/>
      <c r="BOU41" s="59"/>
      <c r="BOV41" s="28"/>
      <c r="BOW41" s="28"/>
      <c r="BOX41" s="28"/>
      <c r="BOY41" s="28"/>
      <c r="BOZ41" s="28"/>
      <c r="BPA41" s="120"/>
      <c r="BPB41" s="28"/>
      <c r="BPC41" s="28"/>
      <c r="BPD41" s="28"/>
      <c r="BPE41" s="28"/>
      <c r="BPF41" s="28"/>
      <c r="BPG41" s="59"/>
      <c r="BPH41" s="28"/>
      <c r="BPI41" s="28"/>
      <c r="BPJ41" s="28"/>
      <c r="BPK41" s="28"/>
      <c r="BPL41" s="28"/>
      <c r="BPM41" s="120"/>
      <c r="BPN41" s="28"/>
      <c r="BPO41" s="28"/>
      <c r="BPP41" s="28"/>
      <c r="BPQ41" s="28"/>
      <c r="BPR41" s="28"/>
      <c r="BPS41" s="59"/>
      <c r="BPT41" s="28"/>
      <c r="BPU41" s="28"/>
      <c r="BPV41" s="28"/>
      <c r="BPW41" s="28"/>
      <c r="BPX41" s="28"/>
      <c r="BPY41" s="120"/>
      <c r="BPZ41" s="28"/>
      <c r="BQA41" s="28"/>
      <c r="BQB41" s="28"/>
      <c r="BQC41" s="28"/>
      <c r="BQD41" s="28"/>
      <c r="BQE41" s="59"/>
      <c r="BQF41" s="28"/>
      <c r="BQG41" s="28"/>
      <c r="BQH41" s="28"/>
      <c r="BQI41" s="28"/>
      <c r="BQJ41" s="28"/>
      <c r="BQK41" s="29"/>
      <c r="BQL41" s="27"/>
      <c r="BQM41" s="28"/>
      <c r="BQN41" s="28"/>
      <c r="BQO41" s="28"/>
      <c r="BQP41" s="28"/>
      <c r="BQQ41" s="115"/>
      <c r="BQR41" s="28"/>
      <c r="BQS41" s="28"/>
      <c r="BQT41" s="28"/>
      <c r="BQU41" s="28"/>
      <c r="BQV41" s="28"/>
      <c r="BQW41" s="120"/>
      <c r="BQX41" s="28"/>
      <c r="BQY41" s="28"/>
      <c r="BQZ41" s="28"/>
      <c r="BRA41" s="28"/>
      <c r="BRB41" s="28"/>
      <c r="BRC41" s="59"/>
      <c r="BRD41" s="28"/>
      <c r="BRE41" s="28"/>
      <c r="BRF41" s="28"/>
      <c r="BRG41" s="28"/>
      <c r="BRH41" s="28"/>
      <c r="BRI41" s="120"/>
      <c r="BRJ41" s="28"/>
      <c r="BRK41" s="28"/>
      <c r="BRL41" s="28"/>
      <c r="BRM41" s="28"/>
      <c r="BRN41" s="28"/>
      <c r="BRO41" s="59"/>
      <c r="BRP41" s="28"/>
      <c r="BRQ41" s="28"/>
      <c r="BRR41" s="28"/>
      <c r="BRS41" s="28"/>
      <c r="BRT41" s="28"/>
      <c r="BRU41" s="120"/>
      <c r="BRV41" s="28"/>
      <c r="BRW41" s="28"/>
      <c r="BRX41" s="28"/>
      <c r="BRY41" s="28"/>
      <c r="BRZ41" s="28"/>
      <c r="BSA41" s="59"/>
      <c r="BSB41" s="28"/>
      <c r="BSC41" s="28"/>
      <c r="BSD41" s="28"/>
      <c r="BSE41" s="28"/>
      <c r="BSF41" s="28"/>
      <c r="BSG41" s="120"/>
      <c r="BSH41" s="28"/>
      <c r="BSI41" s="28"/>
      <c r="BSJ41" s="28"/>
      <c r="BSK41" s="28"/>
      <c r="BSL41" s="28"/>
      <c r="BSM41" s="59"/>
      <c r="BSN41" s="28"/>
      <c r="BSO41" s="28"/>
      <c r="BSP41" s="28"/>
      <c r="BSQ41" s="28"/>
      <c r="BSR41" s="28"/>
      <c r="BSS41" s="29"/>
      <c r="BST41" s="27"/>
      <c r="BSU41" s="28"/>
      <c r="BSV41" s="28"/>
      <c r="BSW41" s="28"/>
      <c r="BSX41" s="28"/>
      <c r="BSY41" s="115"/>
      <c r="BSZ41" s="28"/>
      <c r="BTA41" s="28"/>
      <c r="BTB41" s="28"/>
      <c r="BTC41" s="28"/>
      <c r="BTD41" s="28"/>
      <c r="BTE41" s="120"/>
      <c r="BTF41" s="28"/>
      <c r="BTG41" s="28"/>
      <c r="BTH41" s="28"/>
      <c r="BTI41" s="28"/>
      <c r="BTJ41" s="28"/>
      <c r="BTK41" s="59"/>
      <c r="BTL41" s="28"/>
      <c r="BTM41" s="28"/>
      <c r="BTN41" s="28"/>
      <c r="BTO41" s="28"/>
      <c r="BTP41" s="28"/>
      <c r="BTQ41" s="120"/>
      <c r="BTR41" s="28"/>
      <c r="BTS41" s="28"/>
      <c r="BTT41" s="28"/>
      <c r="BTU41" s="28"/>
      <c r="BTV41" s="28"/>
      <c r="BTW41" s="59"/>
      <c r="BTX41" s="28"/>
      <c r="BTY41" s="28"/>
      <c r="BTZ41" s="28"/>
      <c r="BUA41" s="28"/>
      <c r="BUB41" s="28"/>
      <c r="BUC41" s="120"/>
      <c r="BUD41" s="28"/>
      <c r="BUE41" s="28"/>
      <c r="BUF41" s="28"/>
      <c r="BUG41" s="28"/>
      <c r="BUH41" s="28"/>
      <c r="BUI41" s="59"/>
      <c r="BUJ41" s="28"/>
      <c r="BUK41" s="28"/>
      <c r="BUL41" s="28"/>
      <c r="BUM41" s="28"/>
      <c r="BUN41" s="28"/>
      <c r="BUO41" s="120"/>
      <c r="BUP41" s="28"/>
      <c r="BUQ41" s="28"/>
      <c r="BUR41" s="28"/>
      <c r="BUS41" s="28"/>
      <c r="BUT41" s="28"/>
      <c r="BUU41" s="59"/>
      <c r="BUV41" s="28"/>
      <c r="BUW41" s="28"/>
      <c r="BUX41" s="28"/>
      <c r="BUY41" s="28"/>
      <c r="BUZ41" s="28"/>
      <c r="BVA41" s="29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82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16"/>
      <c r="BHL42" s="32"/>
      <c r="BHM42" s="32"/>
      <c r="BHN42" s="32"/>
      <c r="BHO42" s="32"/>
      <c r="BHP42" s="32"/>
      <c r="BHQ42" s="121"/>
      <c r="BHR42" s="32"/>
      <c r="BHS42" s="32"/>
      <c r="BHT42" s="32"/>
      <c r="BHU42" s="32"/>
      <c r="BHV42" s="32"/>
      <c r="BHW42" s="60"/>
      <c r="BHX42" s="32"/>
      <c r="BHY42" s="32"/>
      <c r="BHZ42" s="32"/>
      <c r="BIA42" s="32"/>
      <c r="BIB42" s="32"/>
      <c r="BIC42" s="121"/>
      <c r="BID42" s="32"/>
      <c r="BIE42" s="32"/>
      <c r="BIF42" s="32"/>
      <c r="BIG42" s="32"/>
      <c r="BIH42" s="32"/>
      <c r="BII42" s="60"/>
      <c r="BIJ42" s="32"/>
      <c r="BIK42" s="32"/>
      <c r="BIL42" s="32"/>
      <c r="BIM42" s="32"/>
      <c r="BIN42" s="32"/>
      <c r="BIO42" s="121"/>
      <c r="BIP42" s="32"/>
      <c r="BIQ42" s="32"/>
      <c r="BIR42" s="32"/>
      <c r="BIS42" s="32"/>
      <c r="BIT42" s="32"/>
      <c r="BIU42" s="60"/>
      <c r="BIV42" s="32"/>
      <c r="BIW42" s="32"/>
      <c r="BIX42" s="32"/>
      <c r="BIY42" s="32"/>
      <c r="BIZ42" s="32"/>
      <c r="BJA42" s="121"/>
      <c r="BJB42" s="32"/>
      <c r="BJC42" s="32"/>
      <c r="BJD42" s="32"/>
      <c r="BJE42" s="32"/>
      <c r="BJF42" s="32"/>
      <c r="BJG42" s="60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16"/>
      <c r="BJT42" s="32"/>
      <c r="BJU42" s="32"/>
      <c r="BJV42" s="32"/>
      <c r="BJW42" s="32"/>
      <c r="BJX42" s="32"/>
      <c r="BJY42" s="121"/>
      <c r="BJZ42" s="32"/>
      <c r="BKA42" s="32"/>
      <c r="BKB42" s="32"/>
      <c r="BKC42" s="32"/>
      <c r="BKD42" s="32"/>
      <c r="BKE42" s="60"/>
      <c r="BKF42" s="32"/>
      <c r="BKG42" s="32"/>
      <c r="BKH42" s="32"/>
      <c r="BKI42" s="32"/>
      <c r="BKJ42" s="32"/>
      <c r="BKK42" s="121"/>
      <c r="BKL42" s="32"/>
      <c r="BKM42" s="32"/>
      <c r="BKN42" s="32"/>
      <c r="BKO42" s="32"/>
      <c r="BKP42" s="32"/>
      <c r="BKQ42" s="60"/>
      <c r="BKR42" s="32"/>
      <c r="BKS42" s="32"/>
      <c r="BKT42" s="32"/>
      <c r="BKU42" s="32"/>
      <c r="BKV42" s="32"/>
      <c r="BKW42" s="121"/>
      <c r="BKX42" s="32"/>
      <c r="BKY42" s="32"/>
      <c r="BKZ42" s="32"/>
      <c r="BLA42" s="32"/>
      <c r="BLB42" s="32"/>
      <c r="BLC42" s="60"/>
      <c r="BLD42" s="32"/>
      <c r="BLE42" s="32"/>
      <c r="BLF42" s="32"/>
      <c r="BLG42" s="32"/>
      <c r="BLH42" s="32"/>
      <c r="BLI42" s="121"/>
      <c r="BLJ42" s="32"/>
      <c r="BLK42" s="32"/>
      <c r="BLL42" s="32"/>
      <c r="BLM42" s="32"/>
      <c r="BLN42" s="32"/>
      <c r="BLO42" s="60"/>
      <c r="BLP42" s="32"/>
      <c r="BLQ42" s="32"/>
      <c r="BLR42" s="32"/>
      <c r="BLS42" s="32"/>
      <c r="BLT42" s="32"/>
      <c r="BLU42" s="33"/>
      <c r="BLV42" s="31"/>
      <c r="BLW42" s="32"/>
      <c r="BLX42" s="32"/>
      <c r="BLY42" s="32"/>
      <c r="BLZ42" s="32"/>
      <c r="BMA42" s="116"/>
      <c r="BMB42" s="32"/>
      <c r="BMC42" s="32"/>
      <c r="BMD42" s="32"/>
      <c r="BME42" s="32"/>
      <c r="BMF42" s="32"/>
      <c r="BMG42" s="121"/>
      <c r="BMH42" s="32"/>
      <c r="BMI42" s="32"/>
      <c r="BMJ42" s="32"/>
      <c r="BMK42" s="32"/>
      <c r="BML42" s="32"/>
      <c r="BMM42" s="60"/>
      <c r="BMN42" s="32"/>
      <c r="BMO42" s="32"/>
      <c r="BMP42" s="32"/>
      <c r="BMQ42" s="32"/>
      <c r="BMR42" s="32"/>
      <c r="BMS42" s="121"/>
      <c r="BMT42" s="32"/>
      <c r="BMU42" s="32"/>
      <c r="BMV42" s="32"/>
      <c r="BMW42" s="32"/>
      <c r="BMX42" s="32"/>
      <c r="BMY42" s="60"/>
      <c r="BMZ42" s="32"/>
      <c r="BNA42" s="32"/>
      <c r="BNB42" s="32"/>
      <c r="BNC42" s="32"/>
      <c r="BND42" s="32"/>
      <c r="BNE42" s="121"/>
      <c r="BNF42" s="32"/>
      <c r="BNG42" s="32"/>
      <c r="BNH42" s="32"/>
      <c r="BNI42" s="32"/>
      <c r="BNJ42" s="32"/>
      <c r="BNK42" s="60"/>
      <c r="BNL42" s="32"/>
      <c r="BNM42" s="32"/>
      <c r="BNN42" s="32"/>
      <c r="BNO42" s="32"/>
      <c r="BNP42" s="32"/>
      <c r="BNQ42" s="121"/>
      <c r="BNR42" s="32"/>
      <c r="BNS42" s="32"/>
      <c r="BNT42" s="32"/>
      <c r="BNU42" s="32"/>
      <c r="BNV42" s="32"/>
      <c r="BNW42" s="60"/>
      <c r="BNX42" s="32"/>
      <c r="BNY42" s="32"/>
      <c r="BNZ42" s="32"/>
      <c r="BOA42" s="32"/>
      <c r="BOB42" s="32"/>
      <c r="BOC42" s="33"/>
      <c r="BOD42" s="31"/>
      <c r="BOE42" s="32"/>
      <c r="BOF42" s="32"/>
      <c r="BOG42" s="32"/>
      <c r="BOH42" s="32"/>
      <c r="BOI42" s="116"/>
      <c r="BOJ42" s="32"/>
      <c r="BOK42" s="32"/>
      <c r="BOL42" s="32"/>
      <c r="BOM42" s="32"/>
      <c r="BON42" s="32"/>
      <c r="BOO42" s="121"/>
      <c r="BOP42" s="32"/>
      <c r="BOQ42" s="32"/>
      <c r="BOR42" s="32"/>
      <c r="BOS42" s="32"/>
      <c r="BOT42" s="32"/>
      <c r="BOU42" s="60"/>
      <c r="BOV42" s="32"/>
      <c r="BOW42" s="32"/>
      <c r="BOX42" s="32"/>
      <c r="BOY42" s="32"/>
      <c r="BOZ42" s="32"/>
      <c r="BPA42" s="121"/>
      <c r="BPB42" s="32"/>
      <c r="BPC42" s="32"/>
      <c r="BPD42" s="32"/>
      <c r="BPE42" s="32"/>
      <c r="BPF42" s="32"/>
      <c r="BPG42" s="60"/>
      <c r="BPH42" s="32"/>
      <c r="BPI42" s="32"/>
      <c r="BPJ42" s="32"/>
      <c r="BPK42" s="32"/>
      <c r="BPL42" s="32"/>
      <c r="BPM42" s="121"/>
      <c r="BPN42" s="32"/>
      <c r="BPO42" s="32"/>
      <c r="BPP42" s="32"/>
      <c r="BPQ42" s="32"/>
      <c r="BPR42" s="32"/>
      <c r="BPS42" s="60"/>
      <c r="BPT42" s="32"/>
      <c r="BPU42" s="32"/>
      <c r="BPV42" s="32"/>
      <c r="BPW42" s="32"/>
      <c r="BPX42" s="32"/>
      <c r="BPY42" s="121"/>
      <c r="BPZ42" s="32"/>
      <c r="BQA42" s="32"/>
      <c r="BQB42" s="32"/>
      <c r="BQC42" s="32"/>
      <c r="BQD42" s="32"/>
      <c r="BQE42" s="60"/>
      <c r="BQF42" s="32"/>
      <c r="BQG42" s="32"/>
      <c r="BQH42" s="32"/>
      <c r="BQI42" s="32"/>
      <c r="BQJ42" s="32"/>
      <c r="BQK42" s="33"/>
      <c r="BQL42" s="31"/>
      <c r="BQM42" s="32"/>
      <c r="BQN42" s="32"/>
      <c r="BQO42" s="32"/>
      <c r="BQP42" s="32"/>
      <c r="BQQ42" s="116"/>
      <c r="BQR42" s="32"/>
      <c r="BQS42" s="32"/>
      <c r="BQT42" s="32"/>
      <c r="BQU42" s="32"/>
      <c r="BQV42" s="32"/>
      <c r="BQW42" s="121"/>
      <c r="BQX42" s="32"/>
      <c r="BQY42" s="32"/>
      <c r="BQZ42" s="32"/>
      <c r="BRA42" s="32"/>
      <c r="BRB42" s="32"/>
      <c r="BRC42" s="60"/>
      <c r="BRD42" s="32"/>
      <c r="BRE42" s="32"/>
      <c r="BRF42" s="32"/>
      <c r="BRG42" s="32"/>
      <c r="BRH42" s="32"/>
      <c r="BRI42" s="121"/>
      <c r="BRJ42" s="32"/>
      <c r="BRK42" s="32"/>
      <c r="BRL42" s="32"/>
      <c r="BRM42" s="32"/>
      <c r="BRN42" s="32"/>
      <c r="BRO42" s="60"/>
      <c r="BRP42" s="32"/>
      <c r="BRQ42" s="32"/>
      <c r="BRR42" s="32"/>
      <c r="BRS42" s="32"/>
      <c r="BRT42" s="32"/>
      <c r="BRU42" s="121"/>
      <c r="BRV42" s="32"/>
      <c r="BRW42" s="32"/>
      <c r="BRX42" s="32"/>
      <c r="BRY42" s="32"/>
      <c r="BRZ42" s="32"/>
      <c r="BSA42" s="60"/>
      <c r="BSB42" s="32"/>
      <c r="BSC42" s="32"/>
      <c r="BSD42" s="32"/>
      <c r="BSE42" s="32"/>
      <c r="BSF42" s="32"/>
      <c r="BSG42" s="121"/>
      <c r="BSH42" s="32"/>
      <c r="BSI42" s="32"/>
      <c r="BSJ42" s="32"/>
      <c r="BSK42" s="32"/>
      <c r="BSL42" s="32"/>
      <c r="BSM42" s="60"/>
      <c r="BSN42" s="32"/>
      <c r="BSO42" s="32"/>
      <c r="BSP42" s="32"/>
      <c r="BSQ42" s="32"/>
      <c r="BSR42" s="32"/>
      <c r="BSS42" s="33"/>
      <c r="BST42" s="31"/>
      <c r="BSU42" s="32"/>
      <c r="BSV42" s="32"/>
      <c r="BSW42" s="32"/>
      <c r="BSX42" s="32"/>
      <c r="BSY42" s="116"/>
      <c r="BSZ42" s="32"/>
      <c r="BTA42" s="32"/>
      <c r="BTB42" s="32"/>
      <c r="BTC42" s="32"/>
      <c r="BTD42" s="32"/>
      <c r="BTE42" s="121"/>
      <c r="BTF42" s="32"/>
      <c r="BTG42" s="32"/>
      <c r="BTH42" s="32"/>
      <c r="BTI42" s="32"/>
      <c r="BTJ42" s="32"/>
      <c r="BTK42" s="60"/>
      <c r="BTL42" s="32"/>
      <c r="BTM42" s="32"/>
      <c r="BTN42" s="32"/>
      <c r="BTO42" s="32"/>
      <c r="BTP42" s="32"/>
      <c r="BTQ42" s="121"/>
      <c r="BTR42" s="32"/>
      <c r="BTS42" s="32"/>
      <c r="BTT42" s="32"/>
      <c r="BTU42" s="32"/>
      <c r="BTV42" s="32"/>
      <c r="BTW42" s="60"/>
      <c r="BTX42" s="32"/>
      <c r="BTY42" s="32"/>
      <c r="BTZ42" s="32"/>
      <c r="BUA42" s="32"/>
      <c r="BUB42" s="32"/>
      <c r="BUC42" s="121"/>
      <c r="BUD42" s="32"/>
      <c r="BUE42" s="32"/>
      <c r="BUF42" s="32"/>
      <c r="BUG42" s="32"/>
      <c r="BUH42" s="32"/>
      <c r="BUI42" s="60"/>
      <c r="BUJ42" s="32"/>
      <c r="BUK42" s="32"/>
      <c r="BUL42" s="32"/>
      <c r="BUM42" s="32"/>
      <c r="BUN42" s="32"/>
      <c r="BUO42" s="121"/>
      <c r="BUP42" s="32"/>
      <c r="BUQ42" s="32"/>
      <c r="BUR42" s="32"/>
      <c r="BUS42" s="32"/>
      <c r="BUT42" s="32"/>
      <c r="BUU42" s="60"/>
      <c r="BUV42" s="32"/>
      <c r="BUW42" s="32"/>
      <c r="BUX42" s="32"/>
      <c r="BUY42" s="32"/>
      <c r="BUZ42" s="32"/>
      <c r="BVA42" s="33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7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28"/>
      <c r="BII43" s="59"/>
      <c r="BIJ43" s="28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27"/>
      <c r="BJO43" s="28"/>
      <c r="BJP43" s="28"/>
      <c r="BJQ43" s="28"/>
      <c r="BJR43" s="28"/>
      <c r="BJS43" s="115"/>
      <c r="BJT43" s="28"/>
      <c r="BJU43" s="28"/>
      <c r="BJV43" s="28"/>
      <c r="BJW43" s="28"/>
      <c r="BJX43" s="28"/>
      <c r="BJY43" s="120"/>
      <c r="BJZ43" s="28"/>
      <c r="BKA43" s="28"/>
      <c r="BKB43" s="28"/>
      <c r="BKC43" s="28"/>
      <c r="BKD43" s="28"/>
      <c r="BKE43" s="59"/>
      <c r="BKF43" s="28"/>
      <c r="BKG43" s="28"/>
      <c r="BKH43" s="28"/>
      <c r="BKI43" s="28"/>
      <c r="BKJ43" s="28"/>
      <c r="BKK43" s="120"/>
      <c r="BKL43" s="28"/>
      <c r="BKM43" s="28"/>
      <c r="BKN43" s="28"/>
      <c r="BKO43" s="28"/>
      <c r="BKP43" s="28"/>
      <c r="BKQ43" s="59"/>
      <c r="BKR43" s="28"/>
      <c r="BKS43" s="28"/>
      <c r="BKT43" s="28"/>
      <c r="BKU43" s="28"/>
      <c r="BKV43" s="28"/>
      <c r="BKW43" s="120"/>
      <c r="BKX43" s="28"/>
      <c r="BKY43" s="28"/>
      <c r="BKZ43" s="28"/>
      <c r="BLA43" s="28"/>
      <c r="BLB43" s="28"/>
      <c r="BLC43" s="59"/>
      <c r="BLD43" s="28"/>
      <c r="BLE43" s="28"/>
      <c r="BLF43" s="28"/>
      <c r="BLG43" s="28"/>
      <c r="BLH43" s="28"/>
      <c r="BLI43" s="120"/>
      <c r="BLJ43" s="28"/>
      <c r="BLK43" s="28"/>
      <c r="BLL43" s="28"/>
      <c r="BLM43" s="28"/>
      <c r="BLN43" s="28"/>
      <c r="BLO43" s="59"/>
      <c r="BLP43" s="28"/>
      <c r="BLQ43" s="28"/>
      <c r="BLR43" s="28"/>
      <c r="BLS43" s="28"/>
      <c r="BLT43" s="28"/>
      <c r="BLU43" s="29"/>
      <c r="BLV43" s="27"/>
      <c r="BLW43" s="28"/>
      <c r="BLX43" s="28"/>
      <c r="BLY43" s="28"/>
      <c r="BLZ43" s="28"/>
      <c r="BMA43" s="115"/>
      <c r="BMB43" s="28"/>
      <c r="BMC43" s="28"/>
      <c r="BMD43" s="28"/>
      <c r="BME43" s="28"/>
      <c r="BMF43" s="28"/>
      <c r="BMG43" s="120"/>
      <c r="BMH43" s="28"/>
      <c r="BMI43" s="28"/>
      <c r="BMJ43" s="28"/>
      <c r="BMK43" s="28"/>
      <c r="BML43" s="28"/>
      <c r="BMM43" s="59"/>
      <c r="BMN43" s="28"/>
      <c r="BMO43" s="28"/>
      <c r="BMP43" s="28"/>
      <c r="BMQ43" s="28"/>
      <c r="BMR43" s="28"/>
      <c r="BMS43" s="120"/>
      <c r="BMT43" s="28"/>
      <c r="BMU43" s="28"/>
      <c r="BMV43" s="28"/>
      <c r="BMW43" s="28"/>
      <c r="BMX43" s="28"/>
      <c r="BMY43" s="59"/>
      <c r="BMZ43" s="28"/>
      <c r="BNA43" s="28"/>
      <c r="BNB43" s="28"/>
      <c r="BNC43" s="28"/>
      <c r="BND43" s="28"/>
      <c r="BNE43" s="120"/>
      <c r="BNF43" s="28"/>
      <c r="BNG43" s="28"/>
      <c r="BNH43" s="28"/>
      <c r="BNI43" s="28"/>
      <c r="BNJ43" s="28"/>
      <c r="BNK43" s="59"/>
      <c r="BNL43" s="28"/>
      <c r="BNM43" s="28"/>
      <c r="BNN43" s="28"/>
      <c r="BNO43" s="28"/>
      <c r="BNP43" s="28"/>
      <c r="BNQ43" s="120"/>
      <c r="BNR43" s="28"/>
      <c r="BNS43" s="28"/>
      <c r="BNT43" s="28"/>
      <c r="BNU43" s="28"/>
      <c r="BNV43" s="28"/>
      <c r="BNW43" s="59"/>
      <c r="BNX43" s="28"/>
      <c r="BNY43" s="28"/>
      <c r="BNZ43" s="28"/>
      <c r="BOA43" s="28"/>
      <c r="BOB43" s="28"/>
      <c r="BOC43" s="29"/>
      <c r="BOD43" s="27"/>
      <c r="BOE43" s="28"/>
      <c r="BOF43" s="28"/>
      <c r="BOG43" s="28"/>
      <c r="BOH43" s="28"/>
      <c r="BOI43" s="115"/>
      <c r="BOJ43" s="28"/>
      <c r="BOK43" s="28"/>
      <c r="BOL43" s="28"/>
      <c r="BOM43" s="28"/>
      <c r="BON43" s="28"/>
      <c r="BOO43" s="120"/>
      <c r="BOP43" s="28"/>
      <c r="BOQ43" s="28"/>
      <c r="BOR43" s="28"/>
      <c r="BOS43" s="28"/>
      <c r="BOT43" s="28"/>
      <c r="BOU43" s="59"/>
      <c r="BOV43" s="28"/>
      <c r="BOW43" s="28"/>
      <c r="BOX43" s="28"/>
      <c r="BOY43" s="28"/>
      <c r="BOZ43" s="28"/>
      <c r="BPA43" s="120"/>
      <c r="BPB43" s="28"/>
      <c r="BPC43" s="28"/>
      <c r="BPD43" s="28"/>
      <c r="BPE43" s="28"/>
      <c r="BPF43" s="28"/>
      <c r="BPG43" s="59"/>
      <c r="BPH43" s="28"/>
      <c r="BPI43" s="28"/>
      <c r="BPJ43" s="28"/>
      <c r="BPK43" s="28"/>
      <c r="BPL43" s="28"/>
      <c r="BPM43" s="120"/>
      <c r="BPN43" s="28"/>
      <c r="BPO43" s="28"/>
      <c r="BPP43" s="28"/>
      <c r="BPQ43" s="28"/>
      <c r="BPR43" s="28"/>
      <c r="BPS43" s="59"/>
      <c r="BPT43" s="28"/>
      <c r="BPU43" s="28"/>
      <c r="BPV43" s="28"/>
      <c r="BPW43" s="28"/>
      <c r="BPX43" s="28"/>
      <c r="BPY43" s="120"/>
      <c r="BPZ43" s="28"/>
      <c r="BQA43" s="28"/>
      <c r="BQB43" s="28"/>
      <c r="BQC43" s="28"/>
      <c r="BQD43" s="28"/>
      <c r="BQE43" s="59"/>
      <c r="BQF43" s="28"/>
      <c r="BQG43" s="28"/>
      <c r="BQH43" s="28"/>
      <c r="BQI43" s="28"/>
      <c r="BQJ43" s="28"/>
      <c r="BQK43" s="29"/>
      <c r="BQL43" s="27"/>
      <c r="BQM43" s="28"/>
      <c r="BQN43" s="28"/>
      <c r="BQO43" s="28"/>
      <c r="BQP43" s="28"/>
      <c r="BQQ43" s="115"/>
      <c r="BQR43" s="28"/>
      <c r="BQS43" s="28"/>
      <c r="BQT43" s="28"/>
      <c r="BQU43" s="28"/>
      <c r="BQV43" s="28"/>
      <c r="BQW43" s="120"/>
      <c r="BQX43" s="28"/>
      <c r="BQY43" s="28"/>
      <c r="BQZ43" s="28"/>
      <c r="BRA43" s="28"/>
      <c r="BRB43" s="28"/>
      <c r="BRC43" s="59"/>
      <c r="BRD43" s="28"/>
      <c r="BRE43" s="28"/>
      <c r="BRF43" s="28"/>
      <c r="BRG43" s="28"/>
      <c r="BRH43" s="28"/>
      <c r="BRI43" s="120"/>
      <c r="BRJ43" s="28"/>
      <c r="BRK43" s="28"/>
      <c r="BRL43" s="28"/>
      <c r="BRM43" s="28"/>
      <c r="BRN43" s="28"/>
      <c r="BRO43" s="59"/>
      <c r="BRP43" s="28"/>
      <c r="BRQ43" s="28"/>
      <c r="BRR43" s="28"/>
      <c r="BRS43" s="28"/>
      <c r="BRT43" s="28"/>
      <c r="BRU43" s="120"/>
      <c r="BRV43" s="28"/>
      <c r="BRW43" s="28"/>
      <c r="BRX43" s="28"/>
      <c r="BRY43" s="28"/>
      <c r="BRZ43" s="28"/>
      <c r="BSA43" s="59"/>
      <c r="BSB43" s="28"/>
      <c r="BSC43" s="28"/>
      <c r="BSD43" s="28"/>
      <c r="BSE43" s="28"/>
      <c r="BSF43" s="28"/>
      <c r="BSG43" s="120"/>
      <c r="BSH43" s="28"/>
      <c r="BSI43" s="28"/>
      <c r="BSJ43" s="28"/>
      <c r="BSK43" s="28"/>
      <c r="BSL43" s="28"/>
      <c r="BSM43" s="59"/>
      <c r="BSN43" s="28"/>
      <c r="BSO43" s="28"/>
      <c r="BSP43" s="28"/>
      <c r="BSQ43" s="28"/>
      <c r="BSR43" s="28"/>
      <c r="BSS43" s="29"/>
      <c r="BST43" s="27"/>
      <c r="BSU43" s="28"/>
      <c r="BSV43" s="28"/>
      <c r="BSW43" s="28"/>
      <c r="BSX43" s="28"/>
      <c r="BSY43" s="115"/>
      <c r="BSZ43" s="28"/>
      <c r="BTA43" s="28"/>
      <c r="BTB43" s="28"/>
      <c r="BTC43" s="28"/>
      <c r="BTD43" s="28"/>
      <c r="BTE43" s="120"/>
      <c r="BTF43" s="28"/>
      <c r="BTG43" s="28"/>
      <c r="BTH43" s="28"/>
      <c r="BTI43" s="28"/>
      <c r="BTJ43" s="28"/>
      <c r="BTK43" s="59"/>
      <c r="BTL43" s="28"/>
      <c r="BTM43" s="28"/>
      <c r="BTN43" s="28"/>
      <c r="BTO43" s="28"/>
      <c r="BTP43" s="28"/>
      <c r="BTQ43" s="120"/>
      <c r="BTR43" s="28"/>
      <c r="BTS43" s="28"/>
      <c r="BTT43" s="28"/>
      <c r="BTU43" s="28"/>
      <c r="BTV43" s="28"/>
      <c r="BTW43" s="59"/>
      <c r="BTX43" s="28"/>
      <c r="BTY43" s="28"/>
      <c r="BTZ43" s="28"/>
      <c r="BUA43" s="28"/>
      <c r="BUB43" s="28"/>
      <c r="BUC43" s="120"/>
      <c r="BUD43" s="28"/>
      <c r="BUE43" s="28"/>
      <c r="BUF43" s="28"/>
      <c r="BUG43" s="28"/>
      <c r="BUH43" s="28"/>
      <c r="BUI43" s="59"/>
      <c r="BUJ43" s="28"/>
      <c r="BUK43" s="28"/>
      <c r="BUL43" s="28"/>
      <c r="BUM43" s="28"/>
      <c r="BUN43" s="28"/>
      <c r="BUO43" s="120"/>
      <c r="BUP43" s="28"/>
      <c r="BUQ43" s="28"/>
      <c r="BUR43" s="28"/>
      <c r="BUS43" s="28"/>
      <c r="BUT43" s="28"/>
      <c r="BUU43" s="59"/>
      <c r="BUV43" s="28"/>
      <c r="BUW43" s="28"/>
      <c r="BUX43" s="28"/>
      <c r="BUY43" s="28"/>
      <c r="BUZ43" s="28"/>
      <c r="BVA43" s="29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82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16"/>
      <c r="BHL44" s="32"/>
      <c r="BHM44" s="32"/>
      <c r="BHN44" s="32"/>
      <c r="BHO44" s="32"/>
      <c r="BHP44" s="32"/>
      <c r="BHQ44" s="121"/>
      <c r="BHR44" s="32"/>
      <c r="BHS44" s="32"/>
      <c r="BHT44" s="32"/>
      <c r="BHU44" s="32"/>
      <c r="BHV44" s="32"/>
      <c r="BHW44" s="60"/>
      <c r="BHX44" s="32"/>
      <c r="BHY44" s="32"/>
      <c r="BHZ44" s="32"/>
      <c r="BIA44" s="32"/>
      <c r="BIB44" s="32"/>
      <c r="BIC44" s="121"/>
      <c r="BID44" s="32"/>
      <c r="BIE44" s="32"/>
      <c r="BIF44" s="32"/>
      <c r="BIG44" s="32"/>
      <c r="BIH44" s="32"/>
      <c r="BII44" s="60"/>
      <c r="BIJ44" s="32"/>
      <c r="BIK44" s="32"/>
      <c r="BIL44" s="32"/>
      <c r="BIM44" s="32"/>
      <c r="BIN44" s="32"/>
      <c r="BIO44" s="121"/>
      <c r="BIP44" s="32"/>
      <c r="BIQ44" s="32"/>
      <c r="BIR44" s="32"/>
      <c r="BIS44" s="32"/>
      <c r="BIT44" s="32"/>
      <c r="BIU44" s="60"/>
      <c r="BIV44" s="32"/>
      <c r="BIW44" s="32"/>
      <c r="BIX44" s="32"/>
      <c r="BIY44" s="32"/>
      <c r="BIZ44" s="32"/>
      <c r="BJA44" s="121"/>
      <c r="BJB44" s="32"/>
      <c r="BJC44" s="32"/>
      <c r="BJD44" s="32"/>
      <c r="BJE44" s="32"/>
      <c r="BJF44" s="32"/>
      <c r="BJG44" s="60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16"/>
      <c r="BJT44" s="32"/>
      <c r="BJU44" s="32"/>
      <c r="BJV44" s="32"/>
      <c r="BJW44" s="32"/>
      <c r="BJX44" s="32"/>
      <c r="BJY44" s="121"/>
      <c r="BJZ44" s="32"/>
      <c r="BKA44" s="32"/>
      <c r="BKB44" s="32"/>
      <c r="BKC44" s="32"/>
      <c r="BKD44" s="32"/>
      <c r="BKE44" s="60"/>
      <c r="BKF44" s="32"/>
      <c r="BKG44" s="32"/>
      <c r="BKH44" s="32"/>
      <c r="BKI44" s="32"/>
      <c r="BKJ44" s="32"/>
      <c r="BKK44" s="121"/>
      <c r="BKL44" s="32"/>
      <c r="BKM44" s="32"/>
      <c r="BKN44" s="32"/>
      <c r="BKO44" s="32"/>
      <c r="BKP44" s="32"/>
      <c r="BKQ44" s="60"/>
      <c r="BKR44" s="32"/>
      <c r="BKS44" s="32"/>
      <c r="BKT44" s="32"/>
      <c r="BKU44" s="32"/>
      <c r="BKV44" s="32"/>
      <c r="BKW44" s="121"/>
      <c r="BKX44" s="32"/>
      <c r="BKY44" s="32"/>
      <c r="BKZ44" s="32"/>
      <c r="BLA44" s="32"/>
      <c r="BLB44" s="32"/>
      <c r="BLC44" s="60"/>
      <c r="BLD44" s="32"/>
      <c r="BLE44" s="32"/>
      <c r="BLF44" s="32"/>
      <c r="BLG44" s="32"/>
      <c r="BLH44" s="32"/>
      <c r="BLI44" s="121"/>
      <c r="BLJ44" s="32"/>
      <c r="BLK44" s="32"/>
      <c r="BLL44" s="32"/>
      <c r="BLM44" s="32"/>
      <c r="BLN44" s="32"/>
      <c r="BLO44" s="60"/>
      <c r="BLP44" s="32"/>
      <c r="BLQ44" s="32"/>
      <c r="BLR44" s="32"/>
      <c r="BLS44" s="32"/>
      <c r="BLT44" s="32"/>
      <c r="BLU44" s="33"/>
      <c r="BLV44" s="31"/>
      <c r="BLW44" s="32"/>
      <c r="BLX44" s="32"/>
      <c r="BLY44" s="32"/>
      <c r="BLZ44" s="32"/>
      <c r="BMA44" s="116"/>
      <c r="BMB44" s="32"/>
      <c r="BMC44" s="32"/>
      <c r="BMD44" s="32"/>
      <c r="BME44" s="32"/>
      <c r="BMF44" s="32"/>
      <c r="BMG44" s="121"/>
      <c r="BMH44" s="32"/>
      <c r="BMI44" s="32"/>
      <c r="BMJ44" s="32"/>
      <c r="BMK44" s="32"/>
      <c r="BML44" s="32"/>
      <c r="BMM44" s="60"/>
      <c r="BMN44" s="32"/>
      <c r="BMO44" s="32"/>
      <c r="BMP44" s="32"/>
      <c r="BMQ44" s="32"/>
      <c r="BMR44" s="32"/>
      <c r="BMS44" s="121"/>
      <c r="BMT44" s="32"/>
      <c r="BMU44" s="32"/>
      <c r="BMV44" s="32"/>
      <c r="BMW44" s="32"/>
      <c r="BMX44" s="32"/>
      <c r="BMY44" s="60"/>
      <c r="BMZ44" s="32"/>
      <c r="BNA44" s="32"/>
      <c r="BNB44" s="32"/>
      <c r="BNC44" s="32"/>
      <c r="BND44" s="32"/>
      <c r="BNE44" s="121"/>
      <c r="BNF44" s="32"/>
      <c r="BNG44" s="32"/>
      <c r="BNH44" s="32"/>
      <c r="BNI44" s="32"/>
      <c r="BNJ44" s="32"/>
      <c r="BNK44" s="60"/>
      <c r="BNL44" s="32"/>
      <c r="BNM44" s="32"/>
      <c r="BNN44" s="32"/>
      <c r="BNO44" s="32"/>
      <c r="BNP44" s="32"/>
      <c r="BNQ44" s="121"/>
      <c r="BNR44" s="32"/>
      <c r="BNS44" s="32"/>
      <c r="BNT44" s="32"/>
      <c r="BNU44" s="32"/>
      <c r="BNV44" s="32"/>
      <c r="BNW44" s="60"/>
      <c r="BNX44" s="32"/>
      <c r="BNY44" s="32"/>
      <c r="BNZ44" s="32"/>
      <c r="BOA44" s="32"/>
      <c r="BOB44" s="32"/>
      <c r="BOC44" s="33"/>
      <c r="BOD44" s="31"/>
      <c r="BOE44" s="32"/>
      <c r="BOF44" s="32"/>
      <c r="BOG44" s="32"/>
      <c r="BOH44" s="32"/>
      <c r="BOI44" s="116"/>
      <c r="BOJ44" s="32"/>
      <c r="BOK44" s="32"/>
      <c r="BOL44" s="32"/>
      <c r="BOM44" s="32"/>
      <c r="BON44" s="32"/>
      <c r="BOO44" s="121"/>
      <c r="BOP44" s="32"/>
      <c r="BOQ44" s="32"/>
      <c r="BOR44" s="32"/>
      <c r="BOS44" s="32"/>
      <c r="BOT44" s="32"/>
      <c r="BOU44" s="60"/>
      <c r="BOV44" s="32"/>
      <c r="BOW44" s="32"/>
      <c r="BOX44" s="32"/>
      <c r="BOY44" s="32"/>
      <c r="BOZ44" s="32"/>
      <c r="BPA44" s="121"/>
      <c r="BPB44" s="32"/>
      <c r="BPC44" s="32"/>
      <c r="BPD44" s="32"/>
      <c r="BPE44" s="32"/>
      <c r="BPF44" s="32"/>
      <c r="BPG44" s="60"/>
      <c r="BPH44" s="32"/>
      <c r="BPI44" s="32"/>
      <c r="BPJ44" s="32"/>
      <c r="BPK44" s="32"/>
      <c r="BPL44" s="32"/>
      <c r="BPM44" s="121"/>
      <c r="BPN44" s="32"/>
      <c r="BPO44" s="32"/>
      <c r="BPP44" s="32"/>
      <c r="BPQ44" s="32"/>
      <c r="BPR44" s="32"/>
      <c r="BPS44" s="60"/>
      <c r="BPT44" s="32"/>
      <c r="BPU44" s="32"/>
      <c r="BPV44" s="32"/>
      <c r="BPW44" s="32"/>
      <c r="BPX44" s="32"/>
      <c r="BPY44" s="121"/>
      <c r="BPZ44" s="32"/>
      <c r="BQA44" s="32"/>
      <c r="BQB44" s="32"/>
      <c r="BQC44" s="32"/>
      <c r="BQD44" s="32"/>
      <c r="BQE44" s="60"/>
      <c r="BQF44" s="32"/>
      <c r="BQG44" s="32"/>
      <c r="BQH44" s="32"/>
      <c r="BQI44" s="32"/>
      <c r="BQJ44" s="32"/>
      <c r="BQK44" s="33"/>
      <c r="BQL44" s="31"/>
      <c r="BQM44" s="32"/>
      <c r="BQN44" s="32"/>
      <c r="BQO44" s="32"/>
      <c r="BQP44" s="32"/>
      <c r="BQQ44" s="116"/>
      <c r="BQR44" s="32"/>
      <c r="BQS44" s="32"/>
      <c r="BQT44" s="32"/>
      <c r="BQU44" s="32"/>
      <c r="BQV44" s="32"/>
      <c r="BQW44" s="121"/>
      <c r="BQX44" s="32"/>
      <c r="BQY44" s="32"/>
      <c r="BQZ44" s="32"/>
      <c r="BRA44" s="32"/>
      <c r="BRB44" s="32"/>
      <c r="BRC44" s="60"/>
      <c r="BRD44" s="32"/>
      <c r="BRE44" s="32"/>
      <c r="BRF44" s="32"/>
      <c r="BRG44" s="32"/>
      <c r="BRH44" s="32"/>
      <c r="BRI44" s="121"/>
      <c r="BRJ44" s="32"/>
      <c r="BRK44" s="32"/>
      <c r="BRL44" s="32"/>
      <c r="BRM44" s="32"/>
      <c r="BRN44" s="32"/>
      <c r="BRO44" s="60"/>
      <c r="BRP44" s="32"/>
      <c r="BRQ44" s="32"/>
      <c r="BRR44" s="32"/>
      <c r="BRS44" s="32"/>
      <c r="BRT44" s="32"/>
      <c r="BRU44" s="121"/>
      <c r="BRV44" s="32"/>
      <c r="BRW44" s="32"/>
      <c r="BRX44" s="32"/>
      <c r="BRY44" s="32"/>
      <c r="BRZ44" s="32"/>
      <c r="BSA44" s="60"/>
      <c r="BSB44" s="32"/>
      <c r="BSC44" s="32"/>
      <c r="BSD44" s="32"/>
      <c r="BSE44" s="32"/>
      <c r="BSF44" s="32"/>
      <c r="BSG44" s="121"/>
      <c r="BSH44" s="32"/>
      <c r="BSI44" s="32"/>
      <c r="BSJ44" s="32"/>
      <c r="BSK44" s="32"/>
      <c r="BSL44" s="32"/>
      <c r="BSM44" s="60"/>
      <c r="BSN44" s="32"/>
      <c r="BSO44" s="32"/>
      <c r="BSP44" s="32"/>
      <c r="BSQ44" s="32"/>
      <c r="BSR44" s="32"/>
      <c r="BSS44" s="33"/>
      <c r="BST44" s="31"/>
      <c r="BSU44" s="32"/>
      <c r="BSV44" s="32"/>
      <c r="BSW44" s="32"/>
      <c r="BSX44" s="32"/>
      <c r="BSY44" s="116"/>
      <c r="BSZ44" s="32"/>
      <c r="BTA44" s="32"/>
      <c r="BTB44" s="32"/>
      <c r="BTC44" s="32"/>
      <c r="BTD44" s="32"/>
      <c r="BTE44" s="121"/>
      <c r="BTF44" s="32"/>
      <c r="BTG44" s="32"/>
      <c r="BTH44" s="32"/>
      <c r="BTI44" s="32"/>
      <c r="BTJ44" s="32"/>
      <c r="BTK44" s="60"/>
      <c r="BTL44" s="32"/>
      <c r="BTM44" s="32"/>
      <c r="BTN44" s="32"/>
      <c r="BTO44" s="32"/>
      <c r="BTP44" s="32"/>
      <c r="BTQ44" s="121"/>
      <c r="BTR44" s="32"/>
      <c r="BTS44" s="32"/>
      <c r="BTT44" s="32"/>
      <c r="BTU44" s="32"/>
      <c r="BTV44" s="32"/>
      <c r="BTW44" s="60"/>
      <c r="BTX44" s="32"/>
      <c r="BTY44" s="32"/>
      <c r="BTZ44" s="32"/>
      <c r="BUA44" s="32"/>
      <c r="BUB44" s="32"/>
      <c r="BUC44" s="121"/>
      <c r="BUD44" s="32"/>
      <c r="BUE44" s="32"/>
      <c r="BUF44" s="32"/>
      <c r="BUG44" s="32"/>
      <c r="BUH44" s="32"/>
      <c r="BUI44" s="60"/>
      <c r="BUJ44" s="32"/>
      <c r="BUK44" s="32"/>
      <c r="BUL44" s="32"/>
      <c r="BUM44" s="32"/>
      <c r="BUN44" s="32"/>
      <c r="BUO44" s="121"/>
      <c r="BUP44" s="32"/>
      <c r="BUQ44" s="32"/>
      <c r="BUR44" s="32"/>
      <c r="BUS44" s="32"/>
      <c r="BUT44" s="32"/>
      <c r="BUU44" s="60"/>
      <c r="BUV44" s="32"/>
      <c r="BUW44" s="32"/>
      <c r="BUX44" s="32"/>
      <c r="BUY44" s="32"/>
      <c r="BUZ44" s="32"/>
      <c r="BVA44" s="33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7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35"/>
      <c r="BJO45" s="36"/>
      <c r="BJP45" s="36"/>
      <c r="BJQ45" s="36"/>
      <c r="BJR45" s="36"/>
      <c r="BJS45" s="117"/>
      <c r="BJT45" s="36"/>
      <c r="BJU45" s="36"/>
      <c r="BJV45" s="36"/>
      <c r="BJW45" s="36"/>
      <c r="BJX45" s="36"/>
      <c r="BJY45" s="122"/>
      <c r="BJZ45" s="36"/>
      <c r="BKA45" s="36"/>
      <c r="BKB45" s="36"/>
      <c r="BKC45" s="36"/>
      <c r="BKD45" s="36"/>
      <c r="BKE45" s="61"/>
      <c r="BKF45" s="36"/>
      <c r="BKG45" s="36"/>
      <c r="BKH45" s="36"/>
      <c r="BKI45" s="36"/>
      <c r="BKJ45" s="36"/>
      <c r="BKK45" s="122"/>
      <c r="BKL45" s="36"/>
      <c r="BKM45" s="36"/>
      <c r="BKN45" s="36"/>
      <c r="BKO45" s="36"/>
      <c r="BKP45" s="36"/>
      <c r="BKQ45" s="61"/>
      <c r="BKR45" s="36"/>
      <c r="BKS45" s="36"/>
      <c r="BKT45" s="36"/>
      <c r="BKU45" s="36"/>
      <c r="BKV45" s="36"/>
      <c r="BKW45" s="122"/>
      <c r="BKX45" s="36"/>
      <c r="BKY45" s="36"/>
      <c r="BKZ45" s="36"/>
      <c r="BLA45" s="36"/>
      <c r="BLB45" s="36"/>
      <c r="BLC45" s="61"/>
      <c r="BLD45" s="36"/>
      <c r="BLE45" s="36"/>
      <c r="BLF45" s="36"/>
      <c r="BLG45" s="36"/>
      <c r="BLH45" s="36"/>
      <c r="BLI45" s="122"/>
      <c r="BLJ45" s="36"/>
      <c r="BLK45" s="36"/>
      <c r="BLL45" s="36"/>
      <c r="BLM45" s="36"/>
      <c r="BLN45" s="36"/>
      <c r="BLO45" s="61"/>
      <c r="BLP45" s="36"/>
      <c r="BLQ45" s="36"/>
      <c r="BLR45" s="36"/>
      <c r="BLS45" s="36"/>
      <c r="BLT45" s="36"/>
      <c r="BLU45" s="37"/>
      <c r="BLV45" s="35"/>
      <c r="BLW45" s="36"/>
      <c r="BLX45" s="36"/>
      <c r="BLY45" s="36"/>
      <c r="BLZ45" s="36"/>
      <c r="BMA45" s="117"/>
      <c r="BMB45" s="36"/>
      <c r="BMC45" s="36"/>
      <c r="BMD45" s="36"/>
      <c r="BME45" s="36"/>
      <c r="BMF45" s="36"/>
      <c r="BMG45" s="122"/>
      <c r="BMH45" s="36"/>
      <c r="BMI45" s="36"/>
      <c r="BMJ45" s="36"/>
      <c r="BMK45" s="36"/>
      <c r="BML45" s="36"/>
      <c r="BMM45" s="61"/>
      <c r="BMN45" s="36"/>
      <c r="BMO45" s="36"/>
      <c r="BMP45" s="36"/>
      <c r="BMQ45" s="36"/>
      <c r="BMR45" s="36"/>
      <c r="BMS45" s="122"/>
      <c r="BMT45" s="36"/>
      <c r="BMU45" s="36"/>
      <c r="BMV45" s="36"/>
      <c r="BMW45" s="36"/>
      <c r="BMX45" s="36"/>
      <c r="BMY45" s="61"/>
      <c r="BMZ45" s="36"/>
      <c r="BNA45" s="36"/>
      <c r="BNB45" s="36"/>
      <c r="BNC45" s="36"/>
      <c r="BND45" s="36"/>
      <c r="BNE45" s="122"/>
      <c r="BNF45" s="36"/>
      <c r="BNG45" s="36"/>
      <c r="BNH45" s="36"/>
      <c r="BNI45" s="36"/>
      <c r="BNJ45" s="36"/>
      <c r="BNK45" s="61"/>
      <c r="BNL45" s="36"/>
      <c r="BNM45" s="36"/>
      <c r="BNN45" s="36"/>
      <c r="BNO45" s="36"/>
      <c r="BNP45" s="36"/>
      <c r="BNQ45" s="122"/>
      <c r="BNR45" s="36"/>
      <c r="BNS45" s="36"/>
      <c r="BNT45" s="36"/>
      <c r="BNU45" s="36"/>
      <c r="BNV45" s="36"/>
      <c r="BNW45" s="61"/>
      <c r="BNX45" s="36"/>
      <c r="BNY45" s="36"/>
      <c r="BNZ45" s="36"/>
      <c r="BOA45" s="36"/>
      <c r="BOB45" s="36"/>
      <c r="BOC45" s="37"/>
      <c r="BOD45" s="35"/>
      <c r="BOE45" s="36"/>
      <c r="BOF45" s="36"/>
      <c r="BOG45" s="36"/>
      <c r="BOH45" s="36"/>
      <c r="BOI45" s="117"/>
      <c r="BOJ45" s="36"/>
      <c r="BOK45" s="36"/>
      <c r="BOL45" s="36"/>
      <c r="BOM45" s="36"/>
      <c r="BON45" s="36"/>
      <c r="BOO45" s="122"/>
      <c r="BOP45" s="36"/>
      <c r="BOQ45" s="36"/>
      <c r="BOR45" s="36"/>
      <c r="BOS45" s="36"/>
      <c r="BOT45" s="36"/>
      <c r="BOU45" s="61"/>
      <c r="BOV45" s="36"/>
      <c r="BOW45" s="36"/>
      <c r="BOX45" s="36"/>
      <c r="BOY45" s="36"/>
      <c r="BOZ45" s="36"/>
      <c r="BPA45" s="122"/>
      <c r="BPB45" s="36"/>
      <c r="BPC45" s="36"/>
      <c r="BPD45" s="36"/>
      <c r="BPE45" s="36"/>
      <c r="BPF45" s="36"/>
      <c r="BPG45" s="61"/>
      <c r="BPH45" s="36"/>
      <c r="BPI45" s="36"/>
      <c r="BPJ45" s="36"/>
      <c r="BPK45" s="36"/>
      <c r="BPL45" s="36"/>
      <c r="BPM45" s="122"/>
      <c r="BPN45" s="36"/>
      <c r="BPO45" s="36"/>
      <c r="BPP45" s="36"/>
      <c r="BPQ45" s="36"/>
      <c r="BPR45" s="36"/>
      <c r="BPS45" s="61"/>
      <c r="BPT45" s="36"/>
      <c r="BPU45" s="36"/>
      <c r="BPV45" s="36"/>
      <c r="BPW45" s="36"/>
      <c r="BPX45" s="36"/>
      <c r="BPY45" s="122"/>
      <c r="BPZ45" s="36"/>
      <c r="BQA45" s="36"/>
      <c r="BQB45" s="36"/>
      <c r="BQC45" s="36"/>
      <c r="BQD45" s="36"/>
      <c r="BQE45" s="61"/>
      <c r="BQF45" s="36"/>
      <c r="BQG45" s="36"/>
      <c r="BQH45" s="36"/>
      <c r="BQI45" s="36"/>
      <c r="BQJ45" s="36"/>
      <c r="BQK45" s="37"/>
      <c r="BQL45" s="35"/>
      <c r="BQM45" s="36"/>
      <c r="BQN45" s="36"/>
      <c r="BQO45" s="36"/>
      <c r="BQP45" s="36"/>
      <c r="BQQ45" s="117"/>
      <c r="BQR45" s="36"/>
      <c r="BQS45" s="36"/>
      <c r="BQT45" s="36"/>
      <c r="BQU45" s="36"/>
      <c r="BQV45" s="36"/>
      <c r="BQW45" s="122"/>
      <c r="BQX45" s="36"/>
      <c r="BQY45" s="36"/>
      <c r="BQZ45" s="36"/>
      <c r="BRA45" s="36"/>
      <c r="BRB45" s="36"/>
      <c r="BRC45" s="61"/>
      <c r="BRD45" s="36"/>
      <c r="BRE45" s="36"/>
      <c r="BRF45" s="36"/>
      <c r="BRG45" s="36"/>
      <c r="BRH45" s="36"/>
      <c r="BRI45" s="122"/>
      <c r="BRJ45" s="36"/>
      <c r="BRK45" s="36"/>
      <c r="BRL45" s="36"/>
      <c r="BRM45" s="36"/>
      <c r="BRN45" s="36"/>
      <c r="BRO45" s="61"/>
      <c r="BRP45" s="36"/>
      <c r="BRQ45" s="36"/>
      <c r="BRR45" s="36"/>
      <c r="BRS45" s="36"/>
      <c r="BRT45" s="36"/>
      <c r="BRU45" s="122"/>
      <c r="BRV45" s="36"/>
      <c r="BRW45" s="36"/>
      <c r="BRX45" s="36"/>
      <c r="BRY45" s="36"/>
      <c r="BRZ45" s="36"/>
      <c r="BSA45" s="61"/>
      <c r="BSB45" s="36"/>
      <c r="BSC45" s="36"/>
      <c r="BSD45" s="36"/>
      <c r="BSE45" s="36"/>
      <c r="BSF45" s="36"/>
      <c r="BSG45" s="122"/>
      <c r="BSH45" s="36"/>
      <c r="BSI45" s="36"/>
      <c r="BSJ45" s="36"/>
      <c r="BSK45" s="36"/>
      <c r="BSL45" s="36"/>
      <c r="BSM45" s="61"/>
      <c r="BSN45" s="36"/>
      <c r="BSO45" s="36"/>
      <c r="BSP45" s="36"/>
      <c r="BSQ45" s="36"/>
      <c r="BSR45" s="36"/>
      <c r="BSS45" s="37"/>
      <c r="BST45" s="35"/>
      <c r="BSU45" s="36"/>
      <c r="BSV45" s="36"/>
      <c r="BSW45" s="36"/>
      <c r="BSX45" s="36"/>
      <c r="BSY45" s="117"/>
      <c r="BSZ45" s="36"/>
      <c r="BTA45" s="36"/>
      <c r="BTB45" s="36"/>
      <c r="BTC45" s="36"/>
      <c r="BTD45" s="36"/>
      <c r="BTE45" s="122"/>
      <c r="BTF45" s="36"/>
      <c r="BTG45" s="36"/>
      <c r="BTH45" s="36"/>
      <c r="BTI45" s="36"/>
      <c r="BTJ45" s="36"/>
      <c r="BTK45" s="61"/>
      <c r="BTL45" s="36"/>
      <c r="BTM45" s="36"/>
      <c r="BTN45" s="36"/>
      <c r="BTO45" s="36"/>
      <c r="BTP45" s="36"/>
      <c r="BTQ45" s="122"/>
      <c r="BTR45" s="36"/>
      <c r="BTS45" s="36"/>
      <c r="BTT45" s="36"/>
      <c r="BTU45" s="36"/>
      <c r="BTV45" s="36"/>
      <c r="BTW45" s="61"/>
      <c r="BTX45" s="36"/>
      <c r="BTY45" s="36"/>
      <c r="BTZ45" s="36"/>
      <c r="BUA45" s="36"/>
      <c r="BUB45" s="36"/>
      <c r="BUC45" s="122"/>
      <c r="BUD45" s="36"/>
      <c r="BUE45" s="36"/>
      <c r="BUF45" s="36"/>
      <c r="BUG45" s="36"/>
      <c r="BUH45" s="36"/>
      <c r="BUI45" s="61"/>
      <c r="BUJ45" s="36"/>
      <c r="BUK45" s="36"/>
      <c r="BUL45" s="36"/>
      <c r="BUM45" s="36"/>
      <c r="BUN45" s="36"/>
      <c r="BUO45" s="122"/>
      <c r="BUP45" s="36"/>
      <c r="BUQ45" s="36"/>
      <c r="BUR45" s="36"/>
      <c r="BUS45" s="36"/>
      <c r="BUT45" s="36"/>
      <c r="BUU45" s="61"/>
      <c r="BUV45" s="36"/>
      <c r="BUW45" s="36"/>
      <c r="BUX45" s="36"/>
      <c r="BUY45" s="36"/>
      <c r="BUZ45" s="36"/>
      <c r="BVA45" s="37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75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16"/>
      <c r="BHL46" s="32"/>
      <c r="BHM46" s="32"/>
      <c r="BHN46" s="32"/>
      <c r="BHO46" s="32"/>
      <c r="BHP46" s="32"/>
      <c r="BHQ46" s="121"/>
      <c r="BHR46" s="32"/>
      <c r="BHS46" s="32"/>
      <c r="BHT46" s="32"/>
      <c r="BHU46" s="32"/>
      <c r="BHV46" s="32"/>
      <c r="BHW46" s="60"/>
      <c r="BHX46" s="32"/>
      <c r="BHY46" s="32"/>
      <c r="BHZ46" s="32"/>
      <c r="BIA46" s="32"/>
      <c r="BIB46" s="32"/>
      <c r="BIC46" s="121"/>
      <c r="BID46" s="32"/>
      <c r="BIE46" s="32"/>
      <c r="BIF46" s="32"/>
      <c r="BIG46" s="32"/>
      <c r="BIH46" s="32"/>
      <c r="BII46" s="60"/>
      <c r="BIJ46" s="32"/>
      <c r="BIK46" s="32"/>
      <c r="BIL46" s="32"/>
      <c r="BIM46" s="32"/>
      <c r="BIN46" s="32"/>
      <c r="BIO46" s="121"/>
      <c r="BIP46" s="32"/>
      <c r="BIQ46" s="32"/>
      <c r="BIR46" s="32"/>
      <c r="BIS46" s="32"/>
      <c r="BIT46" s="32"/>
      <c r="BIU46" s="60"/>
      <c r="BIV46" s="32"/>
      <c r="BIW46" s="32"/>
      <c r="BIX46" s="32"/>
      <c r="BIY46" s="32"/>
      <c r="BIZ46" s="32"/>
      <c r="BJA46" s="121"/>
      <c r="BJB46" s="32"/>
      <c r="BJC46" s="32"/>
      <c r="BJD46" s="32"/>
      <c r="BJE46" s="32"/>
      <c r="BJF46" s="32"/>
      <c r="BJG46" s="60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16"/>
      <c r="BJT46" s="32"/>
      <c r="BJU46" s="32"/>
      <c r="BJV46" s="32"/>
      <c r="BJW46" s="32"/>
      <c r="BJX46" s="32"/>
      <c r="BJY46" s="121"/>
      <c r="BJZ46" s="32"/>
      <c r="BKA46" s="32"/>
      <c r="BKB46" s="32"/>
      <c r="BKC46" s="32"/>
      <c r="BKD46" s="32"/>
      <c r="BKE46" s="60"/>
      <c r="BKF46" s="32"/>
      <c r="BKG46" s="32"/>
      <c r="BKH46" s="32"/>
      <c r="BKI46" s="32"/>
      <c r="BKJ46" s="32"/>
      <c r="BKK46" s="121"/>
      <c r="BKL46" s="32"/>
      <c r="BKM46" s="32"/>
      <c r="BKN46" s="32"/>
      <c r="BKO46" s="32"/>
      <c r="BKP46" s="32"/>
      <c r="BKQ46" s="60"/>
      <c r="BKR46" s="32"/>
      <c r="BKS46" s="32"/>
      <c r="BKT46" s="32"/>
      <c r="BKU46" s="32"/>
      <c r="BKV46" s="32"/>
      <c r="BKW46" s="121"/>
      <c r="BKX46" s="32"/>
      <c r="BKY46" s="32"/>
      <c r="BKZ46" s="32"/>
      <c r="BLA46" s="32"/>
      <c r="BLB46" s="32"/>
      <c r="BLC46" s="60"/>
      <c r="BLD46" s="32"/>
      <c r="BLE46" s="32"/>
      <c r="BLF46" s="32"/>
      <c r="BLG46" s="32"/>
      <c r="BLH46" s="32"/>
      <c r="BLI46" s="121"/>
      <c r="BLJ46" s="32"/>
      <c r="BLK46" s="32"/>
      <c r="BLL46" s="32"/>
      <c r="BLM46" s="32"/>
      <c r="BLN46" s="32"/>
      <c r="BLO46" s="60"/>
      <c r="BLP46" s="32"/>
      <c r="BLQ46" s="32"/>
      <c r="BLR46" s="32"/>
      <c r="BLS46" s="32"/>
      <c r="BLT46" s="32"/>
      <c r="BLU46" s="33"/>
      <c r="BLV46" s="31"/>
      <c r="BLW46" s="32"/>
      <c r="BLX46" s="32"/>
      <c r="BLY46" s="32"/>
      <c r="BLZ46" s="32"/>
      <c r="BMA46" s="116"/>
      <c r="BMB46" s="32"/>
      <c r="BMC46" s="32"/>
      <c r="BMD46" s="32"/>
      <c r="BME46" s="32"/>
      <c r="BMF46" s="32"/>
      <c r="BMG46" s="121"/>
      <c r="BMH46" s="32"/>
      <c r="BMI46" s="32"/>
      <c r="BMJ46" s="32"/>
      <c r="BMK46" s="32"/>
      <c r="BML46" s="32"/>
      <c r="BMM46" s="60"/>
      <c r="BMN46" s="32"/>
      <c r="BMO46" s="32"/>
      <c r="BMP46" s="32"/>
      <c r="BMQ46" s="32"/>
      <c r="BMR46" s="32"/>
      <c r="BMS46" s="121"/>
      <c r="BMT46" s="32"/>
      <c r="BMU46" s="32"/>
      <c r="BMV46" s="32"/>
      <c r="BMW46" s="32"/>
      <c r="BMX46" s="32"/>
      <c r="BMY46" s="60"/>
      <c r="BMZ46" s="32"/>
      <c r="BNA46" s="32"/>
      <c r="BNB46" s="32"/>
      <c r="BNC46" s="32"/>
      <c r="BND46" s="32"/>
      <c r="BNE46" s="121"/>
      <c r="BNF46" s="32"/>
      <c r="BNG46" s="32"/>
      <c r="BNH46" s="32"/>
      <c r="BNI46" s="32"/>
      <c r="BNJ46" s="32"/>
      <c r="BNK46" s="60"/>
      <c r="BNL46" s="32"/>
      <c r="BNM46" s="32"/>
      <c r="BNN46" s="32"/>
      <c r="BNO46" s="32"/>
      <c r="BNP46" s="32"/>
      <c r="BNQ46" s="121"/>
      <c r="BNR46" s="32"/>
      <c r="BNS46" s="32"/>
      <c r="BNT46" s="32"/>
      <c r="BNU46" s="32"/>
      <c r="BNV46" s="32"/>
      <c r="BNW46" s="60"/>
      <c r="BNX46" s="32"/>
      <c r="BNY46" s="32"/>
      <c r="BNZ46" s="32"/>
      <c r="BOA46" s="32"/>
      <c r="BOB46" s="32"/>
      <c r="BOC46" s="33"/>
      <c r="BOD46" s="31"/>
      <c r="BOE46" s="32"/>
      <c r="BOF46" s="32"/>
      <c r="BOG46" s="32"/>
      <c r="BOH46" s="32"/>
      <c r="BOI46" s="116"/>
      <c r="BOJ46" s="32"/>
      <c r="BOK46" s="32"/>
      <c r="BOL46" s="32"/>
      <c r="BOM46" s="32"/>
      <c r="BON46" s="32"/>
      <c r="BOO46" s="121"/>
      <c r="BOP46" s="32"/>
      <c r="BOQ46" s="32"/>
      <c r="BOR46" s="32"/>
      <c r="BOS46" s="32"/>
      <c r="BOT46" s="32"/>
      <c r="BOU46" s="60"/>
      <c r="BOV46" s="32"/>
      <c r="BOW46" s="32"/>
      <c r="BOX46" s="32"/>
      <c r="BOY46" s="32"/>
      <c r="BOZ46" s="32"/>
      <c r="BPA46" s="121"/>
      <c r="BPB46" s="32"/>
      <c r="BPC46" s="32"/>
      <c r="BPD46" s="32"/>
      <c r="BPE46" s="32"/>
      <c r="BPF46" s="32"/>
      <c r="BPG46" s="60"/>
      <c r="BPH46" s="32"/>
      <c r="BPI46" s="32"/>
      <c r="BPJ46" s="32"/>
      <c r="BPK46" s="32"/>
      <c r="BPL46" s="32"/>
      <c r="BPM46" s="121"/>
      <c r="BPN46" s="32"/>
      <c r="BPO46" s="32"/>
      <c r="BPP46" s="32"/>
      <c r="BPQ46" s="32"/>
      <c r="BPR46" s="32"/>
      <c r="BPS46" s="60"/>
      <c r="BPT46" s="32"/>
      <c r="BPU46" s="32"/>
      <c r="BPV46" s="32"/>
      <c r="BPW46" s="32"/>
      <c r="BPX46" s="32"/>
      <c r="BPY46" s="121"/>
      <c r="BPZ46" s="32"/>
      <c r="BQA46" s="32"/>
      <c r="BQB46" s="32"/>
      <c r="BQC46" s="32"/>
      <c r="BQD46" s="32"/>
      <c r="BQE46" s="60"/>
      <c r="BQF46" s="32"/>
      <c r="BQG46" s="32"/>
      <c r="BQH46" s="32"/>
      <c r="BQI46" s="32"/>
      <c r="BQJ46" s="32"/>
      <c r="BQK46" s="33"/>
      <c r="BQL46" s="31"/>
      <c r="BQM46" s="32"/>
      <c r="BQN46" s="32"/>
      <c r="BQO46" s="32"/>
      <c r="BQP46" s="32"/>
      <c r="BQQ46" s="116"/>
      <c r="BQR46" s="32"/>
      <c r="BQS46" s="32"/>
      <c r="BQT46" s="32"/>
      <c r="BQU46" s="32"/>
      <c r="BQV46" s="32"/>
      <c r="BQW46" s="121"/>
      <c r="BQX46" s="32"/>
      <c r="BQY46" s="32"/>
      <c r="BQZ46" s="32"/>
      <c r="BRA46" s="32"/>
      <c r="BRB46" s="32"/>
      <c r="BRC46" s="60"/>
      <c r="BRD46" s="32"/>
      <c r="BRE46" s="32"/>
      <c r="BRF46" s="32"/>
      <c r="BRG46" s="32"/>
      <c r="BRH46" s="32"/>
      <c r="BRI46" s="121"/>
      <c r="BRJ46" s="32"/>
      <c r="BRK46" s="32"/>
      <c r="BRL46" s="32"/>
      <c r="BRM46" s="32"/>
      <c r="BRN46" s="32"/>
      <c r="BRO46" s="60"/>
      <c r="BRP46" s="32"/>
      <c r="BRQ46" s="32"/>
      <c r="BRR46" s="32"/>
      <c r="BRS46" s="32"/>
      <c r="BRT46" s="32"/>
      <c r="BRU46" s="121"/>
      <c r="BRV46" s="32"/>
      <c r="BRW46" s="32"/>
      <c r="BRX46" s="32"/>
      <c r="BRY46" s="32"/>
      <c r="BRZ46" s="32"/>
      <c r="BSA46" s="60"/>
      <c r="BSB46" s="32"/>
      <c r="BSC46" s="32"/>
      <c r="BSD46" s="32"/>
      <c r="BSE46" s="32"/>
      <c r="BSF46" s="32"/>
      <c r="BSG46" s="121"/>
      <c r="BSH46" s="32"/>
      <c r="BSI46" s="32"/>
      <c r="BSJ46" s="32"/>
      <c r="BSK46" s="32"/>
      <c r="BSL46" s="32"/>
      <c r="BSM46" s="60"/>
      <c r="BSN46" s="32"/>
      <c r="BSO46" s="32"/>
      <c r="BSP46" s="32"/>
      <c r="BSQ46" s="32"/>
      <c r="BSR46" s="32"/>
      <c r="BSS46" s="33"/>
      <c r="BST46" s="31"/>
      <c r="BSU46" s="32"/>
      <c r="BSV46" s="32"/>
      <c r="BSW46" s="32"/>
      <c r="BSX46" s="32"/>
      <c r="BSY46" s="116"/>
      <c r="BSZ46" s="32"/>
      <c r="BTA46" s="32"/>
      <c r="BTB46" s="32"/>
      <c r="BTC46" s="32"/>
      <c r="BTD46" s="32"/>
      <c r="BTE46" s="121"/>
      <c r="BTF46" s="32"/>
      <c r="BTG46" s="32"/>
      <c r="BTH46" s="32"/>
      <c r="BTI46" s="32"/>
      <c r="BTJ46" s="32"/>
      <c r="BTK46" s="60"/>
      <c r="BTL46" s="32"/>
      <c r="BTM46" s="32"/>
      <c r="BTN46" s="32"/>
      <c r="BTO46" s="32"/>
      <c r="BTP46" s="32"/>
      <c r="BTQ46" s="121"/>
      <c r="BTR46" s="32"/>
      <c r="BTS46" s="32"/>
      <c r="BTT46" s="32"/>
      <c r="BTU46" s="32"/>
      <c r="BTV46" s="32"/>
      <c r="BTW46" s="60"/>
      <c r="BTX46" s="32"/>
      <c r="BTY46" s="32"/>
      <c r="BTZ46" s="32"/>
      <c r="BUA46" s="32"/>
      <c r="BUB46" s="32"/>
      <c r="BUC46" s="121"/>
      <c r="BUD46" s="32"/>
      <c r="BUE46" s="32"/>
      <c r="BUF46" s="32"/>
      <c r="BUG46" s="32"/>
      <c r="BUH46" s="32"/>
      <c r="BUI46" s="60"/>
      <c r="BUJ46" s="32"/>
      <c r="BUK46" s="32"/>
      <c r="BUL46" s="32"/>
      <c r="BUM46" s="32"/>
      <c r="BUN46" s="32"/>
      <c r="BUO46" s="121"/>
      <c r="BUP46" s="32"/>
      <c r="BUQ46" s="32"/>
      <c r="BUR46" s="32"/>
      <c r="BUS46" s="32"/>
      <c r="BUT46" s="32"/>
      <c r="BUU46" s="60"/>
      <c r="BUV46" s="32"/>
      <c r="BUW46" s="32"/>
      <c r="BUX46" s="32"/>
      <c r="BUY46" s="32"/>
      <c r="BUZ46" s="32"/>
      <c r="BVA46" s="33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7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36"/>
      <c r="BIE47" s="36"/>
      <c r="BIF47" s="36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35"/>
      <c r="BJO47" s="36"/>
      <c r="BJP47" s="36"/>
      <c r="BJQ47" s="36"/>
      <c r="BJR47" s="36"/>
      <c r="BJS47" s="117"/>
      <c r="BJT47" s="36"/>
      <c r="BJU47" s="36"/>
      <c r="BJV47" s="36"/>
      <c r="BJW47" s="36"/>
      <c r="BJX47" s="36"/>
      <c r="BJY47" s="122"/>
      <c r="BJZ47" s="36"/>
      <c r="BKA47" s="36"/>
      <c r="BKB47" s="36"/>
      <c r="BKC47" s="36"/>
      <c r="BKD47" s="36"/>
      <c r="BKE47" s="61"/>
      <c r="BKF47" s="36"/>
      <c r="BKG47" s="36"/>
      <c r="BKH47" s="36"/>
      <c r="BKI47" s="36"/>
      <c r="BKJ47" s="36"/>
      <c r="BKK47" s="122"/>
      <c r="BKL47" s="36"/>
      <c r="BKM47" s="36"/>
      <c r="BKN47" s="36"/>
      <c r="BKO47" s="36"/>
      <c r="BKP47" s="36"/>
      <c r="BKQ47" s="61"/>
      <c r="BKR47" s="36"/>
      <c r="BKS47" s="36"/>
      <c r="BKT47" s="36"/>
      <c r="BKU47" s="36"/>
      <c r="BKV47" s="36"/>
      <c r="BKW47" s="122"/>
      <c r="BKX47" s="36"/>
      <c r="BKY47" s="36"/>
      <c r="BKZ47" s="36"/>
      <c r="BLA47" s="36"/>
      <c r="BLB47" s="36"/>
      <c r="BLC47" s="61"/>
      <c r="BLD47" s="36"/>
      <c r="BLE47" s="36"/>
      <c r="BLF47" s="36"/>
      <c r="BLG47" s="36"/>
      <c r="BLH47" s="36"/>
      <c r="BLI47" s="122"/>
      <c r="BLJ47" s="36"/>
      <c r="BLK47" s="36"/>
      <c r="BLL47" s="36"/>
      <c r="BLM47" s="36"/>
      <c r="BLN47" s="36"/>
      <c r="BLO47" s="61"/>
      <c r="BLP47" s="36"/>
      <c r="BLQ47" s="36"/>
      <c r="BLR47" s="36"/>
      <c r="BLS47" s="36"/>
      <c r="BLT47" s="36"/>
      <c r="BLU47" s="37"/>
      <c r="BLV47" s="35"/>
      <c r="BLW47" s="36"/>
      <c r="BLX47" s="36"/>
      <c r="BLY47" s="36"/>
      <c r="BLZ47" s="36"/>
      <c r="BMA47" s="117"/>
      <c r="BMB47" s="36"/>
      <c r="BMC47" s="36"/>
      <c r="BMD47" s="36"/>
      <c r="BME47" s="36"/>
      <c r="BMF47" s="36"/>
      <c r="BMG47" s="122"/>
      <c r="BMH47" s="36"/>
      <c r="BMI47" s="36"/>
      <c r="BMJ47" s="36"/>
      <c r="BMK47" s="36"/>
      <c r="BML47" s="36"/>
      <c r="BMM47" s="61"/>
      <c r="BMN47" s="36"/>
      <c r="BMO47" s="36"/>
      <c r="BMP47" s="36"/>
      <c r="BMQ47" s="36"/>
      <c r="BMR47" s="36"/>
      <c r="BMS47" s="122"/>
      <c r="BMT47" s="36"/>
      <c r="BMU47" s="36"/>
      <c r="BMV47" s="36"/>
      <c r="BMW47" s="36"/>
      <c r="BMX47" s="36"/>
      <c r="BMY47" s="61"/>
      <c r="BMZ47" s="36"/>
      <c r="BNA47" s="36"/>
      <c r="BNB47" s="36"/>
      <c r="BNC47" s="36"/>
      <c r="BND47" s="36"/>
      <c r="BNE47" s="122"/>
      <c r="BNF47" s="36"/>
      <c r="BNG47" s="36"/>
      <c r="BNH47" s="36"/>
      <c r="BNI47" s="36"/>
      <c r="BNJ47" s="36"/>
      <c r="BNK47" s="61"/>
      <c r="BNL47" s="36"/>
      <c r="BNM47" s="36"/>
      <c r="BNN47" s="36"/>
      <c r="BNO47" s="36"/>
      <c r="BNP47" s="36"/>
      <c r="BNQ47" s="122"/>
      <c r="BNR47" s="36"/>
      <c r="BNS47" s="36"/>
      <c r="BNT47" s="36"/>
      <c r="BNU47" s="36"/>
      <c r="BNV47" s="36"/>
      <c r="BNW47" s="61"/>
      <c r="BNX47" s="36"/>
      <c r="BNY47" s="36"/>
      <c r="BNZ47" s="36"/>
      <c r="BOA47" s="36"/>
      <c r="BOB47" s="36"/>
      <c r="BOC47" s="37"/>
      <c r="BOD47" s="35"/>
      <c r="BOE47" s="36"/>
      <c r="BOF47" s="36"/>
      <c r="BOG47" s="36"/>
      <c r="BOH47" s="36"/>
      <c r="BOI47" s="117"/>
      <c r="BOJ47" s="36"/>
      <c r="BOK47" s="36"/>
      <c r="BOL47" s="36"/>
      <c r="BOM47" s="36"/>
      <c r="BON47" s="36"/>
      <c r="BOO47" s="122"/>
      <c r="BOP47" s="36"/>
      <c r="BOQ47" s="36"/>
      <c r="BOR47" s="36"/>
      <c r="BOS47" s="36"/>
      <c r="BOT47" s="36"/>
      <c r="BOU47" s="61"/>
      <c r="BOV47" s="36"/>
      <c r="BOW47" s="36"/>
      <c r="BOX47" s="36"/>
      <c r="BOY47" s="36"/>
      <c r="BOZ47" s="36"/>
      <c r="BPA47" s="122"/>
      <c r="BPB47" s="36"/>
      <c r="BPC47" s="36"/>
      <c r="BPD47" s="36"/>
      <c r="BPE47" s="36"/>
      <c r="BPF47" s="36"/>
      <c r="BPG47" s="61"/>
      <c r="BPH47" s="36"/>
      <c r="BPI47" s="36"/>
      <c r="BPJ47" s="36"/>
      <c r="BPK47" s="36"/>
      <c r="BPL47" s="36"/>
      <c r="BPM47" s="122"/>
      <c r="BPN47" s="36"/>
      <c r="BPO47" s="36"/>
      <c r="BPP47" s="36"/>
      <c r="BPQ47" s="36"/>
      <c r="BPR47" s="36"/>
      <c r="BPS47" s="61"/>
      <c r="BPT47" s="36"/>
      <c r="BPU47" s="36"/>
      <c r="BPV47" s="36"/>
      <c r="BPW47" s="36"/>
      <c r="BPX47" s="36"/>
      <c r="BPY47" s="122"/>
      <c r="BPZ47" s="36"/>
      <c r="BQA47" s="36"/>
      <c r="BQB47" s="36"/>
      <c r="BQC47" s="36"/>
      <c r="BQD47" s="36"/>
      <c r="BQE47" s="61"/>
      <c r="BQF47" s="36"/>
      <c r="BQG47" s="36"/>
      <c r="BQH47" s="36"/>
      <c r="BQI47" s="36"/>
      <c r="BQJ47" s="36"/>
      <c r="BQK47" s="37"/>
      <c r="BQL47" s="35"/>
      <c r="BQM47" s="36"/>
      <c r="BQN47" s="36"/>
      <c r="BQO47" s="36"/>
      <c r="BQP47" s="36"/>
      <c r="BQQ47" s="117"/>
      <c r="BQR47" s="36"/>
      <c r="BQS47" s="36"/>
      <c r="BQT47" s="36"/>
      <c r="BQU47" s="36"/>
      <c r="BQV47" s="36"/>
      <c r="BQW47" s="122"/>
      <c r="BQX47" s="36"/>
      <c r="BQY47" s="36"/>
      <c r="BQZ47" s="36"/>
      <c r="BRA47" s="36"/>
      <c r="BRB47" s="36"/>
      <c r="BRC47" s="61"/>
      <c r="BRD47" s="36"/>
      <c r="BRE47" s="36"/>
      <c r="BRF47" s="36"/>
      <c r="BRG47" s="36"/>
      <c r="BRH47" s="36"/>
      <c r="BRI47" s="122"/>
      <c r="BRJ47" s="36"/>
      <c r="BRK47" s="36"/>
      <c r="BRL47" s="36"/>
      <c r="BRM47" s="36"/>
      <c r="BRN47" s="36"/>
      <c r="BRO47" s="61"/>
      <c r="BRP47" s="36"/>
      <c r="BRQ47" s="36"/>
      <c r="BRR47" s="36"/>
      <c r="BRS47" s="36"/>
      <c r="BRT47" s="36"/>
      <c r="BRU47" s="122"/>
      <c r="BRV47" s="36"/>
      <c r="BRW47" s="36"/>
      <c r="BRX47" s="36"/>
      <c r="BRY47" s="36"/>
      <c r="BRZ47" s="36"/>
      <c r="BSA47" s="61"/>
      <c r="BSB47" s="36"/>
      <c r="BSC47" s="36"/>
      <c r="BSD47" s="36"/>
      <c r="BSE47" s="36"/>
      <c r="BSF47" s="36"/>
      <c r="BSG47" s="122"/>
      <c r="BSH47" s="36"/>
      <c r="BSI47" s="36"/>
      <c r="BSJ47" s="36"/>
      <c r="BSK47" s="36"/>
      <c r="BSL47" s="36"/>
      <c r="BSM47" s="61"/>
      <c r="BSN47" s="36"/>
      <c r="BSO47" s="36"/>
      <c r="BSP47" s="36"/>
      <c r="BSQ47" s="36"/>
      <c r="BSR47" s="36"/>
      <c r="BSS47" s="37"/>
      <c r="BST47" s="35"/>
      <c r="BSU47" s="36"/>
      <c r="BSV47" s="36"/>
      <c r="BSW47" s="36"/>
      <c r="BSX47" s="36"/>
      <c r="BSY47" s="117"/>
      <c r="BSZ47" s="36"/>
      <c r="BTA47" s="36"/>
      <c r="BTB47" s="36"/>
      <c r="BTC47" s="36"/>
      <c r="BTD47" s="36"/>
      <c r="BTE47" s="122"/>
      <c r="BTF47" s="36"/>
      <c r="BTG47" s="36"/>
      <c r="BTH47" s="36"/>
      <c r="BTI47" s="36"/>
      <c r="BTJ47" s="36"/>
      <c r="BTK47" s="61"/>
      <c r="BTL47" s="36"/>
      <c r="BTM47" s="36"/>
      <c r="BTN47" s="36"/>
      <c r="BTO47" s="36"/>
      <c r="BTP47" s="36"/>
      <c r="BTQ47" s="122"/>
      <c r="BTR47" s="36"/>
      <c r="BTS47" s="36"/>
      <c r="BTT47" s="36"/>
      <c r="BTU47" s="36"/>
      <c r="BTV47" s="36"/>
      <c r="BTW47" s="61"/>
      <c r="BTX47" s="36"/>
      <c r="BTY47" s="36"/>
      <c r="BTZ47" s="36"/>
      <c r="BUA47" s="36"/>
      <c r="BUB47" s="36"/>
      <c r="BUC47" s="122"/>
      <c r="BUD47" s="36"/>
      <c r="BUE47" s="36"/>
      <c r="BUF47" s="36"/>
      <c r="BUG47" s="36"/>
      <c r="BUH47" s="36"/>
      <c r="BUI47" s="61"/>
      <c r="BUJ47" s="36"/>
      <c r="BUK47" s="36"/>
      <c r="BUL47" s="36"/>
      <c r="BUM47" s="36"/>
      <c r="BUN47" s="36"/>
      <c r="BUO47" s="122"/>
      <c r="BUP47" s="36"/>
      <c r="BUQ47" s="36"/>
      <c r="BUR47" s="36"/>
      <c r="BUS47" s="36"/>
      <c r="BUT47" s="36"/>
      <c r="BUU47" s="61"/>
      <c r="BUV47" s="36"/>
      <c r="BUW47" s="36"/>
      <c r="BUX47" s="36"/>
      <c r="BUY47" s="36"/>
      <c r="BUZ47" s="36"/>
      <c r="BVA47" s="37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82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14"/>
      <c r="BHL48" s="24"/>
      <c r="BHM48" s="24"/>
      <c r="BHN48" s="24"/>
      <c r="BHO48" s="24"/>
      <c r="BHP48" s="24"/>
      <c r="BHQ48" s="119"/>
      <c r="BHR48" s="24"/>
      <c r="BHS48" s="24"/>
      <c r="BHT48" s="24"/>
      <c r="BHU48" s="24"/>
      <c r="BHV48" s="24"/>
      <c r="BHW48" s="58"/>
      <c r="BHX48" s="24"/>
      <c r="BHY48" s="24"/>
      <c r="BHZ48" s="24"/>
      <c r="BIA48" s="24"/>
      <c r="BIB48" s="24"/>
      <c r="BIC48" s="119"/>
      <c r="BID48" s="24"/>
      <c r="BIE48" s="24"/>
      <c r="BIF48" s="24"/>
      <c r="BIG48" s="24"/>
      <c r="BIH48" s="24"/>
      <c r="BII48" s="58"/>
      <c r="BIJ48" s="24"/>
      <c r="BIK48" s="24"/>
      <c r="BIL48" s="24"/>
      <c r="BIM48" s="24"/>
      <c r="BIN48" s="24"/>
      <c r="BIO48" s="119"/>
      <c r="BIP48" s="24"/>
      <c r="BIQ48" s="24"/>
      <c r="BIR48" s="24"/>
      <c r="BIS48" s="24"/>
      <c r="BIT48" s="24"/>
      <c r="BIU48" s="58"/>
      <c r="BIV48" s="24"/>
      <c r="BIW48" s="24"/>
      <c r="BIX48" s="24"/>
      <c r="BIY48" s="24"/>
      <c r="BIZ48" s="24"/>
      <c r="BJA48" s="119"/>
      <c r="BJB48" s="24"/>
      <c r="BJC48" s="24"/>
      <c r="BJD48" s="24"/>
      <c r="BJE48" s="24"/>
      <c r="BJF48" s="24"/>
      <c r="BJG48" s="58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14"/>
      <c r="BJT48" s="24"/>
      <c r="BJU48" s="24"/>
      <c r="BJV48" s="24"/>
      <c r="BJW48" s="24"/>
      <c r="BJX48" s="24"/>
      <c r="BJY48" s="119"/>
      <c r="BJZ48" s="24"/>
      <c r="BKA48" s="24"/>
      <c r="BKB48" s="24"/>
      <c r="BKC48" s="24"/>
      <c r="BKD48" s="24"/>
      <c r="BKE48" s="58"/>
      <c r="BKF48" s="24"/>
      <c r="BKG48" s="24"/>
      <c r="BKH48" s="24"/>
      <c r="BKI48" s="24"/>
      <c r="BKJ48" s="24"/>
      <c r="BKK48" s="119"/>
      <c r="BKL48" s="24"/>
      <c r="BKM48" s="24"/>
      <c r="BKN48" s="24"/>
      <c r="BKO48" s="24"/>
      <c r="BKP48" s="24"/>
      <c r="BKQ48" s="58"/>
      <c r="BKR48" s="24"/>
      <c r="BKS48" s="24"/>
      <c r="BKT48" s="24"/>
      <c r="BKU48" s="24"/>
      <c r="BKV48" s="24"/>
      <c r="BKW48" s="119"/>
      <c r="BKX48" s="24"/>
      <c r="BKY48" s="24"/>
      <c r="BKZ48" s="24"/>
      <c r="BLA48" s="24"/>
      <c r="BLB48" s="24"/>
      <c r="BLC48" s="58"/>
      <c r="BLD48" s="24"/>
      <c r="BLE48" s="24"/>
      <c r="BLF48" s="24"/>
      <c r="BLG48" s="24"/>
      <c r="BLH48" s="24"/>
      <c r="BLI48" s="119"/>
      <c r="BLJ48" s="24"/>
      <c r="BLK48" s="24"/>
      <c r="BLL48" s="24"/>
      <c r="BLM48" s="24"/>
      <c r="BLN48" s="24"/>
      <c r="BLO48" s="58"/>
      <c r="BLP48" s="24"/>
      <c r="BLQ48" s="24"/>
      <c r="BLR48" s="24"/>
      <c r="BLS48" s="24"/>
      <c r="BLT48" s="24"/>
      <c r="BLU48" s="25"/>
      <c r="BLV48" s="23"/>
      <c r="BLW48" s="24"/>
      <c r="BLX48" s="24"/>
      <c r="BLY48" s="24"/>
      <c r="BLZ48" s="24"/>
      <c r="BMA48" s="114"/>
      <c r="BMB48" s="24"/>
      <c r="BMC48" s="24"/>
      <c r="BMD48" s="24"/>
      <c r="BME48" s="24"/>
      <c r="BMF48" s="24"/>
      <c r="BMG48" s="119"/>
      <c r="BMH48" s="24"/>
      <c r="BMI48" s="24"/>
      <c r="BMJ48" s="24"/>
      <c r="BMK48" s="24"/>
      <c r="BML48" s="24"/>
      <c r="BMM48" s="58"/>
      <c r="BMN48" s="24"/>
      <c r="BMO48" s="24"/>
      <c r="BMP48" s="24"/>
      <c r="BMQ48" s="24"/>
      <c r="BMR48" s="24"/>
      <c r="BMS48" s="119"/>
      <c r="BMT48" s="24"/>
      <c r="BMU48" s="24"/>
      <c r="BMV48" s="24"/>
      <c r="BMW48" s="24"/>
      <c r="BMX48" s="24"/>
      <c r="BMY48" s="58"/>
      <c r="BMZ48" s="24"/>
      <c r="BNA48" s="24"/>
      <c r="BNB48" s="24"/>
      <c r="BNC48" s="24"/>
      <c r="BND48" s="24"/>
      <c r="BNE48" s="119"/>
      <c r="BNF48" s="24"/>
      <c r="BNG48" s="24"/>
      <c r="BNH48" s="24"/>
      <c r="BNI48" s="24"/>
      <c r="BNJ48" s="24"/>
      <c r="BNK48" s="58"/>
      <c r="BNL48" s="24"/>
      <c r="BNM48" s="24"/>
      <c r="BNN48" s="24"/>
      <c r="BNO48" s="24"/>
      <c r="BNP48" s="24"/>
      <c r="BNQ48" s="119"/>
      <c r="BNR48" s="24"/>
      <c r="BNS48" s="24"/>
      <c r="BNT48" s="24"/>
      <c r="BNU48" s="24"/>
      <c r="BNV48" s="24"/>
      <c r="BNW48" s="58"/>
      <c r="BNX48" s="24"/>
      <c r="BNY48" s="24"/>
      <c r="BNZ48" s="24"/>
      <c r="BOA48" s="24"/>
      <c r="BOB48" s="24"/>
      <c r="BOC48" s="25"/>
      <c r="BOD48" s="23"/>
      <c r="BOE48" s="24"/>
      <c r="BOF48" s="24"/>
      <c r="BOG48" s="24"/>
      <c r="BOH48" s="24"/>
      <c r="BOI48" s="114"/>
      <c r="BOJ48" s="24"/>
      <c r="BOK48" s="24"/>
      <c r="BOL48" s="24"/>
      <c r="BOM48" s="24"/>
      <c r="BON48" s="24"/>
      <c r="BOO48" s="119"/>
      <c r="BOP48" s="24"/>
      <c r="BOQ48" s="24"/>
      <c r="BOR48" s="24"/>
      <c r="BOS48" s="24"/>
      <c r="BOT48" s="24"/>
      <c r="BOU48" s="58"/>
      <c r="BOV48" s="24"/>
      <c r="BOW48" s="24"/>
      <c r="BOX48" s="24"/>
      <c r="BOY48" s="24"/>
      <c r="BOZ48" s="24"/>
      <c r="BPA48" s="119"/>
      <c r="BPB48" s="24"/>
      <c r="BPC48" s="24"/>
      <c r="BPD48" s="24"/>
      <c r="BPE48" s="24"/>
      <c r="BPF48" s="24"/>
      <c r="BPG48" s="58"/>
      <c r="BPH48" s="24"/>
      <c r="BPI48" s="24"/>
      <c r="BPJ48" s="24"/>
      <c r="BPK48" s="24"/>
      <c r="BPL48" s="24"/>
      <c r="BPM48" s="119"/>
      <c r="BPN48" s="24"/>
      <c r="BPO48" s="24"/>
      <c r="BPP48" s="24"/>
      <c r="BPQ48" s="24"/>
      <c r="BPR48" s="24"/>
      <c r="BPS48" s="58"/>
      <c r="BPT48" s="24"/>
      <c r="BPU48" s="24"/>
      <c r="BPV48" s="24"/>
      <c r="BPW48" s="24"/>
      <c r="BPX48" s="24"/>
      <c r="BPY48" s="119"/>
      <c r="BPZ48" s="24"/>
      <c r="BQA48" s="24"/>
      <c r="BQB48" s="24"/>
      <c r="BQC48" s="24"/>
      <c r="BQD48" s="24"/>
      <c r="BQE48" s="58"/>
      <c r="BQF48" s="24"/>
      <c r="BQG48" s="24"/>
      <c r="BQH48" s="24"/>
      <c r="BQI48" s="24"/>
      <c r="BQJ48" s="24"/>
      <c r="BQK48" s="25"/>
      <c r="BQL48" s="23"/>
      <c r="BQM48" s="24"/>
      <c r="BQN48" s="24"/>
      <c r="BQO48" s="24"/>
      <c r="BQP48" s="24"/>
      <c r="BQQ48" s="114"/>
      <c r="BQR48" s="24"/>
      <c r="BQS48" s="24"/>
      <c r="BQT48" s="24"/>
      <c r="BQU48" s="24"/>
      <c r="BQV48" s="24"/>
      <c r="BQW48" s="119"/>
      <c r="BQX48" s="24"/>
      <c r="BQY48" s="24"/>
      <c r="BQZ48" s="24"/>
      <c r="BRA48" s="24"/>
      <c r="BRB48" s="24"/>
      <c r="BRC48" s="58"/>
      <c r="BRD48" s="24"/>
      <c r="BRE48" s="24"/>
      <c r="BRF48" s="24"/>
      <c r="BRG48" s="24"/>
      <c r="BRH48" s="24"/>
      <c r="BRI48" s="119"/>
      <c r="BRJ48" s="24"/>
      <c r="BRK48" s="24"/>
      <c r="BRL48" s="24"/>
      <c r="BRM48" s="24"/>
      <c r="BRN48" s="24"/>
      <c r="BRO48" s="58"/>
      <c r="BRP48" s="24"/>
      <c r="BRQ48" s="24"/>
      <c r="BRR48" s="24"/>
      <c r="BRS48" s="24"/>
      <c r="BRT48" s="24"/>
      <c r="BRU48" s="119"/>
      <c r="BRV48" s="24"/>
      <c r="BRW48" s="24"/>
      <c r="BRX48" s="24"/>
      <c r="BRY48" s="24"/>
      <c r="BRZ48" s="24"/>
      <c r="BSA48" s="58"/>
      <c r="BSB48" s="24"/>
      <c r="BSC48" s="24"/>
      <c r="BSD48" s="24"/>
      <c r="BSE48" s="24"/>
      <c r="BSF48" s="24"/>
      <c r="BSG48" s="119"/>
      <c r="BSH48" s="24"/>
      <c r="BSI48" s="24"/>
      <c r="BSJ48" s="24"/>
      <c r="BSK48" s="24"/>
      <c r="BSL48" s="24"/>
      <c r="BSM48" s="58"/>
      <c r="BSN48" s="24"/>
      <c r="BSO48" s="24"/>
      <c r="BSP48" s="24"/>
      <c r="BSQ48" s="24"/>
      <c r="BSR48" s="24"/>
      <c r="BSS48" s="25"/>
      <c r="BST48" s="23"/>
      <c r="BSU48" s="24"/>
      <c r="BSV48" s="24"/>
      <c r="BSW48" s="24"/>
      <c r="BSX48" s="24"/>
      <c r="BSY48" s="114"/>
      <c r="BSZ48" s="24"/>
      <c r="BTA48" s="24"/>
      <c r="BTB48" s="24"/>
      <c r="BTC48" s="24"/>
      <c r="BTD48" s="24"/>
      <c r="BTE48" s="119"/>
      <c r="BTF48" s="24"/>
      <c r="BTG48" s="24"/>
      <c r="BTH48" s="24"/>
      <c r="BTI48" s="24"/>
      <c r="BTJ48" s="24"/>
      <c r="BTK48" s="58"/>
      <c r="BTL48" s="24"/>
      <c r="BTM48" s="24"/>
      <c r="BTN48" s="24"/>
      <c r="BTO48" s="24"/>
      <c r="BTP48" s="24"/>
      <c r="BTQ48" s="119"/>
      <c r="BTR48" s="24"/>
      <c r="BTS48" s="24"/>
      <c r="BTT48" s="24"/>
      <c r="BTU48" s="24"/>
      <c r="BTV48" s="24"/>
      <c r="BTW48" s="58"/>
      <c r="BTX48" s="24"/>
      <c r="BTY48" s="24"/>
      <c r="BTZ48" s="24"/>
      <c r="BUA48" s="24"/>
      <c r="BUB48" s="24"/>
      <c r="BUC48" s="119"/>
      <c r="BUD48" s="24"/>
      <c r="BUE48" s="24"/>
      <c r="BUF48" s="24"/>
      <c r="BUG48" s="24"/>
      <c r="BUH48" s="24"/>
      <c r="BUI48" s="58"/>
      <c r="BUJ48" s="24"/>
      <c r="BUK48" s="24"/>
      <c r="BUL48" s="24"/>
      <c r="BUM48" s="24"/>
      <c r="BUN48" s="24"/>
      <c r="BUO48" s="119"/>
      <c r="BUP48" s="24"/>
      <c r="BUQ48" s="24"/>
      <c r="BUR48" s="24"/>
      <c r="BUS48" s="24"/>
      <c r="BUT48" s="24"/>
      <c r="BUU48" s="58"/>
      <c r="BUV48" s="24"/>
      <c r="BUW48" s="24"/>
      <c r="BUX48" s="24"/>
      <c r="BUY48" s="24"/>
      <c r="BUZ48" s="24"/>
      <c r="BVA48" s="25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7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27"/>
      <c r="BJO49" s="28"/>
      <c r="BJP49" s="28"/>
      <c r="BJQ49" s="28"/>
      <c r="BJR49" s="28"/>
      <c r="BJS49" s="115"/>
      <c r="BJT49" s="28"/>
      <c r="BJU49" s="28"/>
      <c r="BJV49" s="28"/>
      <c r="BJW49" s="28"/>
      <c r="BJX49" s="28"/>
      <c r="BJY49" s="120"/>
      <c r="BJZ49" s="28"/>
      <c r="BKA49" s="28"/>
      <c r="BKB49" s="28"/>
      <c r="BKC49" s="28"/>
      <c r="BKD49" s="28"/>
      <c r="BKE49" s="59"/>
      <c r="BKF49" s="28"/>
      <c r="BKG49" s="28"/>
      <c r="BKH49" s="28"/>
      <c r="BKI49" s="28"/>
      <c r="BKJ49" s="28"/>
      <c r="BKK49" s="120"/>
      <c r="BKL49" s="28"/>
      <c r="BKM49" s="28"/>
      <c r="BKN49" s="28"/>
      <c r="BKO49" s="28"/>
      <c r="BKP49" s="28"/>
      <c r="BKQ49" s="59"/>
      <c r="BKR49" s="28"/>
      <c r="BKS49" s="28"/>
      <c r="BKT49" s="28"/>
      <c r="BKU49" s="28"/>
      <c r="BKV49" s="28"/>
      <c r="BKW49" s="120"/>
      <c r="BKX49" s="28"/>
      <c r="BKY49" s="28"/>
      <c r="BKZ49" s="28"/>
      <c r="BLA49" s="28"/>
      <c r="BLB49" s="28"/>
      <c r="BLC49" s="59"/>
      <c r="BLD49" s="28"/>
      <c r="BLE49" s="28"/>
      <c r="BLF49" s="28"/>
      <c r="BLG49" s="28"/>
      <c r="BLH49" s="28"/>
      <c r="BLI49" s="120"/>
      <c r="BLJ49" s="28"/>
      <c r="BLK49" s="28"/>
      <c r="BLL49" s="28"/>
      <c r="BLM49" s="28"/>
      <c r="BLN49" s="28"/>
      <c r="BLO49" s="59"/>
      <c r="BLP49" s="28"/>
      <c r="BLQ49" s="28"/>
      <c r="BLR49" s="28"/>
      <c r="BLS49" s="28"/>
      <c r="BLT49" s="28"/>
      <c r="BLU49" s="29"/>
      <c r="BLV49" s="27"/>
      <c r="BLW49" s="28"/>
      <c r="BLX49" s="28"/>
      <c r="BLY49" s="28"/>
      <c r="BLZ49" s="28"/>
      <c r="BMA49" s="115"/>
      <c r="BMB49" s="28"/>
      <c r="BMC49" s="28"/>
      <c r="BMD49" s="28"/>
      <c r="BME49" s="28"/>
      <c r="BMF49" s="28"/>
      <c r="BMG49" s="120"/>
      <c r="BMH49" s="28"/>
      <c r="BMI49" s="28"/>
      <c r="BMJ49" s="28"/>
      <c r="BMK49" s="28"/>
      <c r="BML49" s="28"/>
      <c r="BMM49" s="59"/>
      <c r="BMN49" s="28"/>
      <c r="BMO49" s="28"/>
      <c r="BMP49" s="28"/>
      <c r="BMQ49" s="28"/>
      <c r="BMR49" s="28"/>
      <c r="BMS49" s="120"/>
      <c r="BMT49" s="28"/>
      <c r="BMU49" s="28"/>
      <c r="BMV49" s="28"/>
      <c r="BMW49" s="28"/>
      <c r="BMX49" s="28"/>
      <c r="BMY49" s="59"/>
      <c r="BMZ49" s="28"/>
      <c r="BNA49" s="28"/>
      <c r="BNB49" s="28"/>
      <c r="BNC49" s="28"/>
      <c r="BND49" s="28"/>
      <c r="BNE49" s="120"/>
      <c r="BNF49" s="28"/>
      <c r="BNG49" s="28"/>
      <c r="BNH49" s="28"/>
      <c r="BNI49" s="28"/>
      <c r="BNJ49" s="28"/>
      <c r="BNK49" s="59"/>
      <c r="BNL49" s="28"/>
      <c r="BNM49" s="28"/>
      <c r="BNN49" s="28"/>
      <c r="BNO49" s="28"/>
      <c r="BNP49" s="28"/>
      <c r="BNQ49" s="120"/>
      <c r="BNR49" s="28"/>
      <c r="BNS49" s="28"/>
      <c r="BNT49" s="28"/>
      <c r="BNU49" s="28"/>
      <c r="BNV49" s="28"/>
      <c r="BNW49" s="59"/>
      <c r="BNX49" s="28"/>
      <c r="BNY49" s="28"/>
      <c r="BNZ49" s="28"/>
      <c r="BOA49" s="28"/>
      <c r="BOB49" s="28"/>
      <c r="BOC49" s="29"/>
      <c r="BOD49" s="27"/>
      <c r="BOE49" s="28"/>
      <c r="BOF49" s="28"/>
      <c r="BOG49" s="28"/>
      <c r="BOH49" s="28"/>
      <c r="BOI49" s="115"/>
      <c r="BOJ49" s="28"/>
      <c r="BOK49" s="28"/>
      <c r="BOL49" s="28"/>
      <c r="BOM49" s="28"/>
      <c r="BON49" s="28"/>
      <c r="BOO49" s="120"/>
      <c r="BOP49" s="28"/>
      <c r="BOQ49" s="28"/>
      <c r="BOR49" s="28"/>
      <c r="BOS49" s="28"/>
      <c r="BOT49" s="28"/>
      <c r="BOU49" s="59"/>
      <c r="BOV49" s="28"/>
      <c r="BOW49" s="28"/>
      <c r="BOX49" s="28"/>
      <c r="BOY49" s="28"/>
      <c r="BOZ49" s="28"/>
      <c r="BPA49" s="120"/>
      <c r="BPB49" s="28"/>
      <c r="BPC49" s="28"/>
      <c r="BPD49" s="28"/>
      <c r="BPE49" s="28"/>
      <c r="BPF49" s="28"/>
      <c r="BPG49" s="59"/>
      <c r="BPH49" s="28"/>
      <c r="BPI49" s="28"/>
      <c r="BPJ49" s="28"/>
      <c r="BPK49" s="28"/>
      <c r="BPL49" s="28"/>
      <c r="BPM49" s="120"/>
      <c r="BPN49" s="28"/>
      <c r="BPO49" s="28"/>
      <c r="BPP49" s="28"/>
      <c r="BPQ49" s="28"/>
      <c r="BPR49" s="28"/>
      <c r="BPS49" s="59"/>
      <c r="BPT49" s="28"/>
      <c r="BPU49" s="28"/>
      <c r="BPV49" s="28"/>
      <c r="BPW49" s="28"/>
      <c r="BPX49" s="28"/>
      <c r="BPY49" s="120"/>
      <c r="BPZ49" s="28"/>
      <c r="BQA49" s="28"/>
      <c r="BQB49" s="28"/>
      <c r="BQC49" s="28"/>
      <c r="BQD49" s="28"/>
      <c r="BQE49" s="59"/>
      <c r="BQF49" s="28"/>
      <c r="BQG49" s="28"/>
      <c r="BQH49" s="28"/>
      <c r="BQI49" s="28"/>
      <c r="BQJ49" s="28"/>
      <c r="BQK49" s="29"/>
      <c r="BQL49" s="27"/>
      <c r="BQM49" s="28"/>
      <c r="BQN49" s="28"/>
      <c r="BQO49" s="28"/>
      <c r="BQP49" s="28"/>
      <c r="BQQ49" s="115"/>
      <c r="BQR49" s="28"/>
      <c r="BQS49" s="28"/>
      <c r="BQT49" s="28"/>
      <c r="BQU49" s="28"/>
      <c r="BQV49" s="28"/>
      <c r="BQW49" s="120"/>
      <c r="BQX49" s="28"/>
      <c r="BQY49" s="28"/>
      <c r="BQZ49" s="28"/>
      <c r="BRA49" s="28"/>
      <c r="BRB49" s="28"/>
      <c r="BRC49" s="59"/>
      <c r="BRD49" s="28"/>
      <c r="BRE49" s="28"/>
      <c r="BRF49" s="28"/>
      <c r="BRG49" s="28"/>
      <c r="BRH49" s="28"/>
      <c r="BRI49" s="120"/>
      <c r="BRJ49" s="28"/>
      <c r="BRK49" s="28"/>
      <c r="BRL49" s="28"/>
      <c r="BRM49" s="28"/>
      <c r="BRN49" s="28"/>
      <c r="BRO49" s="59"/>
      <c r="BRP49" s="28"/>
      <c r="BRQ49" s="28"/>
      <c r="BRR49" s="28"/>
      <c r="BRS49" s="28"/>
      <c r="BRT49" s="28"/>
      <c r="BRU49" s="120"/>
      <c r="BRV49" s="28"/>
      <c r="BRW49" s="28"/>
      <c r="BRX49" s="28"/>
      <c r="BRY49" s="28"/>
      <c r="BRZ49" s="28"/>
      <c r="BSA49" s="59"/>
      <c r="BSB49" s="28"/>
      <c r="BSC49" s="28"/>
      <c r="BSD49" s="28"/>
      <c r="BSE49" s="28"/>
      <c r="BSF49" s="28"/>
      <c r="BSG49" s="120"/>
      <c r="BSH49" s="28"/>
      <c r="BSI49" s="28"/>
      <c r="BSJ49" s="28"/>
      <c r="BSK49" s="28"/>
      <c r="BSL49" s="28"/>
      <c r="BSM49" s="59"/>
      <c r="BSN49" s="28"/>
      <c r="BSO49" s="28"/>
      <c r="BSP49" s="28"/>
      <c r="BSQ49" s="28"/>
      <c r="BSR49" s="28"/>
      <c r="BSS49" s="29"/>
      <c r="BST49" s="27"/>
      <c r="BSU49" s="28"/>
      <c r="BSV49" s="28"/>
      <c r="BSW49" s="28"/>
      <c r="BSX49" s="28"/>
      <c r="BSY49" s="115"/>
      <c r="BSZ49" s="28"/>
      <c r="BTA49" s="28"/>
      <c r="BTB49" s="28"/>
      <c r="BTC49" s="28"/>
      <c r="BTD49" s="28"/>
      <c r="BTE49" s="120"/>
      <c r="BTF49" s="28"/>
      <c r="BTG49" s="28"/>
      <c r="BTH49" s="28"/>
      <c r="BTI49" s="28"/>
      <c r="BTJ49" s="28"/>
      <c r="BTK49" s="59"/>
      <c r="BTL49" s="28"/>
      <c r="BTM49" s="28"/>
      <c r="BTN49" s="28"/>
      <c r="BTO49" s="28"/>
      <c r="BTP49" s="28"/>
      <c r="BTQ49" s="120"/>
      <c r="BTR49" s="28"/>
      <c r="BTS49" s="28"/>
      <c r="BTT49" s="28"/>
      <c r="BTU49" s="28"/>
      <c r="BTV49" s="28"/>
      <c r="BTW49" s="59"/>
      <c r="BTX49" s="28"/>
      <c r="BTY49" s="28"/>
      <c r="BTZ49" s="28"/>
      <c r="BUA49" s="28"/>
      <c r="BUB49" s="28"/>
      <c r="BUC49" s="120"/>
      <c r="BUD49" s="28"/>
      <c r="BUE49" s="28"/>
      <c r="BUF49" s="28"/>
      <c r="BUG49" s="28"/>
      <c r="BUH49" s="28"/>
      <c r="BUI49" s="59"/>
      <c r="BUJ49" s="28"/>
      <c r="BUK49" s="28"/>
      <c r="BUL49" s="28"/>
      <c r="BUM49" s="28"/>
      <c r="BUN49" s="28"/>
      <c r="BUO49" s="120"/>
      <c r="BUP49" s="28"/>
      <c r="BUQ49" s="28"/>
      <c r="BUR49" s="28"/>
      <c r="BUS49" s="28"/>
      <c r="BUT49" s="28"/>
      <c r="BUU49" s="59"/>
      <c r="BUV49" s="28"/>
      <c r="BUW49" s="28"/>
      <c r="BUX49" s="28"/>
      <c r="BUY49" s="28"/>
      <c r="BUZ49" s="28"/>
      <c r="BVA49" s="29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82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16"/>
      <c r="BHL50" s="32"/>
      <c r="BHM50" s="32"/>
      <c r="BHN50" s="32"/>
      <c r="BHO50" s="32"/>
      <c r="BHP50" s="32"/>
      <c r="BHQ50" s="121"/>
      <c r="BHR50" s="32"/>
      <c r="BHS50" s="32"/>
      <c r="BHT50" s="32"/>
      <c r="BHU50" s="32"/>
      <c r="BHV50" s="32"/>
      <c r="BHW50" s="60"/>
      <c r="BHX50" s="32"/>
      <c r="BHY50" s="32"/>
      <c r="BHZ50" s="32"/>
      <c r="BIA50" s="32"/>
      <c r="BIB50" s="32"/>
      <c r="BIC50" s="121"/>
      <c r="BID50" s="32"/>
      <c r="BIE50" s="32"/>
      <c r="BIF50" s="32"/>
      <c r="BIG50" s="32"/>
      <c r="BIH50" s="32"/>
      <c r="BII50" s="60"/>
      <c r="BIJ50" s="32"/>
      <c r="BIK50" s="32"/>
      <c r="BIL50" s="32"/>
      <c r="BIM50" s="32"/>
      <c r="BIN50" s="32"/>
      <c r="BIO50" s="121"/>
      <c r="BIP50" s="32"/>
      <c r="BIQ50" s="32"/>
      <c r="BIR50" s="32"/>
      <c r="BIS50" s="32"/>
      <c r="BIT50" s="32"/>
      <c r="BIU50" s="60"/>
      <c r="BIV50" s="32"/>
      <c r="BIW50" s="32"/>
      <c r="BIX50" s="32"/>
      <c r="BIY50" s="32"/>
      <c r="BIZ50" s="32"/>
      <c r="BJA50" s="121"/>
      <c r="BJB50" s="32"/>
      <c r="BJC50" s="32"/>
      <c r="BJD50" s="32"/>
      <c r="BJE50" s="32"/>
      <c r="BJF50" s="32"/>
      <c r="BJG50" s="60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16"/>
      <c r="BJT50" s="32"/>
      <c r="BJU50" s="32"/>
      <c r="BJV50" s="32"/>
      <c r="BJW50" s="32"/>
      <c r="BJX50" s="32"/>
      <c r="BJY50" s="121"/>
      <c r="BJZ50" s="32"/>
      <c r="BKA50" s="32"/>
      <c r="BKB50" s="32"/>
      <c r="BKC50" s="32"/>
      <c r="BKD50" s="32"/>
      <c r="BKE50" s="60"/>
      <c r="BKF50" s="32"/>
      <c r="BKG50" s="32"/>
      <c r="BKH50" s="32"/>
      <c r="BKI50" s="32"/>
      <c r="BKJ50" s="32"/>
      <c r="BKK50" s="121"/>
      <c r="BKL50" s="32"/>
      <c r="BKM50" s="32"/>
      <c r="BKN50" s="32"/>
      <c r="BKO50" s="32"/>
      <c r="BKP50" s="32"/>
      <c r="BKQ50" s="60"/>
      <c r="BKR50" s="32"/>
      <c r="BKS50" s="32"/>
      <c r="BKT50" s="32"/>
      <c r="BKU50" s="32"/>
      <c r="BKV50" s="32"/>
      <c r="BKW50" s="121"/>
      <c r="BKX50" s="32"/>
      <c r="BKY50" s="32"/>
      <c r="BKZ50" s="32"/>
      <c r="BLA50" s="32"/>
      <c r="BLB50" s="32"/>
      <c r="BLC50" s="60"/>
      <c r="BLD50" s="32"/>
      <c r="BLE50" s="32"/>
      <c r="BLF50" s="32"/>
      <c r="BLG50" s="32"/>
      <c r="BLH50" s="32"/>
      <c r="BLI50" s="121"/>
      <c r="BLJ50" s="32"/>
      <c r="BLK50" s="32"/>
      <c r="BLL50" s="32"/>
      <c r="BLM50" s="32"/>
      <c r="BLN50" s="32"/>
      <c r="BLO50" s="60"/>
      <c r="BLP50" s="32"/>
      <c r="BLQ50" s="32"/>
      <c r="BLR50" s="32"/>
      <c r="BLS50" s="32"/>
      <c r="BLT50" s="32"/>
      <c r="BLU50" s="33"/>
      <c r="BLV50" s="31"/>
      <c r="BLW50" s="32"/>
      <c r="BLX50" s="32"/>
      <c r="BLY50" s="32"/>
      <c r="BLZ50" s="32"/>
      <c r="BMA50" s="116"/>
      <c r="BMB50" s="32"/>
      <c r="BMC50" s="32"/>
      <c r="BMD50" s="32"/>
      <c r="BME50" s="32"/>
      <c r="BMF50" s="32"/>
      <c r="BMG50" s="121"/>
      <c r="BMH50" s="32"/>
      <c r="BMI50" s="32"/>
      <c r="BMJ50" s="32"/>
      <c r="BMK50" s="32"/>
      <c r="BML50" s="32"/>
      <c r="BMM50" s="60"/>
      <c r="BMN50" s="32"/>
      <c r="BMO50" s="32"/>
      <c r="BMP50" s="32"/>
      <c r="BMQ50" s="32"/>
      <c r="BMR50" s="32"/>
      <c r="BMS50" s="121"/>
      <c r="BMT50" s="32"/>
      <c r="BMU50" s="32"/>
      <c r="BMV50" s="32"/>
      <c r="BMW50" s="32"/>
      <c r="BMX50" s="32"/>
      <c r="BMY50" s="60"/>
      <c r="BMZ50" s="32"/>
      <c r="BNA50" s="32"/>
      <c r="BNB50" s="32"/>
      <c r="BNC50" s="32"/>
      <c r="BND50" s="32"/>
      <c r="BNE50" s="121"/>
      <c r="BNF50" s="32"/>
      <c r="BNG50" s="32"/>
      <c r="BNH50" s="32"/>
      <c r="BNI50" s="32"/>
      <c r="BNJ50" s="32"/>
      <c r="BNK50" s="60"/>
      <c r="BNL50" s="32"/>
      <c r="BNM50" s="32"/>
      <c r="BNN50" s="32"/>
      <c r="BNO50" s="32"/>
      <c r="BNP50" s="32"/>
      <c r="BNQ50" s="121"/>
      <c r="BNR50" s="32"/>
      <c r="BNS50" s="32"/>
      <c r="BNT50" s="32"/>
      <c r="BNU50" s="32"/>
      <c r="BNV50" s="32"/>
      <c r="BNW50" s="60"/>
      <c r="BNX50" s="32"/>
      <c r="BNY50" s="32"/>
      <c r="BNZ50" s="32"/>
      <c r="BOA50" s="32"/>
      <c r="BOB50" s="32"/>
      <c r="BOC50" s="33"/>
      <c r="BOD50" s="31"/>
      <c r="BOE50" s="32"/>
      <c r="BOF50" s="32"/>
      <c r="BOG50" s="32"/>
      <c r="BOH50" s="32"/>
      <c r="BOI50" s="116"/>
      <c r="BOJ50" s="32"/>
      <c r="BOK50" s="32"/>
      <c r="BOL50" s="32"/>
      <c r="BOM50" s="32"/>
      <c r="BON50" s="32"/>
      <c r="BOO50" s="121"/>
      <c r="BOP50" s="32"/>
      <c r="BOQ50" s="32"/>
      <c r="BOR50" s="32"/>
      <c r="BOS50" s="32"/>
      <c r="BOT50" s="32"/>
      <c r="BOU50" s="60"/>
      <c r="BOV50" s="32"/>
      <c r="BOW50" s="32"/>
      <c r="BOX50" s="32"/>
      <c r="BOY50" s="32"/>
      <c r="BOZ50" s="32"/>
      <c r="BPA50" s="121"/>
      <c r="BPB50" s="32"/>
      <c r="BPC50" s="32"/>
      <c r="BPD50" s="32"/>
      <c r="BPE50" s="32"/>
      <c r="BPF50" s="32"/>
      <c r="BPG50" s="60"/>
      <c r="BPH50" s="32"/>
      <c r="BPI50" s="32"/>
      <c r="BPJ50" s="32"/>
      <c r="BPK50" s="32"/>
      <c r="BPL50" s="32"/>
      <c r="BPM50" s="121"/>
      <c r="BPN50" s="32"/>
      <c r="BPO50" s="32"/>
      <c r="BPP50" s="32"/>
      <c r="BPQ50" s="32"/>
      <c r="BPR50" s="32"/>
      <c r="BPS50" s="60"/>
      <c r="BPT50" s="32"/>
      <c r="BPU50" s="32"/>
      <c r="BPV50" s="32"/>
      <c r="BPW50" s="32"/>
      <c r="BPX50" s="32"/>
      <c r="BPY50" s="121"/>
      <c r="BPZ50" s="32"/>
      <c r="BQA50" s="32"/>
      <c r="BQB50" s="32"/>
      <c r="BQC50" s="32"/>
      <c r="BQD50" s="32"/>
      <c r="BQE50" s="60"/>
      <c r="BQF50" s="32"/>
      <c r="BQG50" s="32"/>
      <c r="BQH50" s="32"/>
      <c r="BQI50" s="32"/>
      <c r="BQJ50" s="32"/>
      <c r="BQK50" s="33"/>
      <c r="BQL50" s="31"/>
      <c r="BQM50" s="32"/>
      <c r="BQN50" s="32"/>
      <c r="BQO50" s="32"/>
      <c r="BQP50" s="32"/>
      <c r="BQQ50" s="116"/>
      <c r="BQR50" s="32"/>
      <c r="BQS50" s="32"/>
      <c r="BQT50" s="32"/>
      <c r="BQU50" s="32"/>
      <c r="BQV50" s="32"/>
      <c r="BQW50" s="121"/>
      <c r="BQX50" s="32"/>
      <c r="BQY50" s="32"/>
      <c r="BQZ50" s="32"/>
      <c r="BRA50" s="32"/>
      <c r="BRB50" s="32"/>
      <c r="BRC50" s="60"/>
      <c r="BRD50" s="32"/>
      <c r="BRE50" s="32"/>
      <c r="BRF50" s="32"/>
      <c r="BRG50" s="32"/>
      <c r="BRH50" s="32"/>
      <c r="BRI50" s="121"/>
      <c r="BRJ50" s="32"/>
      <c r="BRK50" s="32"/>
      <c r="BRL50" s="32"/>
      <c r="BRM50" s="32"/>
      <c r="BRN50" s="32"/>
      <c r="BRO50" s="60"/>
      <c r="BRP50" s="32"/>
      <c r="BRQ50" s="32"/>
      <c r="BRR50" s="32"/>
      <c r="BRS50" s="32"/>
      <c r="BRT50" s="32"/>
      <c r="BRU50" s="121"/>
      <c r="BRV50" s="32"/>
      <c r="BRW50" s="32"/>
      <c r="BRX50" s="32"/>
      <c r="BRY50" s="32"/>
      <c r="BRZ50" s="32"/>
      <c r="BSA50" s="60"/>
      <c r="BSB50" s="32"/>
      <c r="BSC50" s="32"/>
      <c r="BSD50" s="32"/>
      <c r="BSE50" s="32"/>
      <c r="BSF50" s="32"/>
      <c r="BSG50" s="121"/>
      <c r="BSH50" s="32"/>
      <c r="BSI50" s="32"/>
      <c r="BSJ50" s="32"/>
      <c r="BSK50" s="32"/>
      <c r="BSL50" s="32"/>
      <c r="BSM50" s="60"/>
      <c r="BSN50" s="32"/>
      <c r="BSO50" s="32"/>
      <c r="BSP50" s="32"/>
      <c r="BSQ50" s="32"/>
      <c r="BSR50" s="32"/>
      <c r="BSS50" s="33"/>
      <c r="BST50" s="31"/>
      <c r="BSU50" s="32"/>
      <c r="BSV50" s="32"/>
      <c r="BSW50" s="32"/>
      <c r="BSX50" s="32"/>
      <c r="BSY50" s="116"/>
      <c r="BSZ50" s="32"/>
      <c r="BTA50" s="32"/>
      <c r="BTB50" s="32"/>
      <c r="BTC50" s="32"/>
      <c r="BTD50" s="32"/>
      <c r="BTE50" s="121"/>
      <c r="BTF50" s="32"/>
      <c r="BTG50" s="32"/>
      <c r="BTH50" s="32"/>
      <c r="BTI50" s="32"/>
      <c r="BTJ50" s="32"/>
      <c r="BTK50" s="60"/>
      <c r="BTL50" s="32"/>
      <c r="BTM50" s="32"/>
      <c r="BTN50" s="32"/>
      <c r="BTO50" s="32"/>
      <c r="BTP50" s="32"/>
      <c r="BTQ50" s="121"/>
      <c r="BTR50" s="32"/>
      <c r="BTS50" s="32"/>
      <c r="BTT50" s="32"/>
      <c r="BTU50" s="32"/>
      <c r="BTV50" s="32"/>
      <c r="BTW50" s="60"/>
      <c r="BTX50" s="32"/>
      <c r="BTY50" s="32"/>
      <c r="BTZ50" s="32"/>
      <c r="BUA50" s="32"/>
      <c r="BUB50" s="32"/>
      <c r="BUC50" s="121"/>
      <c r="BUD50" s="32"/>
      <c r="BUE50" s="32"/>
      <c r="BUF50" s="32"/>
      <c r="BUG50" s="32"/>
      <c r="BUH50" s="32"/>
      <c r="BUI50" s="60"/>
      <c r="BUJ50" s="32"/>
      <c r="BUK50" s="32"/>
      <c r="BUL50" s="32"/>
      <c r="BUM50" s="32"/>
      <c r="BUN50" s="32"/>
      <c r="BUO50" s="121"/>
      <c r="BUP50" s="32"/>
      <c r="BUQ50" s="32"/>
      <c r="BUR50" s="32"/>
      <c r="BUS50" s="32"/>
      <c r="BUT50" s="32"/>
      <c r="BUU50" s="60"/>
      <c r="BUV50" s="32"/>
      <c r="BUW50" s="32"/>
      <c r="BUX50" s="32"/>
      <c r="BUY50" s="32"/>
      <c r="BUZ50" s="32"/>
      <c r="BVA50" s="33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7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35"/>
      <c r="BJO51" s="36"/>
      <c r="BJP51" s="36"/>
      <c r="BJQ51" s="36"/>
      <c r="BJR51" s="36"/>
      <c r="BJS51" s="117"/>
      <c r="BJT51" s="36"/>
      <c r="BJU51" s="36"/>
      <c r="BJV51" s="36"/>
      <c r="BJW51" s="36"/>
      <c r="BJX51" s="36"/>
      <c r="BJY51" s="122"/>
      <c r="BJZ51" s="36"/>
      <c r="BKA51" s="36"/>
      <c r="BKB51" s="36"/>
      <c r="BKC51" s="36"/>
      <c r="BKD51" s="36"/>
      <c r="BKE51" s="61"/>
      <c r="BKF51" s="36"/>
      <c r="BKG51" s="36"/>
      <c r="BKH51" s="36"/>
      <c r="BKI51" s="36"/>
      <c r="BKJ51" s="36"/>
      <c r="BKK51" s="122"/>
      <c r="BKL51" s="36"/>
      <c r="BKM51" s="36"/>
      <c r="BKN51" s="36"/>
      <c r="BKO51" s="36"/>
      <c r="BKP51" s="36"/>
      <c r="BKQ51" s="61"/>
      <c r="BKR51" s="36"/>
      <c r="BKS51" s="36"/>
      <c r="BKT51" s="36"/>
      <c r="BKU51" s="36"/>
      <c r="BKV51" s="36"/>
      <c r="BKW51" s="122"/>
      <c r="BKX51" s="36"/>
      <c r="BKY51" s="36"/>
      <c r="BKZ51" s="36"/>
      <c r="BLA51" s="36"/>
      <c r="BLB51" s="36"/>
      <c r="BLC51" s="61"/>
      <c r="BLD51" s="36"/>
      <c r="BLE51" s="36"/>
      <c r="BLF51" s="36"/>
      <c r="BLG51" s="36"/>
      <c r="BLH51" s="36"/>
      <c r="BLI51" s="122"/>
      <c r="BLJ51" s="36"/>
      <c r="BLK51" s="36"/>
      <c r="BLL51" s="36"/>
      <c r="BLM51" s="36"/>
      <c r="BLN51" s="36"/>
      <c r="BLO51" s="61"/>
      <c r="BLP51" s="36"/>
      <c r="BLQ51" s="36"/>
      <c r="BLR51" s="36"/>
      <c r="BLS51" s="36"/>
      <c r="BLT51" s="36"/>
      <c r="BLU51" s="37"/>
      <c r="BLV51" s="35"/>
      <c r="BLW51" s="36"/>
      <c r="BLX51" s="36"/>
      <c r="BLY51" s="36"/>
      <c r="BLZ51" s="36"/>
      <c r="BMA51" s="117"/>
      <c r="BMB51" s="36"/>
      <c r="BMC51" s="36"/>
      <c r="BMD51" s="36"/>
      <c r="BME51" s="36"/>
      <c r="BMF51" s="36"/>
      <c r="BMG51" s="122"/>
      <c r="BMH51" s="36"/>
      <c r="BMI51" s="36"/>
      <c r="BMJ51" s="36"/>
      <c r="BMK51" s="36"/>
      <c r="BML51" s="36"/>
      <c r="BMM51" s="61"/>
      <c r="BMN51" s="36"/>
      <c r="BMO51" s="36"/>
      <c r="BMP51" s="36"/>
      <c r="BMQ51" s="36"/>
      <c r="BMR51" s="36"/>
      <c r="BMS51" s="122"/>
      <c r="BMT51" s="36"/>
      <c r="BMU51" s="36"/>
      <c r="BMV51" s="36"/>
      <c r="BMW51" s="36"/>
      <c r="BMX51" s="36"/>
      <c r="BMY51" s="61"/>
      <c r="BMZ51" s="36"/>
      <c r="BNA51" s="36"/>
      <c r="BNB51" s="36"/>
      <c r="BNC51" s="36"/>
      <c r="BND51" s="36"/>
      <c r="BNE51" s="122"/>
      <c r="BNF51" s="36"/>
      <c r="BNG51" s="36"/>
      <c r="BNH51" s="36"/>
      <c r="BNI51" s="36"/>
      <c r="BNJ51" s="36"/>
      <c r="BNK51" s="61"/>
      <c r="BNL51" s="36"/>
      <c r="BNM51" s="36"/>
      <c r="BNN51" s="36"/>
      <c r="BNO51" s="36"/>
      <c r="BNP51" s="36"/>
      <c r="BNQ51" s="122"/>
      <c r="BNR51" s="36"/>
      <c r="BNS51" s="36"/>
      <c r="BNT51" s="36"/>
      <c r="BNU51" s="36"/>
      <c r="BNV51" s="36"/>
      <c r="BNW51" s="61"/>
      <c r="BNX51" s="36"/>
      <c r="BNY51" s="36"/>
      <c r="BNZ51" s="36"/>
      <c r="BOA51" s="36"/>
      <c r="BOB51" s="36"/>
      <c r="BOC51" s="37"/>
      <c r="BOD51" s="35"/>
      <c r="BOE51" s="36"/>
      <c r="BOF51" s="36"/>
      <c r="BOG51" s="36"/>
      <c r="BOH51" s="36"/>
      <c r="BOI51" s="117"/>
      <c r="BOJ51" s="36"/>
      <c r="BOK51" s="36"/>
      <c r="BOL51" s="36"/>
      <c r="BOM51" s="36"/>
      <c r="BON51" s="36"/>
      <c r="BOO51" s="122"/>
      <c r="BOP51" s="36"/>
      <c r="BOQ51" s="36"/>
      <c r="BOR51" s="36"/>
      <c r="BOS51" s="36"/>
      <c r="BOT51" s="36"/>
      <c r="BOU51" s="61"/>
      <c r="BOV51" s="36"/>
      <c r="BOW51" s="36"/>
      <c r="BOX51" s="36"/>
      <c r="BOY51" s="36"/>
      <c r="BOZ51" s="36"/>
      <c r="BPA51" s="122"/>
      <c r="BPB51" s="36"/>
      <c r="BPC51" s="36"/>
      <c r="BPD51" s="36"/>
      <c r="BPE51" s="36"/>
      <c r="BPF51" s="36"/>
      <c r="BPG51" s="61"/>
      <c r="BPH51" s="36"/>
      <c r="BPI51" s="36"/>
      <c r="BPJ51" s="36"/>
      <c r="BPK51" s="36"/>
      <c r="BPL51" s="36"/>
      <c r="BPM51" s="122"/>
      <c r="BPN51" s="36"/>
      <c r="BPO51" s="36"/>
      <c r="BPP51" s="36"/>
      <c r="BPQ51" s="36"/>
      <c r="BPR51" s="36"/>
      <c r="BPS51" s="61"/>
      <c r="BPT51" s="36"/>
      <c r="BPU51" s="36"/>
      <c r="BPV51" s="36"/>
      <c r="BPW51" s="36"/>
      <c r="BPX51" s="36"/>
      <c r="BPY51" s="122"/>
      <c r="BPZ51" s="36"/>
      <c r="BQA51" s="36"/>
      <c r="BQB51" s="36"/>
      <c r="BQC51" s="36"/>
      <c r="BQD51" s="36"/>
      <c r="BQE51" s="61"/>
      <c r="BQF51" s="36"/>
      <c r="BQG51" s="36"/>
      <c r="BQH51" s="36"/>
      <c r="BQI51" s="36"/>
      <c r="BQJ51" s="36"/>
      <c r="BQK51" s="37"/>
      <c r="BQL51" s="35"/>
      <c r="BQM51" s="36"/>
      <c r="BQN51" s="36"/>
      <c r="BQO51" s="36"/>
      <c r="BQP51" s="36"/>
      <c r="BQQ51" s="117"/>
      <c r="BQR51" s="36"/>
      <c r="BQS51" s="36"/>
      <c r="BQT51" s="36"/>
      <c r="BQU51" s="36"/>
      <c r="BQV51" s="36"/>
      <c r="BQW51" s="122"/>
      <c r="BQX51" s="36"/>
      <c r="BQY51" s="36"/>
      <c r="BQZ51" s="36"/>
      <c r="BRA51" s="36"/>
      <c r="BRB51" s="36"/>
      <c r="BRC51" s="61"/>
      <c r="BRD51" s="36"/>
      <c r="BRE51" s="36"/>
      <c r="BRF51" s="36"/>
      <c r="BRG51" s="36"/>
      <c r="BRH51" s="36"/>
      <c r="BRI51" s="122"/>
      <c r="BRJ51" s="36"/>
      <c r="BRK51" s="36"/>
      <c r="BRL51" s="36"/>
      <c r="BRM51" s="36"/>
      <c r="BRN51" s="36"/>
      <c r="BRO51" s="61"/>
      <c r="BRP51" s="36"/>
      <c r="BRQ51" s="36"/>
      <c r="BRR51" s="36"/>
      <c r="BRS51" s="36"/>
      <c r="BRT51" s="36"/>
      <c r="BRU51" s="122"/>
      <c r="BRV51" s="36"/>
      <c r="BRW51" s="36"/>
      <c r="BRX51" s="36"/>
      <c r="BRY51" s="36"/>
      <c r="BRZ51" s="36"/>
      <c r="BSA51" s="61"/>
      <c r="BSB51" s="36"/>
      <c r="BSC51" s="36"/>
      <c r="BSD51" s="36"/>
      <c r="BSE51" s="36"/>
      <c r="BSF51" s="36"/>
      <c r="BSG51" s="122"/>
      <c r="BSH51" s="36"/>
      <c r="BSI51" s="36"/>
      <c r="BSJ51" s="36"/>
      <c r="BSK51" s="36"/>
      <c r="BSL51" s="36"/>
      <c r="BSM51" s="61"/>
      <c r="BSN51" s="36"/>
      <c r="BSO51" s="36"/>
      <c r="BSP51" s="36"/>
      <c r="BSQ51" s="36"/>
      <c r="BSR51" s="36"/>
      <c r="BSS51" s="37"/>
      <c r="BST51" s="35"/>
      <c r="BSU51" s="36"/>
      <c r="BSV51" s="36"/>
      <c r="BSW51" s="36"/>
      <c r="BSX51" s="36"/>
      <c r="BSY51" s="117"/>
      <c r="BSZ51" s="36"/>
      <c r="BTA51" s="36"/>
      <c r="BTB51" s="36"/>
      <c r="BTC51" s="36"/>
      <c r="BTD51" s="36"/>
      <c r="BTE51" s="122"/>
      <c r="BTF51" s="36"/>
      <c r="BTG51" s="36"/>
      <c r="BTH51" s="36"/>
      <c r="BTI51" s="36"/>
      <c r="BTJ51" s="36"/>
      <c r="BTK51" s="61"/>
      <c r="BTL51" s="36"/>
      <c r="BTM51" s="36"/>
      <c r="BTN51" s="36"/>
      <c r="BTO51" s="36"/>
      <c r="BTP51" s="36"/>
      <c r="BTQ51" s="122"/>
      <c r="BTR51" s="36"/>
      <c r="BTS51" s="36"/>
      <c r="BTT51" s="36"/>
      <c r="BTU51" s="36"/>
      <c r="BTV51" s="36"/>
      <c r="BTW51" s="61"/>
      <c r="BTX51" s="36"/>
      <c r="BTY51" s="36"/>
      <c r="BTZ51" s="36"/>
      <c r="BUA51" s="36"/>
      <c r="BUB51" s="36"/>
      <c r="BUC51" s="122"/>
      <c r="BUD51" s="36"/>
      <c r="BUE51" s="36"/>
      <c r="BUF51" s="36"/>
      <c r="BUG51" s="36"/>
      <c r="BUH51" s="36"/>
      <c r="BUI51" s="61"/>
      <c r="BUJ51" s="36"/>
      <c r="BUK51" s="36"/>
      <c r="BUL51" s="36"/>
      <c r="BUM51" s="36"/>
      <c r="BUN51" s="36"/>
      <c r="BUO51" s="122"/>
      <c r="BUP51" s="36"/>
      <c r="BUQ51" s="36"/>
      <c r="BUR51" s="36"/>
      <c r="BUS51" s="36"/>
      <c r="BUT51" s="36"/>
      <c r="BUU51" s="61"/>
      <c r="BUV51" s="36"/>
      <c r="BUW51" s="36"/>
      <c r="BUX51" s="36"/>
      <c r="BUY51" s="36"/>
      <c r="BUZ51" s="36"/>
      <c r="BVA51" s="37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75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14"/>
      <c r="BHL52" s="24"/>
      <c r="BHM52" s="24"/>
      <c r="BHN52" s="24"/>
      <c r="BHO52" s="24"/>
      <c r="BHP52" s="24"/>
      <c r="BHQ52" s="119"/>
      <c r="BHR52" s="24"/>
      <c r="BHS52" s="24"/>
      <c r="BHT52" s="24"/>
      <c r="BHU52" s="24"/>
      <c r="BHV52" s="24"/>
      <c r="BHW52" s="60"/>
      <c r="BHX52" s="24"/>
      <c r="BHY52" s="24"/>
      <c r="BHZ52" s="24"/>
      <c r="BIA52" s="24"/>
      <c r="BIB52" s="24"/>
      <c r="BIC52" s="119"/>
      <c r="BID52" s="24"/>
      <c r="BIE52" s="24"/>
      <c r="BIF52" s="24"/>
      <c r="BIG52" s="24"/>
      <c r="BIH52" s="24"/>
      <c r="BII52" s="60"/>
      <c r="BIJ52" s="24"/>
      <c r="BIK52" s="24"/>
      <c r="BIL52" s="24"/>
      <c r="BIM52" s="24"/>
      <c r="BIN52" s="24"/>
      <c r="BIO52" s="119"/>
      <c r="BIP52" s="24"/>
      <c r="BIQ52" s="24"/>
      <c r="BIR52" s="24"/>
      <c r="BIS52" s="24"/>
      <c r="BIT52" s="32"/>
      <c r="BIU52" s="60"/>
      <c r="BIV52" s="24"/>
      <c r="BIW52" s="24"/>
      <c r="BIX52" s="24"/>
      <c r="BIY52" s="24"/>
      <c r="BIZ52" s="24"/>
      <c r="BJA52" s="119"/>
      <c r="BJB52" s="24"/>
      <c r="BJC52" s="24"/>
      <c r="BJD52" s="24"/>
      <c r="BJE52" s="24"/>
      <c r="BJF52" s="24"/>
      <c r="BJG52" s="60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14"/>
      <c r="BJT52" s="24"/>
      <c r="BJU52" s="24"/>
      <c r="BJV52" s="24"/>
      <c r="BJW52" s="24"/>
      <c r="BJX52" s="24"/>
      <c r="BJY52" s="119"/>
      <c r="BJZ52" s="24"/>
      <c r="BKA52" s="24"/>
      <c r="BKB52" s="24"/>
      <c r="BKC52" s="24"/>
      <c r="BKD52" s="24"/>
      <c r="BKE52" s="60"/>
      <c r="BKF52" s="24"/>
      <c r="BKG52" s="24"/>
      <c r="BKH52" s="24"/>
      <c r="BKI52" s="24"/>
      <c r="BKJ52" s="24"/>
      <c r="BKK52" s="119"/>
      <c r="BKL52" s="24"/>
      <c r="BKM52" s="24"/>
      <c r="BKN52" s="24"/>
      <c r="BKO52" s="24"/>
      <c r="BKP52" s="24"/>
      <c r="BKQ52" s="60"/>
      <c r="BKR52" s="24"/>
      <c r="BKS52" s="24"/>
      <c r="BKT52" s="24"/>
      <c r="BKU52" s="24"/>
      <c r="BKV52" s="24"/>
      <c r="BKW52" s="119"/>
      <c r="BKX52" s="24"/>
      <c r="BKY52" s="24"/>
      <c r="BKZ52" s="24"/>
      <c r="BLA52" s="24"/>
      <c r="BLB52" s="32"/>
      <c r="BLC52" s="60"/>
      <c r="BLD52" s="24"/>
      <c r="BLE52" s="24"/>
      <c r="BLF52" s="24"/>
      <c r="BLG52" s="24"/>
      <c r="BLH52" s="24"/>
      <c r="BLI52" s="119"/>
      <c r="BLJ52" s="24"/>
      <c r="BLK52" s="24"/>
      <c r="BLL52" s="24"/>
      <c r="BLM52" s="24"/>
      <c r="BLN52" s="24"/>
      <c r="BLO52" s="60"/>
      <c r="BLP52" s="24"/>
      <c r="BLQ52" s="24"/>
      <c r="BLR52" s="24"/>
      <c r="BLS52" s="24"/>
      <c r="BLT52" s="24"/>
      <c r="BLU52" s="25"/>
      <c r="BLV52" s="23"/>
      <c r="BLW52" s="24"/>
      <c r="BLX52" s="24"/>
      <c r="BLY52" s="24"/>
      <c r="BLZ52" s="24"/>
      <c r="BMA52" s="114"/>
      <c r="BMB52" s="24"/>
      <c r="BMC52" s="24"/>
      <c r="BMD52" s="24"/>
      <c r="BME52" s="24"/>
      <c r="BMF52" s="24"/>
      <c r="BMG52" s="119"/>
      <c r="BMH52" s="24"/>
      <c r="BMI52" s="24"/>
      <c r="BMJ52" s="24"/>
      <c r="BMK52" s="24"/>
      <c r="BML52" s="24"/>
      <c r="BMM52" s="60"/>
      <c r="BMN52" s="24"/>
      <c r="BMO52" s="24"/>
      <c r="BMP52" s="24"/>
      <c r="BMQ52" s="24"/>
      <c r="BMR52" s="24"/>
      <c r="BMS52" s="119"/>
      <c r="BMT52" s="24"/>
      <c r="BMU52" s="24"/>
      <c r="BMV52" s="24"/>
      <c r="BMW52" s="24"/>
      <c r="BMX52" s="24"/>
      <c r="BMY52" s="60"/>
      <c r="BMZ52" s="24"/>
      <c r="BNA52" s="24"/>
      <c r="BNB52" s="24"/>
      <c r="BNC52" s="24"/>
      <c r="BND52" s="24"/>
      <c r="BNE52" s="119"/>
      <c r="BNF52" s="24"/>
      <c r="BNG52" s="24"/>
      <c r="BNH52" s="24"/>
      <c r="BNI52" s="24"/>
      <c r="BNJ52" s="32"/>
      <c r="BNK52" s="60"/>
      <c r="BNL52" s="24"/>
      <c r="BNM52" s="24"/>
      <c r="BNN52" s="24"/>
      <c r="BNO52" s="24"/>
      <c r="BNP52" s="24"/>
      <c r="BNQ52" s="119"/>
      <c r="BNR52" s="24"/>
      <c r="BNS52" s="24"/>
      <c r="BNT52" s="24"/>
      <c r="BNU52" s="24"/>
      <c r="BNV52" s="24"/>
      <c r="BNW52" s="60"/>
      <c r="BNX52" s="24"/>
      <c r="BNY52" s="24"/>
      <c r="BNZ52" s="24"/>
      <c r="BOA52" s="24"/>
      <c r="BOB52" s="24"/>
      <c r="BOC52" s="25"/>
      <c r="BOD52" s="23"/>
      <c r="BOE52" s="24"/>
      <c r="BOF52" s="24"/>
      <c r="BOG52" s="24"/>
      <c r="BOH52" s="24"/>
      <c r="BOI52" s="114"/>
      <c r="BOJ52" s="24"/>
      <c r="BOK52" s="24"/>
      <c r="BOL52" s="24"/>
      <c r="BOM52" s="24"/>
      <c r="BON52" s="24"/>
      <c r="BOO52" s="119"/>
      <c r="BOP52" s="24"/>
      <c r="BOQ52" s="24"/>
      <c r="BOR52" s="24"/>
      <c r="BOS52" s="24"/>
      <c r="BOT52" s="24"/>
      <c r="BOU52" s="60"/>
      <c r="BOV52" s="24"/>
      <c r="BOW52" s="24"/>
      <c r="BOX52" s="24"/>
      <c r="BOY52" s="24"/>
      <c r="BOZ52" s="24"/>
      <c r="BPA52" s="119"/>
      <c r="BPB52" s="24"/>
      <c r="BPC52" s="24"/>
      <c r="BPD52" s="24"/>
      <c r="BPE52" s="24"/>
      <c r="BPF52" s="24"/>
      <c r="BPG52" s="60"/>
      <c r="BPH52" s="24"/>
      <c r="BPI52" s="24"/>
      <c r="BPJ52" s="24"/>
      <c r="BPK52" s="24"/>
      <c r="BPL52" s="24"/>
      <c r="BPM52" s="119"/>
      <c r="BPN52" s="24"/>
      <c r="BPO52" s="24"/>
      <c r="BPP52" s="24"/>
      <c r="BPQ52" s="24"/>
      <c r="BPR52" s="32"/>
      <c r="BPS52" s="60"/>
      <c r="BPT52" s="24"/>
      <c r="BPU52" s="24"/>
      <c r="BPV52" s="24"/>
      <c r="BPW52" s="24"/>
      <c r="BPX52" s="24"/>
      <c r="BPY52" s="119"/>
      <c r="BPZ52" s="24"/>
      <c r="BQA52" s="24"/>
      <c r="BQB52" s="24"/>
      <c r="BQC52" s="24"/>
      <c r="BQD52" s="24"/>
      <c r="BQE52" s="60"/>
      <c r="BQF52" s="24"/>
      <c r="BQG52" s="24"/>
      <c r="BQH52" s="24"/>
      <c r="BQI52" s="24"/>
      <c r="BQJ52" s="24"/>
      <c r="BQK52" s="25"/>
      <c r="BQL52" s="23"/>
      <c r="BQM52" s="24"/>
      <c r="BQN52" s="24"/>
      <c r="BQO52" s="24"/>
      <c r="BQP52" s="24"/>
      <c r="BQQ52" s="114"/>
      <c r="BQR52" s="24"/>
      <c r="BQS52" s="24"/>
      <c r="BQT52" s="24"/>
      <c r="BQU52" s="24"/>
      <c r="BQV52" s="24"/>
      <c r="BQW52" s="119"/>
      <c r="BQX52" s="24"/>
      <c r="BQY52" s="24"/>
      <c r="BQZ52" s="24"/>
      <c r="BRA52" s="24"/>
      <c r="BRB52" s="24"/>
      <c r="BRC52" s="60"/>
      <c r="BRD52" s="24"/>
      <c r="BRE52" s="24"/>
      <c r="BRF52" s="24"/>
      <c r="BRG52" s="24"/>
      <c r="BRH52" s="24"/>
      <c r="BRI52" s="119"/>
      <c r="BRJ52" s="24"/>
      <c r="BRK52" s="24"/>
      <c r="BRL52" s="24"/>
      <c r="BRM52" s="24"/>
      <c r="BRN52" s="24"/>
      <c r="BRO52" s="60"/>
      <c r="BRP52" s="24"/>
      <c r="BRQ52" s="24"/>
      <c r="BRR52" s="24"/>
      <c r="BRS52" s="24"/>
      <c r="BRT52" s="24"/>
      <c r="BRU52" s="119"/>
      <c r="BRV52" s="24"/>
      <c r="BRW52" s="24"/>
      <c r="BRX52" s="24"/>
      <c r="BRY52" s="24"/>
      <c r="BRZ52" s="32"/>
      <c r="BSA52" s="60"/>
      <c r="BSB52" s="24"/>
      <c r="BSC52" s="24"/>
      <c r="BSD52" s="24"/>
      <c r="BSE52" s="24"/>
      <c r="BSF52" s="24"/>
      <c r="BSG52" s="119"/>
      <c r="BSH52" s="24"/>
      <c r="BSI52" s="24"/>
      <c r="BSJ52" s="24"/>
      <c r="BSK52" s="24"/>
      <c r="BSL52" s="24"/>
      <c r="BSM52" s="60"/>
      <c r="BSN52" s="24"/>
      <c r="BSO52" s="24"/>
      <c r="BSP52" s="24"/>
      <c r="BSQ52" s="24"/>
      <c r="BSR52" s="24"/>
      <c r="BSS52" s="25"/>
      <c r="BST52" s="23"/>
      <c r="BSU52" s="24"/>
      <c r="BSV52" s="24"/>
      <c r="BSW52" s="24"/>
      <c r="BSX52" s="24"/>
      <c r="BSY52" s="114"/>
      <c r="BSZ52" s="24"/>
      <c r="BTA52" s="24"/>
      <c r="BTB52" s="24"/>
      <c r="BTC52" s="24"/>
      <c r="BTD52" s="24"/>
      <c r="BTE52" s="119"/>
      <c r="BTF52" s="24"/>
      <c r="BTG52" s="24"/>
      <c r="BTH52" s="24"/>
      <c r="BTI52" s="24"/>
      <c r="BTJ52" s="24"/>
      <c r="BTK52" s="60"/>
      <c r="BTL52" s="24"/>
      <c r="BTM52" s="24"/>
      <c r="BTN52" s="24"/>
      <c r="BTO52" s="24"/>
      <c r="BTP52" s="24"/>
      <c r="BTQ52" s="119"/>
      <c r="BTR52" s="24"/>
      <c r="BTS52" s="24"/>
      <c r="BTT52" s="24"/>
      <c r="BTU52" s="24"/>
      <c r="BTV52" s="24"/>
      <c r="BTW52" s="60"/>
      <c r="BTX52" s="24"/>
      <c r="BTY52" s="24"/>
      <c r="BTZ52" s="24"/>
      <c r="BUA52" s="24"/>
      <c r="BUB52" s="24"/>
      <c r="BUC52" s="119"/>
      <c r="BUD52" s="24"/>
      <c r="BUE52" s="24"/>
      <c r="BUF52" s="24"/>
      <c r="BUG52" s="24"/>
      <c r="BUH52" s="32"/>
      <c r="BUI52" s="60"/>
      <c r="BUJ52" s="24"/>
      <c r="BUK52" s="24"/>
      <c r="BUL52" s="24"/>
      <c r="BUM52" s="24"/>
      <c r="BUN52" s="24"/>
      <c r="BUO52" s="119"/>
      <c r="BUP52" s="24"/>
      <c r="BUQ52" s="24"/>
      <c r="BUR52" s="24"/>
      <c r="BUS52" s="24"/>
      <c r="BUT52" s="24"/>
      <c r="BUU52" s="60"/>
      <c r="BUV52" s="24"/>
      <c r="BUW52" s="24"/>
      <c r="BUX52" s="24"/>
      <c r="BUY52" s="24"/>
      <c r="BUZ52" s="24"/>
      <c r="BVA52" s="25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7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27"/>
      <c r="BJO53" s="28"/>
      <c r="BJP53" s="28"/>
      <c r="BJQ53" s="28"/>
      <c r="BJR53" s="28"/>
      <c r="BJS53" s="115"/>
      <c r="BJT53" s="28"/>
      <c r="BJU53" s="28"/>
      <c r="BJV53" s="28"/>
      <c r="BJW53" s="28"/>
      <c r="BJX53" s="28"/>
      <c r="BJY53" s="120"/>
      <c r="BJZ53" s="28"/>
      <c r="BKA53" s="28"/>
      <c r="BKB53" s="28"/>
      <c r="BKC53" s="28"/>
      <c r="BKD53" s="28"/>
      <c r="BKE53" s="59"/>
      <c r="BKF53" s="28"/>
      <c r="BKG53" s="28"/>
      <c r="BKH53" s="28"/>
      <c r="BKI53" s="28"/>
      <c r="BKJ53" s="28"/>
      <c r="BKK53" s="120"/>
      <c r="BKL53" s="28"/>
      <c r="BKM53" s="28"/>
      <c r="BKN53" s="28"/>
      <c r="BKO53" s="28"/>
      <c r="BKP53" s="28"/>
      <c r="BKQ53" s="59"/>
      <c r="BKR53" s="28"/>
      <c r="BKS53" s="28"/>
      <c r="BKT53" s="28"/>
      <c r="BKU53" s="28"/>
      <c r="BKV53" s="28"/>
      <c r="BKW53" s="120"/>
      <c r="BKX53" s="28"/>
      <c r="BKY53" s="28"/>
      <c r="BKZ53" s="28"/>
      <c r="BLA53" s="28"/>
      <c r="BLB53" s="28"/>
      <c r="BLC53" s="59"/>
      <c r="BLD53" s="28"/>
      <c r="BLE53" s="28"/>
      <c r="BLF53" s="28"/>
      <c r="BLG53" s="28"/>
      <c r="BLH53" s="28"/>
      <c r="BLI53" s="120"/>
      <c r="BLJ53" s="28"/>
      <c r="BLK53" s="28"/>
      <c r="BLL53" s="28"/>
      <c r="BLM53" s="28"/>
      <c r="BLN53" s="28"/>
      <c r="BLO53" s="59"/>
      <c r="BLP53" s="28"/>
      <c r="BLQ53" s="28"/>
      <c r="BLR53" s="28"/>
      <c r="BLS53" s="28"/>
      <c r="BLT53" s="28"/>
      <c r="BLU53" s="29"/>
      <c r="BLV53" s="27"/>
      <c r="BLW53" s="28"/>
      <c r="BLX53" s="28"/>
      <c r="BLY53" s="28"/>
      <c r="BLZ53" s="28"/>
      <c r="BMA53" s="115"/>
      <c r="BMB53" s="28"/>
      <c r="BMC53" s="28"/>
      <c r="BMD53" s="28"/>
      <c r="BME53" s="28"/>
      <c r="BMF53" s="28"/>
      <c r="BMG53" s="120"/>
      <c r="BMH53" s="28"/>
      <c r="BMI53" s="28"/>
      <c r="BMJ53" s="28"/>
      <c r="BMK53" s="28"/>
      <c r="BML53" s="28"/>
      <c r="BMM53" s="59"/>
      <c r="BMN53" s="28"/>
      <c r="BMO53" s="28"/>
      <c r="BMP53" s="28"/>
      <c r="BMQ53" s="28"/>
      <c r="BMR53" s="28"/>
      <c r="BMS53" s="120"/>
      <c r="BMT53" s="28"/>
      <c r="BMU53" s="28"/>
      <c r="BMV53" s="28"/>
      <c r="BMW53" s="28"/>
      <c r="BMX53" s="28"/>
      <c r="BMY53" s="59"/>
      <c r="BMZ53" s="28"/>
      <c r="BNA53" s="28"/>
      <c r="BNB53" s="28"/>
      <c r="BNC53" s="28"/>
      <c r="BND53" s="28"/>
      <c r="BNE53" s="120"/>
      <c r="BNF53" s="28"/>
      <c r="BNG53" s="28"/>
      <c r="BNH53" s="28"/>
      <c r="BNI53" s="28"/>
      <c r="BNJ53" s="28"/>
      <c r="BNK53" s="59"/>
      <c r="BNL53" s="28"/>
      <c r="BNM53" s="28"/>
      <c r="BNN53" s="28"/>
      <c r="BNO53" s="28"/>
      <c r="BNP53" s="28"/>
      <c r="BNQ53" s="120"/>
      <c r="BNR53" s="28"/>
      <c r="BNS53" s="28"/>
      <c r="BNT53" s="28"/>
      <c r="BNU53" s="28"/>
      <c r="BNV53" s="28"/>
      <c r="BNW53" s="59"/>
      <c r="BNX53" s="28"/>
      <c r="BNY53" s="28"/>
      <c r="BNZ53" s="28"/>
      <c r="BOA53" s="28"/>
      <c r="BOB53" s="28"/>
      <c r="BOC53" s="29"/>
      <c r="BOD53" s="27"/>
      <c r="BOE53" s="28"/>
      <c r="BOF53" s="28"/>
      <c r="BOG53" s="28"/>
      <c r="BOH53" s="28"/>
      <c r="BOI53" s="115"/>
      <c r="BOJ53" s="28"/>
      <c r="BOK53" s="28"/>
      <c r="BOL53" s="28"/>
      <c r="BOM53" s="28"/>
      <c r="BON53" s="28"/>
      <c r="BOO53" s="120"/>
      <c r="BOP53" s="28"/>
      <c r="BOQ53" s="28"/>
      <c r="BOR53" s="28"/>
      <c r="BOS53" s="28"/>
      <c r="BOT53" s="28"/>
      <c r="BOU53" s="59"/>
      <c r="BOV53" s="28"/>
      <c r="BOW53" s="28"/>
      <c r="BOX53" s="28"/>
      <c r="BOY53" s="28"/>
      <c r="BOZ53" s="28"/>
      <c r="BPA53" s="120"/>
      <c r="BPB53" s="28"/>
      <c r="BPC53" s="28"/>
      <c r="BPD53" s="28"/>
      <c r="BPE53" s="28"/>
      <c r="BPF53" s="28"/>
      <c r="BPG53" s="59"/>
      <c r="BPH53" s="28"/>
      <c r="BPI53" s="28"/>
      <c r="BPJ53" s="28"/>
      <c r="BPK53" s="28"/>
      <c r="BPL53" s="28"/>
      <c r="BPM53" s="120"/>
      <c r="BPN53" s="28"/>
      <c r="BPO53" s="28"/>
      <c r="BPP53" s="28"/>
      <c r="BPQ53" s="28"/>
      <c r="BPR53" s="28"/>
      <c r="BPS53" s="59"/>
      <c r="BPT53" s="28"/>
      <c r="BPU53" s="28"/>
      <c r="BPV53" s="28"/>
      <c r="BPW53" s="28"/>
      <c r="BPX53" s="28"/>
      <c r="BPY53" s="120"/>
      <c r="BPZ53" s="28"/>
      <c r="BQA53" s="28"/>
      <c r="BQB53" s="28"/>
      <c r="BQC53" s="28"/>
      <c r="BQD53" s="28"/>
      <c r="BQE53" s="59"/>
      <c r="BQF53" s="28"/>
      <c r="BQG53" s="28"/>
      <c r="BQH53" s="28"/>
      <c r="BQI53" s="28"/>
      <c r="BQJ53" s="28"/>
      <c r="BQK53" s="29"/>
      <c r="BQL53" s="27"/>
      <c r="BQM53" s="28"/>
      <c r="BQN53" s="28"/>
      <c r="BQO53" s="28"/>
      <c r="BQP53" s="28"/>
      <c r="BQQ53" s="115"/>
      <c r="BQR53" s="28"/>
      <c r="BQS53" s="28"/>
      <c r="BQT53" s="28"/>
      <c r="BQU53" s="28"/>
      <c r="BQV53" s="28"/>
      <c r="BQW53" s="120"/>
      <c r="BQX53" s="28"/>
      <c r="BQY53" s="28"/>
      <c r="BQZ53" s="28"/>
      <c r="BRA53" s="28"/>
      <c r="BRB53" s="28"/>
      <c r="BRC53" s="59"/>
      <c r="BRD53" s="28"/>
      <c r="BRE53" s="28"/>
      <c r="BRF53" s="28"/>
      <c r="BRG53" s="28"/>
      <c r="BRH53" s="28"/>
      <c r="BRI53" s="120"/>
      <c r="BRJ53" s="28"/>
      <c r="BRK53" s="28"/>
      <c r="BRL53" s="28"/>
      <c r="BRM53" s="28"/>
      <c r="BRN53" s="28"/>
      <c r="BRO53" s="59"/>
      <c r="BRP53" s="28"/>
      <c r="BRQ53" s="28"/>
      <c r="BRR53" s="28"/>
      <c r="BRS53" s="28"/>
      <c r="BRT53" s="28"/>
      <c r="BRU53" s="120"/>
      <c r="BRV53" s="28"/>
      <c r="BRW53" s="28"/>
      <c r="BRX53" s="28"/>
      <c r="BRY53" s="28"/>
      <c r="BRZ53" s="28"/>
      <c r="BSA53" s="59"/>
      <c r="BSB53" s="28"/>
      <c r="BSC53" s="28"/>
      <c r="BSD53" s="28"/>
      <c r="BSE53" s="28"/>
      <c r="BSF53" s="28"/>
      <c r="BSG53" s="120"/>
      <c r="BSH53" s="28"/>
      <c r="BSI53" s="28"/>
      <c r="BSJ53" s="28"/>
      <c r="BSK53" s="28"/>
      <c r="BSL53" s="28"/>
      <c r="BSM53" s="59"/>
      <c r="BSN53" s="28"/>
      <c r="BSO53" s="28"/>
      <c r="BSP53" s="28"/>
      <c r="BSQ53" s="28"/>
      <c r="BSR53" s="28"/>
      <c r="BSS53" s="29"/>
      <c r="BST53" s="27"/>
      <c r="BSU53" s="28"/>
      <c r="BSV53" s="28"/>
      <c r="BSW53" s="28"/>
      <c r="BSX53" s="28"/>
      <c r="BSY53" s="115"/>
      <c r="BSZ53" s="28"/>
      <c r="BTA53" s="28"/>
      <c r="BTB53" s="28"/>
      <c r="BTC53" s="28"/>
      <c r="BTD53" s="28"/>
      <c r="BTE53" s="120"/>
      <c r="BTF53" s="28"/>
      <c r="BTG53" s="28"/>
      <c r="BTH53" s="28"/>
      <c r="BTI53" s="28"/>
      <c r="BTJ53" s="28"/>
      <c r="BTK53" s="59"/>
      <c r="BTL53" s="28"/>
      <c r="BTM53" s="28"/>
      <c r="BTN53" s="28"/>
      <c r="BTO53" s="28"/>
      <c r="BTP53" s="28"/>
      <c r="BTQ53" s="120"/>
      <c r="BTR53" s="28"/>
      <c r="BTS53" s="28"/>
      <c r="BTT53" s="28"/>
      <c r="BTU53" s="28"/>
      <c r="BTV53" s="28"/>
      <c r="BTW53" s="59"/>
      <c r="BTX53" s="28"/>
      <c r="BTY53" s="28"/>
      <c r="BTZ53" s="28"/>
      <c r="BUA53" s="28"/>
      <c r="BUB53" s="28"/>
      <c r="BUC53" s="120"/>
      <c r="BUD53" s="28"/>
      <c r="BUE53" s="28"/>
      <c r="BUF53" s="28"/>
      <c r="BUG53" s="28"/>
      <c r="BUH53" s="28"/>
      <c r="BUI53" s="59"/>
      <c r="BUJ53" s="28"/>
      <c r="BUK53" s="28"/>
      <c r="BUL53" s="28"/>
      <c r="BUM53" s="28"/>
      <c r="BUN53" s="28"/>
      <c r="BUO53" s="120"/>
      <c r="BUP53" s="28"/>
      <c r="BUQ53" s="28"/>
      <c r="BUR53" s="28"/>
      <c r="BUS53" s="28"/>
      <c r="BUT53" s="28"/>
      <c r="BUU53" s="59"/>
      <c r="BUV53" s="28"/>
      <c r="BUW53" s="28"/>
      <c r="BUX53" s="28"/>
      <c r="BUY53" s="28"/>
      <c r="BUZ53" s="28"/>
      <c r="BVA53" s="29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82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16"/>
      <c r="BHL54" s="32"/>
      <c r="BHM54" s="32"/>
      <c r="BHN54" s="32"/>
      <c r="BHO54" s="32"/>
      <c r="BHP54" s="32"/>
      <c r="BHQ54" s="121"/>
      <c r="BHR54" s="32"/>
      <c r="BHS54" s="32"/>
      <c r="BHT54" s="32"/>
      <c r="BHU54" s="32"/>
      <c r="BHV54" s="32"/>
      <c r="BHW54" s="60"/>
      <c r="BHX54" s="32"/>
      <c r="BHY54" s="32"/>
      <c r="BHZ54" s="32"/>
      <c r="BIA54" s="32"/>
      <c r="BIB54" s="32"/>
      <c r="BIC54" s="121"/>
      <c r="BID54" s="32"/>
      <c r="BIE54" s="32"/>
      <c r="BIF54" s="32"/>
      <c r="BIG54" s="32"/>
      <c r="BIH54" s="32"/>
      <c r="BII54" s="60"/>
      <c r="BIJ54" s="32"/>
      <c r="BIK54" s="32"/>
      <c r="BIL54" s="32"/>
      <c r="BIM54" s="32"/>
      <c r="BIN54" s="32"/>
      <c r="BIO54" s="121"/>
      <c r="BIP54" s="32"/>
      <c r="BIQ54" s="32"/>
      <c r="BIR54" s="32"/>
      <c r="BIS54" s="32"/>
      <c r="BIT54" s="32"/>
      <c r="BIU54" s="60"/>
      <c r="BIV54" s="32"/>
      <c r="BIW54" s="32"/>
      <c r="BIX54" s="32"/>
      <c r="BIY54" s="32"/>
      <c r="BIZ54" s="32"/>
      <c r="BJA54" s="121"/>
      <c r="BJB54" s="32"/>
      <c r="BJC54" s="32"/>
      <c r="BJD54" s="32"/>
      <c r="BJE54" s="32"/>
      <c r="BJF54" s="32"/>
      <c r="BJG54" s="60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16"/>
      <c r="BJT54" s="32"/>
      <c r="BJU54" s="32"/>
      <c r="BJV54" s="32"/>
      <c r="BJW54" s="32"/>
      <c r="BJX54" s="32"/>
      <c r="BJY54" s="121"/>
      <c r="BJZ54" s="32"/>
      <c r="BKA54" s="32"/>
      <c r="BKB54" s="32"/>
      <c r="BKC54" s="32"/>
      <c r="BKD54" s="32"/>
      <c r="BKE54" s="60"/>
      <c r="BKF54" s="32"/>
      <c r="BKG54" s="32"/>
      <c r="BKH54" s="32"/>
      <c r="BKI54" s="32"/>
      <c r="BKJ54" s="32"/>
      <c r="BKK54" s="121"/>
      <c r="BKL54" s="32"/>
      <c r="BKM54" s="32"/>
      <c r="BKN54" s="32"/>
      <c r="BKO54" s="32"/>
      <c r="BKP54" s="32"/>
      <c r="BKQ54" s="60"/>
      <c r="BKR54" s="32"/>
      <c r="BKS54" s="32"/>
      <c r="BKT54" s="32"/>
      <c r="BKU54" s="32"/>
      <c r="BKV54" s="32"/>
      <c r="BKW54" s="121"/>
      <c r="BKX54" s="32"/>
      <c r="BKY54" s="32"/>
      <c r="BKZ54" s="32"/>
      <c r="BLA54" s="32"/>
      <c r="BLB54" s="32"/>
      <c r="BLC54" s="60"/>
      <c r="BLD54" s="32"/>
      <c r="BLE54" s="32"/>
      <c r="BLF54" s="32"/>
      <c r="BLG54" s="32"/>
      <c r="BLH54" s="32"/>
      <c r="BLI54" s="121"/>
      <c r="BLJ54" s="32"/>
      <c r="BLK54" s="32"/>
      <c r="BLL54" s="32"/>
      <c r="BLM54" s="32"/>
      <c r="BLN54" s="32"/>
      <c r="BLO54" s="60"/>
      <c r="BLP54" s="32"/>
      <c r="BLQ54" s="32"/>
      <c r="BLR54" s="32"/>
      <c r="BLS54" s="32"/>
      <c r="BLT54" s="32"/>
      <c r="BLU54" s="33"/>
      <c r="BLV54" s="31"/>
      <c r="BLW54" s="32"/>
      <c r="BLX54" s="32"/>
      <c r="BLY54" s="32"/>
      <c r="BLZ54" s="32"/>
      <c r="BMA54" s="116"/>
      <c r="BMB54" s="32"/>
      <c r="BMC54" s="32"/>
      <c r="BMD54" s="32"/>
      <c r="BME54" s="32"/>
      <c r="BMF54" s="32"/>
      <c r="BMG54" s="121"/>
      <c r="BMH54" s="32"/>
      <c r="BMI54" s="32"/>
      <c r="BMJ54" s="32"/>
      <c r="BMK54" s="32"/>
      <c r="BML54" s="32"/>
      <c r="BMM54" s="60"/>
      <c r="BMN54" s="32"/>
      <c r="BMO54" s="32"/>
      <c r="BMP54" s="32"/>
      <c r="BMQ54" s="32"/>
      <c r="BMR54" s="32"/>
      <c r="BMS54" s="121"/>
      <c r="BMT54" s="32"/>
      <c r="BMU54" s="32"/>
      <c r="BMV54" s="32"/>
      <c r="BMW54" s="32"/>
      <c r="BMX54" s="32"/>
      <c r="BMY54" s="60"/>
      <c r="BMZ54" s="32"/>
      <c r="BNA54" s="32"/>
      <c r="BNB54" s="32"/>
      <c r="BNC54" s="32"/>
      <c r="BND54" s="32"/>
      <c r="BNE54" s="121"/>
      <c r="BNF54" s="32"/>
      <c r="BNG54" s="32"/>
      <c r="BNH54" s="32"/>
      <c r="BNI54" s="32"/>
      <c r="BNJ54" s="32"/>
      <c r="BNK54" s="60"/>
      <c r="BNL54" s="32"/>
      <c r="BNM54" s="32"/>
      <c r="BNN54" s="32"/>
      <c r="BNO54" s="32"/>
      <c r="BNP54" s="32"/>
      <c r="BNQ54" s="121"/>
      <c r="BNR54" s="32"/>
      <c r="BNS54" s="32"/>
      <c r="BNT54" s="32"/>
      <c r="BNU54" s="32"/>
      <c r="BNV54" s="32"/>
      <c r="BNW54" s="60"/>
      <c r="BNX54" s="32"/>
      <c r="BNY54" s="32"/>
      <c r="BNZ54" s="32"/>
      <c r="BOA54" s="32"/>
      <c r="BOB54" s="32"/>
      <c r="BOC54" s="33"/>
      <c r="BOD54" s="31"/>
      <c r="BOE54" s="32"/>
      <c r="BOF54" s="32"/>
      <c r="BOG54" s="32"/>
      <c r="BOH54" s="32"/>
      <c r="BOI54" s="116"/>
      <c r="BOJ54" s="32"/>
      <c r="BOK54" s="32"/>
      <c r="BOL54" s="32"/>
      <c r="BOM54" s="32"/>
      <c r="BON54" s="32"/>
      <c r="BOO54" s="121"/>
      <c r="BOP54" s="32"/>
      <c r="BOQ54" s="32"/>
      <c r="BOR54" s="32"/>
      <c r="BOS54" s="32"/>
      <c r="BOT54" s="32"/>
      <c r="BOU54" s="60"/>
      <c r="BOV54" s="32"/>
      <c r="BOW54" s="32"/>
      <c r="BOX54" s="32"/>
      <c r="BOY54" s="32"/>
      <c r="BOZ54" s="32"/>
      <c r="BPA54" s="121"/>
      <c r="BPB54" s="32"/>
      <c r="BPC54" s="32"/>
      <c r="BPD54" s="32"/>
      <c r="BPE54" s="32"/>
      <c r="BPF54" s="32"/>
      <c r="BPG54" s="60"/>
      <c r="BPH54" s="32"/>
      <c r="BPI54" s="32"/>
      <c r="BPJ54" s="32"/>
      <c r="BPK54" s="32"/>
      <c r="BPL54" s="32"/>
      <c r="BPM54" s="121"/>
      <c r="BPN54" s="32"/>
      <c r="BPO54" s="32"/>
      <c r="BPP54" s="32"/>
      <c r="BPQ54" s="32"/>
      <c r="BPR54" s="32"/>
      <c r="BPS54" s="60"/>
      <c r="BPT54" s="32"/>
      <c r="BPU54" s="32"/>
      <c r="BPV54" s="32"/>
      <c r="BPW54" s="32"/>
      <c r="BPX54" s="32"/>
      <c r="BPY54" s="121"/>
      <c r="BPZ54" s="32"/>
      <c r="BQA54" s="32"/>
      <c r="BQB54" s="32"/>
      <c r="BQC54" s="32"/>
      <c r="BQD54" s="32"/>
      <c r="BQE54" s="60"/>
      <c r="BQF54" s="32"/>
      <c r="BQG54" s="32"/>
      <c r="BQH54" s="32"/>
      <c r="BQI54" s="32"/>
      <c r="BQJ54" s="32"/>
      <c r="BQK54" s="33"/>
      <c r="BQL54" s="31"/>
      <c r="BQM54" s="32"/>
      <c r="BQN54" s="32"/>
      <c r="BQO54" s="32"/>
      <c r="BQP54" s="32"/>
      <c r="BQQ54" s="116"/>
      <c r="BQR54" s="32"/>
      <c r="BQS54" s="32"/>
      <c r="BQT54" s="32"/>
      <c r="BQU54" s="32"/>
      <c r="BQV54" s="32"/>
      <c r="BQW54" s="121"/>
      <c r="BQX54" s="32"/>
      <c r="BQY54" s="32"/>
      <c r="BQZ54" s="32"/>
      <c r="BRA54" s="32"/>
      <c r="BRB54" s="32"/>
      <c r="BRC54" s="60"/>
      <c r="BRD54" s="32"/>
      <c r="BRE54" s="32"/>
      <c r="BRF54" s="32"/>
      <c r="BRG54" s="32"/>
      <c r="BRH54" s="32"/>
      <c r="BRI54" s="121"/>
      <c r="BRJ54" s="32"/>
      <c r="BRK54" s="32"/>
      <c r="BRL54" s="32"/>
      <c r="BRM54" s="32"/>
      <c r="BRN54" s="32"/>
      <c r="BRO54" s="60"/>
      <c r="BRP54" s="32"/>
      <c r="BRQ54" s="32"/>
      <c r="BRR54" s="32"/>
      <c r="BRS54" s="32"/>
      <c r="BRT54" s="32"/>
      <c r="BRU54" s="121"/>
      <c r="BRV54" s="32"/>
      <c r="BRW54" s="32"/>
      <c r="BRX54" s="32"/>
      <c r="BRY54" s="32"/>
      <c r="BRZ54" s="32"/>
      <c r="BSA54" s="60"/>
      <c r="BSB54" s="32"/>
      <c r="BSC54" s="32"/>
      <c r="BSD54" s="32"/>
      <c r="BSE54" s="32"/>
      <c r="BSF54" s="32"/>
      <c r="BSG54" s="121"/>
      <c r="BSH54" s="32"/>
      <c r="BSI54" s="32"/>
      <c r="BSJ54" s="32"/>
      <c r="BSK54" s="32"/>
      <c r="BSL54" s="32"/>
      <c r="BSM54" s="60"/>
      <c r="BSN54" s="32"/>
      <c r="BSO54" s="32"/>
      <c r="BSP54" s="32"/>
      <c r="BSQ54" s="32"/>
      <c r="BSR54" s="32"/>
      <c r="BSS54" s="33"/>
      <c r="BST54" s="31"/>
      <c r="BSU54" s="32"/>
      <c r="BSV54" s="32"/>
      <c r="BSW54" s="32"/>
      <c r="BSX54" s="32"/>
      <c r="BSY54" s="116"/>
      <c r="BSZ54" s="32"/>
      <c r="BTA54" s="32"/>
      <c r="BTB54" s="32"/>
      <c r="BTC54" s="32"/>
      <c r="BTD54" s="32"/>
      <c r="BTE54" s="121"/>
      <c r="BTF54" s="32"/>
      <c r="BTG54" s="32"/>
      <c r="BTH54" s="32"/>
      <c r="BTI54" s="32"/>
      <c r="BTJ54" s="32"/>
      <c r="BTK54" s="60"/>
      <c r="BTL54" s="32"/>
      <c r="BTM54" s="32"/>
      <c r="BTN54" s="32"/>
      <c r="BTO54" s="32"/>
      <c r="BTP54" s="32"/>
      <c r="BTQ54" s="121"/>
      <c r="BTR54" s="32"/>
      <c r="BTS54" s="32"/>
      <c r="BTT54" s="32"/>
      <c r="BTU54" s="32"/>
      <c r="BTV54" s="32"/>
      <c r="BTW54" s="60"/>
      <c r="BTX54" s="32"/>
      <c r="BTY54" s="32"/>
      <c r="BTZ54" s="32"/>
      <c r="BUA54" s="32"/>
      <c r="BUB54" s="32"/>
      <c r="BUC54" s="121"/>
      <c r="BUD54" s="32"/>
      <c r="BUE54" s="32"/>
      <c r="BUF54" s="32"/>
      <c r="BUG54" s="32"/>
      <c r="BUH54" s="32"/>
      <c r="BUI54" s="60"/>
      <c r="BUJ54" s="32"/>
      <c r="BUK54" s="32"/>
      <c r="BUL54" s="32"/>
      <c r="BUM54" s="32"/>
      <c r="BUN54" s="32"/>
      <c r="BUO54" s="121"/>
      <c r="BUP54" s="32"/>
      <c r="BUQ54" s="32"/>
      <c r="BUR54" s="32"/>
      <c r="BUS54" s="32"/>
      <c r="BUT54" s="32"/>
      <c r="BUU54" s="60"/>
      <c r="BUV54" s="32"/>
      <c r="BUW54" s="32"/>
      <c r="BUX54" s="32"/>
      <c r="BUY54" s="32"/>
      <c r="BUZ54" s="32"/>
      <c r="BVA54" s="33"/>
      <c r="BVB54" s="75"/>
    </row>
    <row r="55" spans="1:1926" ht="20.100000000000001" customHeight="1" x14ac:dyDescent="0.25">
      <c r="A55" s="84" t="s">
        <v>20</v>
      </c>
      <c r="B55" s="53"/>
      <c r="C55" s="17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35"/>
      <c r="BJO55" s="36"/>
      <c r="BJP55" s="36"/>
      <c r="BJQ55" s="36"/>
      <c r="BJR55" s="36"/>
      <c r="BJS55" s="117"/>
      <c r="BJT55" s="36"/>
      <c r="BJU55" s="36"/>
      <c r="BJV55" s="36"/>
      <c r="BJW55" s="36"/>
      <c r="BJX55" s="36"/>
      <c r="BJY55" s="122"/>
      <c r="BJZ55" s="36"/>
      <c r="BKA55" s="36"/>
      <c r="BKB55" s="36"/>
      <c r="BKC55" s="36"/>
      <c r="BKD55" s="36"/>
      <c r="BKE55" s="61"/>
      <c r="BKF55" s="36"/>
      <c r="BKG55" s="36"/>
      <c r="BKH55" s="36"/>
      <c r="BKI55" s="36"/>
      <c r="BKJ55" s="36"/>
      <c r="BKK55" s="122"/>
      <c r="BKL55" s="36"/>
      <c r="BKM55" s="36"/>
      <c r="BKN55" s="36"/>
      <c r="BKO55" s="36"/>
      <c r="BKP55" s="36"/>
      <c r="BKQ55" s="61"/>
      <c r="BKR55" s="36"/>
      <c r="BKS55" s="36"/>
      <c r="BKT55" s="36"/>
      <c r="BKU55" s="36"/>
      <c r="BKV55" s="36"/>
      <c r="BKW55" s="122"/>
      <c r="BKX55" s="36"/>
      <c r="BKY55" s="36"/>
      <c r="BKZ55" s="36"/>
      <c r="BLA55" s="36"/>
      <c r="BLB55" s="36"/>
      <c r="BLC55" s="61"/>
      <c r="BLD55" s="36"/>
      <c r="BLE55" s="36"/>
      <c r="BLF55" s="36"/>
      <c r="BLG55" s="36"/>
      <c r="BLH55" s="36"/>
      <c r="BLI55" s="122"/>
      <c r="BLJ55" s="36"/>
      <c r="BLK55" s="36"/>
      <c r="BLL55" s="36"/>
      <c r="BLM55" s="36"/>
      <c r="BLN55" s="36"/>
      <c r="BLO55" s="61"/>
      <c r="BLP55" s="36"/>
      <c r="BLQ55" s="36"/>
      <c r="BLR55" s="36"/>
      <c r="BLS55" s="36"/>
      <c r="BLT55" s="36"/>
      <c r="BLU55" s="37"/>
      <c r="BLV55" s="35"/>
      <c r="BLW55" s="36"/>
      <c r="BLX55" s="36"/>
      <c r="BLY55" s="36"/>
      <c r="BLZ55" s="36"/>
      <c r="BMA55" s="117"/>
      <c r="BMB55" s="36"/>
      <c r="BMC55" s="36"/>
      <c r="BMD55" s="36"/>
      <c r="BME55" s="36"/>
      <c r="BMF55" s="36"/>
      <c r="BMG55" s="122"/>
      <c r="BMH55" s="36"/>
      <c r="BMI55" s="36"/>
      <c r="BMJ55" s="36"/>
      <c r="BMK55" s="36"/>
      <c r="BML55" s="36"/>
      <c r="BMM55" s="61"/>
      <c r="BMN55" s="36"/>
      <c r="BMO55" s="36"/>
      <c r="BMP55" s="36"/>
      <c r="BMQ55" s="36"/>
      <c r="BMR55" s="36"/>
      <c r="BMS55" s="122"/>
      <c r="BMT55" s="36"/>
      <c r="BMU55" s="36"/>
      <c r="BMV55" s="36"/>
      <c r="BMW55" s="36"/>
      <c r="BMX55" s="36"/>
      <c r="BMY55" s="61"/>
      <c r="BMZ55" s="36"/>
      <c r="BNA55" s="36"/>
      <c r="BNB55" s="36"/>
      <c r="BNC55" s="36"/>
      <c r="BND55" s="36"/>
      <c r="BNE55" s="122"/>
      <c r="BNF55" s="36"/>
      <c r="BNG55" s="36"/>
      <c r="BNH55" s="36"/>
      <c r="BNI55" s="36"/>
      <c r="BNJ55" s="36"/>
      <c r="BNK55" s="61"/>
      <c r="BNL55" s="36"/>
      <c r="BNM55" s="36"/>
      <c r="BNN55" s="36"/>
      <c r="BNO55" s="36"/>
      <c r="BNP55" s="36"/>
      <c r="BNQ55" s="122"/>
      <c r="BNR55" s="36"/>
      <c r="BNS55" s="36"/>
      <c r="BNT55" s="36"/>
      <c r="BNU55" s="36"/>
      <c r="BNV55" s="36"/>
      <c r="BNW55" s="61"/>
      <c r="BNX55" s="36"/>
      <c r="BNY55" s="36"/>
      <c r="BNZ55" s="36"/>
      <c r="BOA55" s="36"/>
      <c r="BOB55" s="36"/>
      <c r="BOC55" s="37"/>
      <c r="BOD55" s="35"/>
      <c r="BOE55" s="36"/>
      <c r="BOF55" s="36"/>
      <c r="BOG55" s="36"/>
      <c r="BOH55" s="36"/>
      <c r="BOI55" s="117"/>
      <c r="BOJ55" s="36"/>
      <c r="BOK55" s="36"/>
      <c r="BOL55" s="36"/>
      <c r="BOM55" s="36"/>
      <c r="BON55" s="36"/>
      <c r="BOO55" s="122"/>
      <c r="BOP55" s="36"/>
      <c r="BOQ55" s="36"/>
      <c r="BOR55" s="36"/>
      <c r="BOS55" s="36"/>
      <c r="BOT55" s="36"/>
      <c r="BOU55" s="61"/>
      <c r="BOV55" s="36"/>
      <c r="BOW55" s="36"/>
      <c r="BOX55" s="36"/>
      <c r="BOY55" s="36"/>
      <c r="BOZ55" s="36"/>
      <c r="BPA55" s="122"/>
      <c r="BPB55" s="36"/>
      <c r="BPC55" s="36"/>
      <c r="BPD55" s="36"/>
      <c r="BPE55" s="36"/>
      <c r="BPF55" s="36"/>
      <c r="BPG55" s="61"/>
      <c r="BPH55" s="36"/>
      <c r="BPI55" s="36"/>
      <c r="BPJ55" s="36"/>
      <c r="BPK55" s="36"/>
      <c r="BPL55" s="36"/>
      <c r="BPM55" s="122"/>
      <c r="BPN55" s="36"/>
      <c r="BPO55" s="36"/>
      <c r="BPP55" s="36"/>
      <c r="BPQ55" s="36"/>
      <c r="BPR55" s="36"/>
      <c r="BPS55" s="61"/>
      <c r="BPT55" s="36"/>
      <c r="BPU55" s="36"/>
      <c r="BPV55" s="36"/>
      <c r="BPW55" s="36"/>
      <c r="BPX55" s="36"/>
      <c r="BPY55" s="122"/>
      <c r="BPZ55" s="36"/>
      <c r="BQA55" s="36"/>
      <c r="BQB55" s="36"/>
      <c r="BQC55" s="36"/>
      <c r="BQD55" s="36"/>
      <c r="BQE55" s="61"/>
      <c r="BQF55" s="36"/>
      <c r="BQG55" s="36"/>
      <c r="BQH55" s="36"/>
      <c r="BQI55" s="36"/>
      <c r="BQJ55" s="36"/>
      <c r="BQK55" s="37"/>
      <c r="BQL55" s="35"/>
      <c r="BQM55" s="36"/>
      <c r="BQN55" s="36"/>
      <c r="BQO55" s="36"/>
      <c r="BQP55" s="36"/>
      <c r="BQQ55" s="117"/>
      <c r="BQR55" s="36"/>
      <c r="BQS55" s="36"/>
      <c r="BQT55" s="36"/>
      <c r="BQU55" s="36"/>
      <c r="BQV55" s="36"/>
      <c r="BQW55" s="122"/>
      <c r="BQX55" s="36"/>
      <c r="BQY55" s="36"/>
      <c r="BQZ55" s="36"/>
      <c r="BRA55" s="36"/>
      <c r="BRB55" s="36"/>
      <c r="BRC55" s="61"/>
      <c r="BRD55" s="36"/>
      <c r="BRE55" s="36"/>
      <c r="BRF55" s="36"/>
      <c r="BRG55" s="36"/>
      <c r="BRH55" s="36"/>
      <c r="BRI55" s="122"/>
      <c r="BRJ55" s="36"/>
      <c r="BRK55" s="36"/>
      <c r="BRL55" s="36"/>
      <c r="BRM55" s="36"/>
      <c r="BRN55" s="36"/>
      <c r="BRO55" s="61"/>
      <c r="BRP55" s="36"/>
      <c r="BRQ55" s="36"/>
      <c r="BRR55" s="36"/>
      <c r="BRS55" s="36"/>
      <c r="BRT55" s="36"/>
      <c r="BRU55" s="122"/>
      <c r="BRV55" s="36"/>
      <c r="BRW55" s="36"/>
      <c r="BRX55" s="36"/>
      <c r="BRY55" s="36"/>
      <c r="BRZ55" s="36"/>
      <c r="BSA55" s="61"/>
      <c r="BSB55" s="36"/>
      <c r="BSC55" s="36"/>
      <c r="BSD55" s="36"/>
      <c r="BSE55" s="36"/>
      <c r="BSF55" s="36"/>
      <c r="BSG55" s="122"/>
      <c r="BSH55" s="36"/>
      <c r="BSI55" s="36"/>
      <c r="BSJ55" s="36"/>
      <c r="BSK55" s="36"/>
      <c r="BSL55" s="36"/>
      <c r="BSM55" s="61"/>
      <c r="BSN55" s="36"/>
      <c r="BSO55" s="36"/>
      <c r="BSP55" s="36"/>
      <c r="BSQ55" s="36"/>
      <c r="BSR55" s="36"/>
      <c r="BSS55" s="37"/>
      <c r="BST55" s="35"/>
      <c r="BSU55" s="36"/>
      <c r="BSV55" s="36"/>
      <c r="BSW55" s="36"/>
      <c r="BSX55" s="36"/>
      <c r="BSY55" s="117"/>
      <c r="BSZ55" s="36"/>
      <c r="BTA55" s="36"/>
      <c r="BTB55" s="36"/>
      <c r="BTC55" s="36"/>
      <c r="BTD55" s="36"/>
      <c r="BTE55" s="122"/>
      <c r="BTF55" s="36"/>
      <c r="BTG55" s="36"/>
      <c r="BTH55" s="36"/>
      <c r="BTI55" s="36"/>
      <c r="BTJ55" s="36"/>
      <c r="BTK55" s="61"/>
      <c r="BTL55" s="36"/>
      <c r="BTM55" s="36"/>
      <c r="BTN55" s="36"/>
      <c r="BTO55" s="36"/>
      <c r="BTP55" s="36"/>
      <c r="BTQ55" s="122"/>
      <c r="BTR55" s="36"/>
      <c r="BTS55" s="36"/>
      <c r="BTT55" s="36"/>
      <c r="BTU55" s="36"/>
      <c r="BTV55" s="36"/>
      <c r="BTW55" s="61"/>
      <c r="BTX55" s="36"/>
      <c r="BTY55" s="36"/>
      <c r="BTZ55" s="36"/>
      <c r="BUA55" s="36"/>
      <c r="BUB55" s="36"/>
      <c r="BUC55" s="122"/>
      <c r="BUD55" s="36"/>
      <c r="BUE55" s="36"/>
      <c r="BUF55" s="36"/>
      <c r="BUG55" s="36"/>
      <c r="BUH55" s="36"/>
      <c r="BUI55" s="61"/>
      <c r="BUJ55" s="36"/>
      <c r="BUK55" s="36"/>
      <c r="BUL55" s="36"/>
      <c r="BUM55" s="36"/>
      <c r="BUN55" s="36"/>
      <c r="BUO55" s="122"/>
      <c r="BUP55" s="36"/>
      <c r="BUQ55" s="36"/>
      <c r="BUR55" s="36"/>
      <c r="BUS55" s="36"/>
      <c r="BUT55" s="36"/>
      <c r="BUU55" s="61"/>
      <c r="BUV55" s="36"/>
      <c r="BUW55" s="36"/>
      <c r="BUX55" s="36"/>
      <c r="BUY55" s="36"/>
      <c r="BUZ55" s="36"/>
      <c r="BVA55" s="37"/>
      <c r="BVB55" s="75"/>
    </row>
    <row r="56" spans="1:1926" ht="20.100000000000001" customHeight="1" x14ac:dyDescent="0.25">
      <c r="A56" s="84" t="s">
        <v>21</v>
      </c>
      <c r="B56" s="53"/>
      <c r="C56" s="175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14"/>
      <c r="BHL56" s="24"/>
      <c r="BHM56" s="24"/>
      <c r="BHN56" s="24"/>
      <c r="BHO56" s="24"/>
      <c r="BHP56" s="24"/>
      <c r="BHQ56" s="119"/>
      <c r="BHR56" s="24"/>
      <c r="BHS56" s="24"/>
      <c r="BHT56" s="24"/>
      <c r="BHU56" s="24"/>
      <c r="BHV56" s="24"/>
      <c r="BHW56" s="58"/>
      <c r="BHX56" s="24"/>
      <c r="BHY56" s="24"/>
      <c r="BHZ56" s="24"/>
      <c r="BIA56" s="24"/>
      <c r="BIB56" s="24"/>
      <c r="BIC56" s="119"/>
      <c r="BID56" s="24"/>
      <c r="BIE56" s="24"/>
      <c r="BIF56" s="24"/>
      <c r="BIG56" s="24"/>
      <c r="BIH56" s="24"/>
      <c r="BII56" s="58"/>
      <c r="BIJ56" s="24"/>
      <c r="BIK56" s="24"/>
      <c r="BIL56" s="24"/>
      <c r="BIM56" s="24"/>
      <c r="BIN56" s="24"/>
      <c r="BIO56" s="119"/>
      <c r="BIP56" s="24"/>
      <c r="BIQ56" s="24"/>
      <c r="BIR56" s="24"/>
      <c r="BIS56" s="24"/>
      <c r="BIT56" s="24"/>
      <c r="BIU56" s="58"/>
      <c r="BIV56" s="24"/>
      <c r="BIW56" s="24"/>
      <c r="BIX56" s="24"/>
      <c r="BIY56" s="24"/>
      <c r="BIZ56" s="24"/>
      <c r="BJA56" s="119"/>
      <c r="BJB56" s="24"/>
      <c r="BJC56" s="24"/>
      <c r="BJD56" s="24"/>
      <c r="BJE56" s="24"/>
      <c r="BJF56" s="24"/>
      <c r="BJG56" s="58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14"/>
      <c r="BJT56" s="24"/>
      <c r="BJU56" s="24"/>
      <c r="BJV56" s="24"/>
      <c r="BJW56" s="24"/>
      <c r="BJX56" s="24"/>
      <c r="BJY56" s="119"/>
      <c r="BJZ56" s="24"/>
      <c r="BKA56" s="24"/>
      <c r="BKB56" s="24"/>
      <c r="BKC56" s="24"/>
      <c r="BKD56" s="24"/>
      <c r="BKE56" s="58"/>
      <c r="BKF56" s="24"/>
      <c r="BKG56" s="24"/>
      <c r="BKH56" s="24"/>
      <c r="BKI56" s="24"/>
      <c r="BKJ56" s="24"/>
      <c r="BKK56" s="119"/>
      <c r="BKL56" s="24"/>
      <c r="BKM56" s="24"/>
      <c r="BKN56" s="24"/>
      <c r="BKO56" s="24"/>
      <c r="BKP56" s="24"/>
      <c r="BKQ56" s="58"/>
      <c r="BKR56" s="24"/>
      <c r="BKS56" s="24"/>
      <c r="BKT56" s="24"/>
      <c r="BKU56" s="24"/>
      <c r="BKV56" s="24"/>
      <c r="BKW56" s="119"/>
      <c r="BKX56" s="24"/>
      <c r="BKY56" s="24"/>
      <c r="BKZ56" s="24"/>
      <c r="BLA56" s="24"/>
      <c r="BLB56" s="24"/>
      <c r="BLC56" s="58"/>
      <c r="BLD56" s="24"/>
      <c r="BLE56" s="24"/>
      <c r="BLF56" s="24"/>
      <c r="BLG56" s="24"/>
      <c r="BLH56" s="24"/>
      <c r="BLI56" s="119"/>
      <c r="BLJ56" s="24"/>
      <c r="BLK56" s="24"/>
      <c r="BLL56" s="24"/>
      <c r="BLM56" s="24"/>
      <c r="BLN56" s="24"/>
      <c r="BLO56" s="58"/>
      <c r="BLP56" s="24"/>
      <c r="BLQ56" s="24"/>
      <c r="BLR56" s="24"/>
      <c r="BLS56" s="24"/>
      <c r="BLT56" s="24"/>
      <c r="BLU56" s="25"/>
      <c r="BLV56" s="23"/>
      <c r="BLW56" s="24"/>
      <c r="BLX56" s="24"/>
      <c r="BLY56" s="24"/>
      <c r="BLZ56" s="24"/>
      <c r="BMA56" s="114"/>
      <c r="BMB56" s="24"/>
      <c r="BMC56" s="24"/>
      <c r="BMD56" s="24"/>
      <c r="BME56" s="24"/>
      <c r="BMF56" s="24"/>
      <c r="BMG56" s="119"/>
      <c r="BMH56" s="24"/>
      <c r="BMI56" s="24"/>
      <c r="BMJ56" s="24"/>
      <c r="BMK56" s="24"/>
      <c r="BML56" s="24"/>
      <c r="BMM56" s="58"/>
      <c r="BMN56" s="24"/>
      <c r="BMO56" s="24"/>
      <c r="BMP56" s="24"/>
      <c r="BMQ56" s="24"/>
      <c r="BMR56" s="24"/>
      <c r="BMS56" s="119"/>
      <c r="BMT56" s="24"/>
      <c r="BMU56" s="24"/>
      <c r="BMV56" s="24"/>
      <c r="BMW56" s="24"/>
      <c r="BMX56" s="24"/>
      <c r="BMY56" s="58"/>
      <c r="BMZ56" s="24"/>
      <c r="BNA56" s="24"/>
      <c r="BNB56" s="24"/>
      <c r="BNC56" s="24"/>
      <c r="BND56" s="24"/>
      <c r="BNE56" s="119"/>
      <c r="BNF56" s="24"/>
      <c r="BNG56" s="24"/>
      <c r="BNH56" s="24"/>
      <c r="BNI56" s="24"/>
      <c r="BNJ56" s="24"/>
      <c r="BNK56" s="58"/>
      <c r="BNL56" s="24"/>
      <c r="BNM56" s="24"/>
      <c r="BNN56" s="24"/>
      <c r="BNO56" s="24"/>
      <c r="BNP56" s="24"/>
      <c r="BNQ56" s="119"/>
      <c r="BNR56" s="24"/>
      <c r="BNS56" s="24"/>
      <c r="BNT56" s="24"/>
      <c r="BNU56" s="24"/>
      <c r="BNV56" s="24"/>
      <c r="BNW56" s="58"/>
      <c r="BNX56" s="24"/>
      <c r="BNY56" s="24"/>
      <c r="BNZ56" s="24"/>
      <c r="BOA56" s="24"/>
      <c r="BOB56" s="24"/>
      <c r="BOC56" s="25"/>
      <c r="BOD56" s="23"/>
      <c r="BOE56" s="24"/>
      <c r="BOF56" s="24"/>
      <c r="BOG56" s="24"/>
      <c r="BOH56" s="24"/>
      <c r="BOI56" s="114"/>
      <c r="BOJ56" s="24"/>
      <c r="BOK56" s="24"/>
      <c r="BOL56" s="24"/>
      <c r="BOM56" s="24"/>
      <c r="BON56" s="24"/>
      <c r="BOO56" s="119"/>
      <c r="BOP56" s="24"/>
      <c r="BOQ56" s="24"/>
      <c r="BOR56" s="24"/>
      <c r="BOS56" s="24"/>
      <c r="BOT56" s="24"/>
      <c r="BOU56" s="58"/>
      <c r="BOV56" s="24"/>
      <c r="BOW56" s="24"/>
      <c r="BOX56" s="24"/>
      <c r="BOY56" s="24"/>
      <c r="BOZ56" s="24"/>
      <c r="BPA56" s="119"/>
      <c r="BPB56" s="24"/>
      <c r="BPC56" s="24"/>
      <c r="BPD56" s="24"/>
      <c r="BPE56" s="24"/>
      <c r="BPF56" s="24"/>
      <c r="BPG56" s="58"/>
      <c r="BPH56" s="24"/>
      <c r="BPI56" s="24"/>
      <c r="BPJ56" s="24"/>
      <c r="BPK56" s="24"/>
      <c r="BPL56" s="24"/>
      <c r="BPM56" s="119"/>
      <c r="BPN56" s="24"/>
      <c r="BPO56" s="24"/>
      <c r="BPP56" s="24"/>
      <c r="BPQ56" s="24"/>
      <c r="BPR56" s="24"/>
      <c r="BPS56" s="58"/>
      <c r="BPT56" s="24"/>
      <c r="BPU56" s="24"/>
      <c r="BPV56" s="24"/>
      <c r="BPW56" s="24"/>
      <c r="BPX56" s="24"/>
      <c r="BPY56" s="119"/>
      <c r="BPZ56" s="24"/>
      <c r="BQA56" s="24"/>
      <c r="BQB56" s="24"/>
      <c r="BQC56" s="24"/>
      <c r="BQD56" s="24"/>
      <c r="BQE56" s="58"/>
      <c r="BQF56" s="24"/>
      <c r="BQG56" s="24"/>
      <c r="BQH56" s="24"/>
      <c r="BQI56" s="24"/>
      <c r="BQJ56" s="24"/>
      <c r="BQK56" s="25"/>
      <c r="BQL56" s="23"/>
      <c r="BQM56" s="24"/>
      <c r="BQN56" s="24"/>
      <c r="BQO56" s="24"/>
      <c r="BQP56" s="24"/>
      <c r="BQQ56" s="114"/>
      <c r="BQR56" s="24"/>
      <c r="BQS56" s="24"/>
      <c r="BQT56" s="24"/>
      <c r="BQU56" s="24"/>
      <c r="BQV56" s="24"/>
      <c r="BQW56" s="119"/>
      <c r="BQX56" s="24"/>
      <c r="BQY56" s="24"/>
      <c r="BQZ56" s="24"/>
      <c r="BRA56" s="24"/>
      <c r="BRB56" s="24"/>
      <c r="BRC56" s="58"/>
      <c r="BRD56" s="24"/>
      <c r="BRE56" s="24"/>
      <c r="BRF56" s="24"/>
      <c r="BRG56" s="24"/>
      <c r="BRH56" s="24"/>
      <c r="BRI56" s="119"/>
      <c r="BRJ56" s="24"/>
      <c r="BRK56" s="24"/>
      <c r="BRL56" s="24"/>
      <c r="BRM56" s="24"/>
      <c r="BRN56" s="24"/>
      <c r="BRO56" s="58"/>
      <c r="BRP56" s="24"/>
      <c r="BRQ56" s="24"/>
      <c r="BRR56" s="24"/>
      <c r="BRS56" s="24"/>
      <c r="BRT56" s="24"/>
      <c r="BRU56" s="119"/>
      <c r="BRV56" s="24"/>
      <c r="BRW56" s="24"/>
      <c r="BRX56" s="24"/>
      <c r="BRY56" s="24"/>
      <c r="BRZ56" s="24"/>
      <c r="BSA56" s="58"/>
      <c r="BSB56" s="24"/>
      <c r="BSC56" s="24"/>
      <c r="BSD56" s="24"/>
      <c r="BSE56" s="24"/>
      <c r="BSF56" s="24"/>
      <c r="BSG56" s="119"/>
      <c r="BSH56" s="24"/>
      <c r="BSI56" s="24"/>
      <c r="BSJ56" s="24"/>
      <c r="BSK56" s="24"/>
      <c r="BSL56" s="24"/>
      <c r="BSM56" s="58"/>
      <c r="BSN56" s="24"/>
      <c r="BSO56" s="24"/>
      <c r="BSP56" s="24"/>
      <c r="BSQ56" s="24"/>
      <c r="BSR56" s="24"/>
      <c r="BSS56" s="25"/>
      <c r="BST56" s="23"/>
      <c r="BSU56" s="24"/>
      <c r="BSV56" s="24"/>
      <c r="BSW56" s="24"/>
      <c r="BSX56" s="24"/>
      <c r="BSY56" s="114"/>
      <c r="BSZ56" s="24"/>
      <c r="BTA56" s="24"/>
      <c r="BTB56" s="24"/>
      <c r="BTC56" s="24"/>
      <c r="BTD56" s="24"/>
      <c r="BTE56" s="119"/>
      <c r="BTF56" s="24"/>
      <c r="BTG56" s="24"/>
      <c r="BTH56" s="24"/>
      <c r="BTI56" s="24"/>
      <c r="BTJ56" s="24"/>
      <c r="BTK56" s="58"/>
      <c r="BTL56" s="24"/>
      <c r="BTM56" s="24"/>
      <c r="BTN56" s="24"/>
      <c r="BTO56" s="24"/>
      <c r="BTP56" s="24"/>
      <c r="BTQ56" s="119"/>
      <c r="BTR56" s="24"/>
      <c r="BTS56" s="24"/>
      <c r="BTT56" s="24"/>
      <c r="BTU56" s="24"/>
      <c r="BTV56" s="24"/>
      <c r="BTW56" s="58"/>
      <c r="BTX56" s="24"/>
      <c r="BTY56" s="24"/>
      <c r="BTZ56" s="24"/>
      <c r="BUA56" s="24"/>
      <c r="BUB56" s="24"/>
      <c r="BUC56" s="119"/>
      <c r="BUD56" s="24"/>
      <c r="BUE56" s="24"/>
      <c r="BUF56" s="24"/>
      <c r="BUG56" s="24"/>
      <c r="BUH56" s="24"/>
      <c r="BUI56" s="58"/>
      <c r="BUJ56" s="24"/>
      <c r="BUK56" s="24"/>
      <c r="BUL56" s="24"/>
      <c r="BUM56" s="24"/>
      <c r="BUN56" s="24"/>
      <c r="BUO56" s="119"/>
      <c r="BUP56" s="24"/>
      <c r="BUQ56" s="24"/>
      <c r="BUR56" s="24"/>
      <c r="BUS56" s="24"/>
      <c r="BUT56" s="24"/>
      <c r="BUU56" s="58"/>
      <c r="BUV56" s="24"/>
      <c r="BUW56" s="24"/>
      <c r="BUX56" s="24"/>
      <c r="BUY56" s="24"/>
      <c r="BUZ56" s="24"/>
      <c r="BVA56" s="25"/>
      <c r="BVB56" s="75"/>
    </row>
    <row r="57" spans="1:1926" ht="20.100000000000001" customHeight="1" x14ac:dyDescent="0.25">
      <c r="A57" s="84" t="s">
        <v>20</v>
      </c>
      <c r="B57" s="53"/>
      <c r="C57" s="17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27"/>
      <c r="BJO57" s="28"/>
      <c r="BJP57" s="28"/>
      <c r="BJQ57" s="28"/>
      <c r="BJR57" s="28"/>
      <c r="BJS57" s="115"/>
      <c r="BJT57" s="28"/>
      <c r="BJU57" s="28"/>
      <c r="BJV57" s="28"/>
      <c r="BJW57" s="28"/>
      <c r="BJX57" s="28"/>
      <c r="BJY57" s="120"/>
      <c r="BJZ57" s="28"/>
      <c r="BKA57" s="28"/>
      <c r="BKB57" s="28"/>
      <c r="BKC57" s="28"/>
      <c r="BKD57" s="28"/>
      <c r="BKE57" s="59"/>
      <c r="BKF57" s="28"/>
      <c r="BKG57" s="28"/>
      <c r="BKH57" s="28"/>
      <c r="BKI57" s="28"/>
      <c r="BKJ57" s="28"/>
      <c r="BKK57" s="120"/>
      <c r="BKL57" s="28"/>
      <c r="BKM57" s="28"/>
      <c r="BKN57" s="28"/>
      <c r="BKO57" s="28"/>
      <c r="BKP57" s="28"/>
      <c r="BKQ57" s="59"/>
      <c r="BKR57" s="28"/>
      <c r="BKS57" s="28"/>
      <c r="BKT57" s="28"/>
      <c r="BKU57" s="28"/>
      <c r="BKV57" s="28"/>
      <c r="BKW57" s="120"/>
      <c r="BKX57" s="28"/>
      <c r="BKY57" s="28"/>
      <c r="BKZ57" s="28"/>
      <c r="BLA57" s="28"/>
      <c r="BLB57" s="28"/>
      <c r="BLC57" s="59"/>
      <c r="BLD57" s="28"/>
      <c r="BLE57" s="28"/>
      <c r="BLF57" s="28"/>
      <c r="BLG57" s="28"/>
      <c r="BLH57" s="28"/>
      <c r="BLI57" s="120"/>
      <c r="BLJ57" s="28"/>
      <c r="BLK57" s="28"/>
      <c r="BLL57" s="28"/>
      <c r="BLM57" s="28"/>
      <c r="BLN57" s="28"/>
      <c r="BLO57" s="59"/>
      <c r="BLP57" s="28"/>
      <c r="BLQ57" s="28"/>
      <c r="BLR57" s="28"/>
      <c r="BLS57" s="28"/>
      <c r="BLT57" s="28"/>
      <c r="BLU57" s="29"/>
      <c r="BLV57" s="27"/>
      <c r="BLW57" s="28"/>
      <c r="BLX57" s="28"/>
      <c r="BLY57" s="28"/>
      <c r="BLZ57" s="28"/>
      <c r="BMA57" s="115"/>
      <c r="BMB57" s="28"/>
      <c r="BMC57" s="28"/>
      <c r="BMD57" s="28"/>
      <c r="BME57" s="28"/>
      <c r="BMF57" s="28"/>
      <c r="BMG57" s="120"/>
      <c r="BMH57" s="28"/>
      <c r="BMI57" s="28"/>
      <c r="BMJ57" s="28"/>
      <c r="BMK57" s="28"/>
      <c r="BML57" s="28"/>
      <c r="BMM57" s="59"/>
      <c r="BMN57" s="28"/>
      <c r="BMO57" s="28"/>
      <c r="BMP57" s="28"/>
      <c r="BMQ57" s="28"/>
      <c r="BMR57" s="28"/>
      <c r="BMS57" s="120"/>
      <c r="BMT57" s="28"/>
      <c r="BMU57" s="28"/>
      <c r="BMV57" s="28"/>
      <c r="BMW57" s="28"/>
      <c r="BMX57" s="28"/>
      <c r="BMY57" s="59"/>
      <c r="BMZ57" s="28"/>
      <c r="BNA57" s="28"/>
      <c r="BNB57" s="28"/>
      <c r="BNC57" s="28"/>
      <c r="BND57" s="28"/>
      <c r="BNE57" s="120"/>
      <c r="BNF57" s="28"/>
      <c r="BNG57" s="28"/>
      <c r="BNH57" s="28"/>
      <c r="BNI57" s="28"/>
      <c r="BNJ57" s="28"/>
      <c r="BNK57" s="59"/>
      <c r="BNL57" s="28"/>
      <c r="BNM57" s="28"/>
      <c r="BNN57" s="28"/>
      <c r="BNO57" s="28"/>
      <c r="BNP57" s="28"/>
      <c r="BNQ57" s="120"/>
      <c r="BNR57" s="28"/>
      <c r="BNS57" s="28"/>
      <c r="BNT57" s="28"/>
      <c r="BNU57" s="28"/>
      <c r="BNV57" s="28"/>
      <c r="BNW57" s="59"/>
      <c r="BNX57" s="28"/>
      <c r="BNY57" s="28"/>
      <c r="BNZ57" s="28"/>
      <c r="BOA57" s="28"/>
      <c r="BOB57" s="28"/>
      <c r="BOC57" s="29"/>
      <c r="BOD57" s="27"/>
      <c r="BOE57" s="28"/>
      <c r="BOF57" s="28"/>
      <c r="BOG57" s="28"/>
      <c r="BOH57" s="28"/>
      <c r="BOI57" s="115"/>
      <c r="BOJ57" s="28"/>
      <c r="BOK57" s="28"/>
      <c r="BOL57" s="28"/>
      <c r="BOM57" s="28"/>
      <c r="BON57" s="28"/>
      <c r="BOO57" s="120"/>
      <c r="BOP57" s="28"/>
      <c r="BOQ57" s="28"/>
      <c r="BOR57" s="28"/>
      <c r="BOS57" s="28"/>
      <c r="BOT57" s="28"/>
      <c r="BOU57" s="59"/>
      <c r="BOV57" s="28"/>
      <c r="BOW57" s="28"/>
      <c r="BOX57" s="28"/>
      <c r="BOY57" s="28"/>
      <c r="BOZ57" s="28"/>
      <c r="BPA57" s="120"/>
      <c r="BPB57" s="28"/>
      <c r="BPC57" s="28"/>
      <c r="BPD57" s="28"/>
      <c r="BPE57" s="28"/>
      <c r="BPF57" s="28"/>
      <c r="BPG57" s="59"/>
      <c r="BPH57" s="28"/>
      <c r="BPI57" s="28"/>
      <c r="BPJ57" s="28"/>
      <c r="BPK57" s="28"/>
      <c r="BPL57" s="28"/>
      <c r="BPM57" s="120"/>
      <c r="BPN57" s="28"/>
      <c r="BPO57" s="28"/>
      <c r="BPP57" s="28"/>
      <c r="BPQ57" s="28"/>
      <c r="BPR57" s="28"/>
      <c r="BPS57" s="59"/>
      <c r="BPT57" s="28"/>
      <c r="BPU57" s="28"/>
      <c r="BPV57" s="28"/>
      <c r="BPW57" s="28"/>
      <c r="BPX57" s="28"/>
      <c r="BPY57" s="120"/>
      <c r="BPZ57" s="28"/>
      <c r="BQA57" s="28"/>
      <c r="BQB57" s="28"/>
      <c r="BQC57" s="28"/>
      <c r="BQD57" s="28"/>
      <c r="BQE57" s="59"/>
      <c r="BQF57" s="28"/>
      <c r="BQG57" s="28"/>
      <c r="BQH57" s="28"/>
      <c r="BQI57" s="28"/>
      <c r="BQJ57" s="28"/>
      <c r="BQK57" s="29"/>
      <c r="BQL57" s="27"/>
      <c r="BQM57" s="28"/>
      <c r="BQN57" s="28"/>
      <c r="BQO57" s="28"/>
      <c r="BQP57" s="28"/>
      <c r="BQQ57" s="115"/>
      <c r="BQR57" s="28"/>
      <c r="BQS57" s="28"/>
      <c r="BQT57" s="28"/>
      <c r="BQU57" s="28"/>
      <c r="BQV57" s="28"/>
      <c r="BQW57" s="120"/>
      <c r="BQX57" s="28"/>
      <c r="BQY57" s="28"/>
      <c r="BQZ57" s="28"/>
      <c r="BRA57" s="28"/>
      <c r="BRB57" s="28"/>
      <c r="BRC57" s="59"/>
      <c r="BRD57" s="28"/>
      <c r="BRE57" s="28"/>
      <c r="BRF57" s="28"/>
      <c r="BRG57" s="28"/>
      <c r="BRH57" s="28"/>
      <c r="BRI57" s="120"/>
      <c r="BRJ57" s="28"/>
      <c r="BRK57" s="28"/>
      <c r="BRL57" s="28"/>
      <c r="BRM57" s="28"/>
      <c r="BRN57" s="28"/>
      <c r="BRO57" s="59"/>
      <c r="BRP57" s="28"/>
      <c r="BRQ57" s="28"/>
      <c r="BRR57" s="28"/>
      <c r="BRS57" s="28"/>
      <c r="BRT57" s="28"/>
      <c r="BRU57" s="120"/>
      <c r="BRV57" s="28"/>
      <c r="BRW57" s="28"/>
      <c r="BRX57" s="28"/>
      <c r="BRY57" s="28"/>
      <c r="BRZ57" s="28"/>
      <c r="BSA57" s="59"/>
      <c r="BSB57" s="28"/>
      <c r="BSC57" s="28"/>
      <c r="BSD57" s="28"/>
      <c r="BSE57" s="28"/>
      <c r="BSF57" s="28"/>
      <c r="BSG57" s="120"/>
      <c r="BSH57" s="28"/>
      <c r="BSI57" s="28"/>
      <c r="BSJ57" s="28"/>
      <c r="BSK57" s="28"/>
      <c r="BSL57" s="28"/>
      <c r="BSM57" s="59"/>
      <c r="BSN57" s="28"/>
      <c r="BSO57" s="28"/>
      <c r="BSP57" s="28"/>
      <c r="BSQ57" s="28"/>
      <c r="BSR57" s="28"/>
      <c r="BSS57" s="29"/>
      <c r="BST57" s="27"/>
      <c r="BSU57" s="28"/>
      <c r="BSV57" s="28"/>
      <c r="BSW57" s="28"/>
      <c r="BSX57" s="28"/>
      <c r="BSY57" s="115"/>
      <c r="BSZ57" s="28"/>
      <c r="BTA57" s="28"/>
      <c r="BTB57" s="28"/>
      <c r="BTC57" s="28"/>
      <c r="BTD57" s="28"/>
      <c r="BTE57" s="120"/>
      <c r="BTF57" s="28"/>
      <c r="BTG57" s="28"/>
      <c r="BTH57" s="28"/>
      <c r="BTI57" s="28"/>
      <c r="BTJ57" s="28"/>
      <c r="BTK57" s="59"/>
      <c r="BTL57" s="28"/>
      <c r="BTM57" s="28"/>
      <c r="BTN57" s="28"/>
      <c r="BTO57" s="28"/>
      <c r="BTP57" s="28"/>
      <c r="BTQ57" s="120"/>
      <c r="BTR57" s="28"/>
      <c r="BTS57" s="28"/>
      <c r="BTT57" s="28"/>
      <c r="BTU57" s="28"/>
      <c r="BTV57" s="28"/>
      <c r="BTW57" s="59"/>
      <c r="BTX57" s="28"/>
      <c r="BTY57" s="28"/>
      <c r="BTZ57" s="28"/>
      <c r="BUA57" s="28"/>
      <c r="BUB57" s="28"/>
      <c r="BUC57" s="120"/>
      <c r="BUD57" s="28"/>
      <c r="BUE57" s="28"/>
      <c r="BUF57" s="28"/>
      <c r="BUG57" s="28"/>
      <c r="BUH57" s="28"/>
      <c r="BUI57" s="59"/>
      <c r="BUJ57" s="28"/>
      <c r="BUK57" s="28"/>
      <c r="BUL57" s="28"/>
      <c r="BUM57" s="28"/>
      <c r="BUN57" s="28"/>
      <c r="BUO57" s="120"/>
      <c r="BUP57" s="28"/>
      <c r="BUQ57" s="28"/>
      <c r="BUR57" s="28"/>
      <c r="BUS57" s="28"/>
      <c r="BUT57" s="28"/>
      <c r="BUU57" s="59"/>
      <c r="BUV57" s="28"/>
      <c r="BUW57" s="28"/>
      <c r="BUX57" s="28"/>
      <c r="BUY57" s="28"/>
      <c r="BUZ57" s="28"/>
      <c r="BVA57" s="29"/>
      <c r="BVB57" s="75"/>
    </row>
    <row r="58" spans="1:1926" ht="20.100000000000001" customHeight="1" x14ac:dyDescent="0.3">
      <c r="A58" s="84" t="s">
        <v>21</v>
      </c>
      <c r="B58" s="53"/>
      <c r="C58" s="182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16"/>
      <c r="BHL58" s="32"/>
      <c r="BHM58" s="32"/>
      <c r="BHN58" s="32"/>
      <c r="BHO58" s="32"/>
      <c r="BHP58" s="32"/>
      <c r="BHQ58" s="121"/>
      <c r="BHR58" s="32"/>
      <c r="BHS58" s="32"/>
      <c r="BHT58" s="32"/>
      <c r="BHU58" s="32"/>
      <c r="BHV58" s="32"/>
      <c r="BHW58" s="60"/>
      <c r="BHX58" s="32"/>
      <c r="BHY58" s="32"/>
      <c r="BHZ58" s="32"/>
      <c r="BIA58" s="32"/>
      <c r="BIB58" s="32"/>
      <c r="BIC58" s="121"/>
      <c r="BID58" s="32"/>
      <c r="BIE58" s="32"/>
      <c r="BIF58" s="32"/>
      <c r="BIG58" s="32"/>
      <c r="BIH58" s="32"/>
      <c r="BII58" s="60"/>
      <c r="BIJ58" s="32"/>
      <c r="BIK58" s="32"/>
      <c r="BIL58" s="32"/>
      <c r="BIM58" s="32"/>
      <c r="BIN58" s="32"/>
      <c r="BIO58" s="121"/>
      <c r="BIP58" s="32"/>
      <c r="BIQ58" s="32"/>
      <c r="BIR58" s="32"/>
      <c r="BIS58" s="32"/>
      <c r="BIT58" s="32"/>
      <c r="BIU58" s="60"/>
      <c r="BIV58" s="32"/>
      <c r="BIW58" s="32"/>
      <c r="BIX58" s="32"/>
      <c r="BIY58" s="32"/>
      <c r="BIZ58" s="32"/>
      <c r="BJA58" s="121"/>
      <c r="BJB58" s="32"/>
      <c r="BJC58" s="32"/>
      <c r="BJD58" s="32"/>
      <c r="BJE58" s="32"/>
      <c r="BJF58" s="32"/>
      <c r="BJG58" s="60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16"/>
      <c r="BJT58" s="32"/>
      <c r="BJU58" s="32"/>
      <c r="BJV58" s="32"/>
      <c r="BJW58" s="32"/>
      <c r="BJX58" s="32"/>
      <c r="BJY58" s="121"/>
      <c r="BJZ58" s="32"/>
      <c r="BKA58" s="32"/>
      <c r="BKB58" s="32"/>
      <c r="BKC58" s="32"/>
      <c r="BKD58" s="32"/>
      <c r="BKE58" s="60"/>
      <c r="BKF58" s="32"/>
      <c r="BKG58" s="32"/>
      <c r="BKH58" s="32"/>
      <c r="BKI58" s="32"/>
      <c r="BKJ58" s="32"/>
      <c r="BKK58" s="121"/>
      <c r="BKL58" s="32"/>
      <c r="BKM58" s="32"/>
      <c r="BKN58" s="32"/>
      <c r="BKO58" s="32"/>
      <c r="BKP58" s="32"/>
      <c r="BKQ58" s="60"/>
      <c r="BKR58" s="32"/>
      <c r="BKS58" s="32"/>
      <c r="BKT58" s="32"/>
      <c r="BKU58" s="32"/>
      <c r="BKV58" s="32"/>
      <c r="BKW58" s="121"/>
      <c r="BKX58" s="32"/>
      <c r="BKY58" s="32"/>
      <c r="BKZ58" s="32"/>
      <c r="BLA58" s="32"/>
      <c r="BLB58" s="32"/>
      <c r="BLC58" s="60"/>
      <c r="BLD58" s="32"/>
      <c r="BLE58" s="32"/>
      <c r="BLF58" s="32"/>
      <c r="BLG58" s="32"/>
      <c r="BLH58" s="32"/>
      <c r="BLI58" s="121"/>
      <c r="BLJ58" s="32"/>
      <c r="BLK58" s="32"/>
      <c r="BLL58" s="32"/>
      <c r="BLM58" s="32"/>
      <c r="BLN58" s="32"/>
      <c r="BLO58" s="60"/>
      <c r="BLP58" s="32"/>
      <c r="BLQ58" s="32"/>
      <c r="BLR58" s="32"/>
      <c r="BLS58" s="32"/>
      <c r="BLT58" s="32"/>
      <c r="BLU58" s="33"/>
      <c r="BLV58" s="31"/>
      <c r="BLW58" s="32"/>
      <c r="BLX58" s="32"/>
      <c r="BLY58" s="32"/>
      <c r="BLZ58" s="32"/>
      <c r="BMA58" s="116"/>
      <c r="BMB58" s="32"/>
      <c r="BMC58" s="32"/>
      <c r="BMD58" s="32"/>
      <c r="BME58" s="32"/>
      <c r="BMF58" s="32"/>
      <c r="BMG58" s="121"/>
      <c r="BMH58" s="32"/>
      <c r="BMI58" s="32"/>
      <c r="BMJ58" s="32"/>
      <c r="BMK58" s="32"/>
      <c r="BML58" s="32"/>
      <c r="BMM58" s="60"/>
      <c r="BMN58" s="32"/>
      <c r="BMO58" s="32"/>
      <c r="BMP58" s="32"/>
      <c r="BMQ58" s="32"/>
      <c r="BMR58" s="32"/>
      <c r="BMS58" s="121"/>
      <c r="BMT58" s="32"/>
      <c r="BMU58" s="32"/>
      <c r="BMV58" s="32"/>
      <c r="BMW58" s="32"/>
      <c r="BMX58" s="32"/>
      <c r="BMY58" s="60"/>
      <c r="BMZ58" s="32"/>
      <c r="BNA58" s="32"/>
      <c r="BNB58" s="32"/>
      <c r="BNC58" s="32"/>
      <c r="BND58" s="32"/>
      <c r="BNE58" s="121"/>
      <c r="BNF58" s="32"/>
      <c r="BNG58" s="32"/>
      <c r="BNH58" s="32"/>
      <c r="BNI58" s="32"/>
      <c r="BNJ58" s="32"/>
      <c r="BNK58" s="60"/>
      <c r="BNL58" s="32"/>
      <c r="BNM58" s="32"/>
      <c r="BNN58" s="32"/>
      <c r="BNO58" s="32"/>
      <c r="BNP58" s="32"/>
      <c r="BNQ58" s="121"/>
      <c r="BNR58" s="32"/>
      <c r="BNS58" s="32"/>
      <c r="BNT58" s="32"/>
      <c r="BNU58" s="32"/>
      <c r="BNV58" s="32"/>
      <c r="BNW58" s="60"/>
      <c r="BNX58" s="32"/>
      <c r="BNY58" s="32"/>
      <c r="BNZ58" s="32"/>
      <c r="BOA58" s="32"/>
      <c r="BOB58" s="32"/>
      <c r="BOC58" s="33"/>
      <c r="BOD58" s="31"/>
      <c r="BOE58" s="32"/>
      <c r="BOF58" s="32"/>
      <c r="BOG58" s="32"/>
      <c r="BOH58" s="32"/>
      <c r="BOI58" s="116"/>
      <c r="BOJ58" s="32"/>
      <c r="BOK58" s="32"/>
      <c r="BOL58" s="32"/>
      <c r="BOM58" s="32"/>
      <c r="BON58" s="32"/>
      <c r="BOO58" s="121"/>
      <c r="BOP58" s="32"/>
      <c r="BOQ58" s="32"/>
      <c r="BOR58" s="32"/>
      <c r="BOS58" s="32"/>
      <c r="BOT58" s="32"/>
      <c r="BOU58" s="60"/>
      <c r="BOV58" s="32"/>
      <c r="BOW58" s="32"/>
      <c r="BOX58" s="32"/>
      <c r="BOY58" s="32"/>
      <c r="BOZ58" s="32"/>
      <c r="BPA58" s="121"/>
      <c r="BPB58" s="32"/>
      <c r="BPC58" s="32"/>
      <c r="BPD58" s="32"/>
      <c r="BPE58" s="32"/>
      <c r="BPF58" s="32"/>
      <c r="BPG58" s="60"/>
      <c r="BPH58" s="32"/>
      <c r="BPI58" s="32"/>
      <c r="BPJ58" s="32"/>
      <c r="BPK58" s="32"/>
      <c r="BPL58" s="32"/>
      <c r="BPM58" s="121"/>
      <c r="BPN58" s="32"/>
      <c r="BPO58" s="32"/>
      <c r="BPP58" s="32"/>
      <c r="BPQ58" s="32"/>
      <c r="BPR58" s="32"/>
      <c r="BPS58" s="60"/>
      <c r="BPT58" s="32"/>
      <c r="BPU58" s="32"/>
      <c r="BPV58" s="32"/>
      <c r="BPW58" s="32"/>
      <c r="BPX58" s="32"/>
      <c r="BPY58" s="121"/>
      <c r="BPZ58" s="32"/>
      <c r="BQA58" s="32"/>
      <c r="BQB58" s="32"/>
      <c r="BQC58" s="32"/>
      <c r="BQD58" s="32"/>
      <c r="BQE58" s="60"/>
      <c r="BQF58" s="32"/>
      <c r="BQG58" s="32"/>
      <c r="BQH58" s="32"/>
      <c r="BQI58" s="32"/>
      <c r="BQJ58" s="32"/>
      <c r="BQK58" s="33"/>
      <c r="BQL58" s="31"/>
      <c r="BQM58" s="32"/>
      <c r="BQN58" s="32"/>
      <c r="BQO58" s="32"/>
      <c r="BQP58" s="32"/>
      <c r="BQQ58" s="116"/>
      <c r="BQR58" s="32"/>
      <c r="BQS58" s="32"/>
      <c r="BQT58" s="32"/>
      <c r="BQU58" s="32"/>
      <c r="BQV58" s="32"/>
      <c r="BQW58" s="121"/>
      <c r="BQX58" s="32"/>
      <c r="BQY58" s="32"/>
      <c r="BQZ58" s="32"/>
      <c r="BRA58" s="32"/>
      <c r="BRB58" s="32"/>
      <c r="BRC58" s="60"/>
      <c r="BRD58" s="32"/>
      <c r="BRE58" s="32"/>
      <c r="BRF58" s="32"/>
      <c r="BRG58" s="32"/>
      <c r="BRH58" s="32"/>
      <c r="BRI58" s="121"/>
      <c r="BRJ58" s="32"/>
      <c r="BRK58" s="32"/>
      <c r="BRL58" s="32"/>
      <c r="BRM58" s="32"/>
      <c r="BRN58" s="32"/>
      <c r="BRO58" s="60"/>
      <c r="BRP58" s="32"/>
      <c r="BRQ58" s="32"/>
      <c r="BRR58" s="32"/>
      <c r="BRS58" s="32"/>
      <c r="BRT58" s="32"/>
      <c r="BRU58" s="121"/>
      <c r="BRV58" s="32"/>
      <c r="BRW58" s="32"/>
      <c r="BRX58" s="32"/>
      <c r="BRY58" s="32"/>
      <c r="BRZ58" s="32"/>
      <c r="BSA58" s="60"/>
      <c r="BSB58" s="32"/>
      <c r="BSC58" s="32"/>
      <c r="BSD58" s="32"/>
      <c r="BSE58" s="32"/>
      <c r="BSF58" s="32"/>
      <c r="BSG58" s="121"/>
      <c r="BSH58" s="32"/>
      <c r="BSI58" s="32"/>
      <c r="BSJ58" s="32"/>
      <c r="BSK58" s="32"/>
      <c r="BSL58" s="32"/>
      <c r="BSM58" s="60"/>
      <c r="BSN58" s="32"/>
      <c r="BSO58" s="32"/>
      <c r="BSP58" s="32"/>
      <c r="BSQ58" s="32"/>
      <c r="BSR58" s="32"/>
      <c r="BSS58" s="33"/>
      <c r="BST58" s="31"/>
      <c r="BSU58" s="32"/>
      <c r="BSV58" s="32"/>
      <c r="BSW58" s="32"/>
      <c r="BSX58" s="32"/>
      <c r="BSY58" s="116"/>
      <c r="BSZ58" s="32"/>
      <c r="BTA58" s="32"/>
      <c r="BTB58" s="32"/>
      <c r="BTC58" s="32"/>
      <c r="BTD58" s="32"/>
      <c r="BTE58" s="121"/>
      <c r="BTF58" s="32"/>
      <c r="BTG58" s="32"/>
      <c r="BTH58" s="32"/>
      <c r="BTI58" s="32"/>
      <c r="BTJ58" s="32"/>
      <c r="BTK58" s="60"/>
      <c r="BTL58" s="32"/>
      <c r="BTM58" s="32"/>
      <c r="BTN58" s="32"/>
      <c r="BTO58" s="32"/>
      <c r="BTP58" s="32"/>
      <c r="BTQ58" s="121"/>
      <c r="BTR58" s="32"/>
      <c r="BTS58" s="32"/>
      <c r="BTT58" s="32"/>
      <c r="BTU58" s="32"/>
      <c r="BTV58" s="32"/>
      <c r="BTW58" s="60"/>
      <c r="BTX58" s="32"/>
      <c r="BTY58" s="32"/>
      <c r="BTZ58" s="32"/>
      <c r="BUA58" s="32"/>
      <c r="BUB58" s="32"/>
      <c r="BUC58" s="121"/>
      <c r="BUD58" s="32"/>
      <c r="BUE58" s="32"/>
      <c r="BUF58" s="32"/>
      <c r="BUG58" s="32"/>
      <c r="BUH58" s="32"/>
      <c r="BUI58" s="60"/>
      <c r="BUJ58" s="32"/>
      <c r="BUK58" s="32"/>
      <c r="BUL58" s="32"/>
      <c r="BUM58" s="32"/>
      <c r="BUN58" s="32"/>
      <c r="BUO58" s="121"/>
      <c r="BUP58" s="32"/>
      <c r="BUQ58" s="32"/>
      <c r="BUR58" s="32"/>
      <c r="BUS58" s="32"/>
      <c r="BUT58" s="32"/>
      <c r="BUU58" s="60"/>
      <c r="BUV58" s="32"/>
      <c r="BUW58" s="32"/>
      <c r="BUX58" s="32"/>
      <c r="BUY58" s="32"/>
      <c r="BUZ58" s="32"/>
      <c r="BVA58" s="33"/>
      <c r="BVB58" s="75"/>
    </row>
    <row r="59" spans="1:1926" ht="20.100000000000001" customHeight="1" x14ac:dyDescent="0.25">
      <c r="A59" s="84" t="s">
        <v>20</v>
      </c>
      <c r="B59" s="53"/>
      <c r="C59" s="17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17"/>
      <c r="BJT59" s="36"/>
      <c r="BJU59" s="36"/>
      <c r="BJV59" s="36"/>
      <c r="BJW59" s="36"/>
      <c r="BJX59" s="36"/>
      <c r="BJY59" s="122"/>
      <c r="BJZ59" s="36"/>
      <c r="BKA59" s="36"/>
      <c r="BKB59" s="36"/>
      <c r="BKC59" s="36"/>
      <c r="BKD59" s="36"/>
      <c r="BKE59" s="61"/>
      <c r="BKF59" s="36"/>
      <c r="BKG59" s="36"/>
      <c r="BKH59" s="36"/>
      <c r="BKI59" s="36"/>
      <c r="BKJ59" s="36"/>
      <c r="BKK59" s="122"/>
      <c r="BKL59" s="36"/>
      <c r="BKM59" s="36"/>
      <c r="BKN59" s="36"/>
      <c r="BKO59" s="36"/>
      <c r="BKP59" s="36"/>
      <c r="BKQ59" s="61"/>
      <c r="BKR59" s="36"/>
      <c r="BKS59" s="36"/>
      <c r="BKT59" s="36"/>
      <c r="BKU59" s="36"/>
      <c r="BKV59" s="36"/>
      <c r="BKW59" s="122"/>
      <c r="BKX59" s="36"/>
      <c r="BKY59" s="36"/>
      <c r="BKZ59" s="36"/>
      <c r="BLA59" s="36"/>
      <c r="BLB59" s="36"/>
      <c r="BLC59" s="61"/>
      <c r="BLD59" s="36"/>
      <c r="BLE59" s="36"/>
      <c r="BLF59" s="36"/>
      <c r="BLG59" s="36"/>
      <c r="BLH59" s="36"/>
      <c r="BLI59" s="122"/>
      <c r="BLJ59" s="36"/>
      <c r="BLK59" s="36"/>
      <c r="BLL59" s="36"/>
      <c r="BLM59" s="36"/>
      <c r="BLN59" s="36"/>
      <c r="BLO59" s="61"/>
      <c r="BLP59" s="36"/>
      <c r="BLQ59" s="36"/>
      <c r="BLR59" s="36"/>
      <c r="BLS59" s="36"/>
      <c r="BLT59" s="36"/>
      <c r="BLU59" s="37"/>
      <c r="BLV59" s="35"/>
      <c r="BLW59" s="36"/>
      <c r="BLX59" s="36"/>
      <c r="BLY59" s="36"/>
      <c r="BLZ59" s="36"/>
      <c r="BMA59" s="117"/>
      <c r="BMB59" s="36"/>
      <c r="BMC59" s="36"/>
      <c r="BMD59" s="36"/>
      <c r="BME59" s="36"/>
      <c r="BMF59" s="36"/>
      <c r="BMG59" s="122"/>
      <c r="BMH59" s="36"/>
      <c r="BMI59" s="36"/>
      <c r="BMJ59" s="36"/>
      <c r="BMK59" s="36"/>
      <c r="BML59" s="36"/>
      <c r="BMM59" s="61"/>
      <c r="BMN59" s="36"/>
      <c r="BMO59" s="36"/>
      <c r="BMP59" s="36"/>
      <c r="BMQ59" s="36"/>
      <c r="BMR59" s="36"/>
      <c r="BMS59" s="122"/>
      <c r="BMT59" s="36"/>
      <c r="BMU59" s="36"/>
      <c r="BMV59" s="36"/>
      <c r="BMW59" s="36"/>
      <c r="BMX59" s="36"/>
      <c r="BMY59" s="61"/>
      <c r="BMZ59" s="36"/>
      <c r="BNA59" s="36"/>
      <c r="BNB59" s="36"/>
      <c r="BNC59" s="36"/>
      <c r="BND59" s="36"/>
      <c r="BNE59" s="122"/>
      <c r="BNF59" s="36"/>
      <c r="BNG59" s="36"/>
      <c r="BNH59" s="36"/>
      <c r="BNI59" s="36"/>
      <c r="BNJ59" s="36"/>
      <c r="BNK59" s="61"/>
      <c r="BNL59" s="36"/>
      <c r="BNM59" s="36"/>
      <c r="BNN59" s="36"/>
      <c r="BNO59" s="36"/>
      <c r="BNP59" s="36"/>
      <c r="BNQ59" s="122"/>
      <c r="BNR59" s="36"/>
      <c r="BNS59" s="36"/>
      <c r="BNT59" s="36"/>
      <c r="BNU59" s="36"/>
      <c r="BNV59" s="36"/>
      <c r="BNW59" s="61"/>
      <c r="BNX59" s="36"/>
      <c r="BNY59" s="36"/>
      <c r="BNZ59" s="36"/>
      <c r="BOA59" s="36"/>
      <c r="BOB59" s="36"/>
      <c r="BOC59" s="37"/>
      <c r="BOD59" s="35"/>
      <c r="BOE59" s="36"/>
      <c r="BOF59" s="36"/>
      <c r="BOG59" s="36"/>
      <c r="BOH59" s="36"/>
      <c r="BOI59" s="117"/>
      <c r="BOJ59" s="36"/>
      <c r="BOK59" s="36"/>
      <c r="BOL59" s="36"/>
      <c r="BOM59" s="36"/>
      <c r="BON59" s="36"/>
      <c r="BOO59" s="122"/>
      <c r="BOP59" s="36"/>
      <c r="BOQ59" s="36"/>
      <c r="BOR59" s="36"/>
      <c r="BOS59" s="36"/>
      <c r="BOT59" s="36"/>
      <c r="BOU59" s="61"/>
      <c r="BOV59" s="36"/>
      <c r="BOW59" s="36"/>
      <c r="BOX59" s="36"/>
      <c r="BOY59" s="36"/>
      <c r="BOZ59" s="36"/>
      <c r="BPA59" s="122"/>
      <c r="BPB59" s="36"/>
      <c r="BPC59" s="36"/>
      <c r="BPD59" s="36"/>
      <c r="BPE59" s="36"/>
      <c r="BPF59" s="36"/>
      <c r="BPG59" s="61"/>
      <c r="BPH59" s="36"/>
      <c r="BPI59" s="36"/>
      <c r="BPJ59" s="36"/>
      <c r="BPK59" s="36"/>
      <c r="BPL59" s="36"/>
      <c r="BPM59" s="122"/>
      <c r="BPN59" s="36"/>
      <c r="BPO59" s="36"/>
      <c r="BPP59" s="36"/>
      <c r="BPQ59" s="36"/>
      <c r="BPR59" s="36"/>
      <c r="BPS59" s="61"/>
      <c r="BPT59" s="36"/>
      <c r="BPU59" s="36"/>
      <c r="BPV59" s="36"/>
      <c r="BPW59" s="36"/>
      <c r="BPX59" s="36"/>
      <c r="BPY59" s="122"/>
      <c r="BPZ59" s="36"/>
      <c r="BQA59" s="36"/>
      <c r="BQB59" s="36"/>
      <c r="BQC59" s="36"/>
      <c r="BQD59" s="36"/>
      <c r="BQE59" s="61"/>
      <c r="BQF59" s="36"/>
      <c r="BQG59" s="36"/>
      <c r="BQH59" s="36"/>
      <c r="BQI59" s="36"/>
      <c r="BQJ59" s="36"/>
      <c r="BQK59" s="37"/>
      <c r="BQL59" s="35"/>
      <c r="BQM59" s="36"/>
      <c r="BQN59" s="36"/>
      <c r="BQO59" s="36"/>
      <c r="BQP59" s="36"/>
      <c r="BQQ59" s="117"/>
      <c r="BQR59" s="36"/>
      <c r="BQS59" s="36"/>
      <c r="BQT59" s="36"/>
      <c r="BQU59" s="36"/>
      <c r="BQV59" s="36"/>
      <c r="BQW59" s="122"/>
      <c r="BQX59" s="36"/>
      <c r="BQY59" s="36"/>
      <c r="BQZ59" s="36"/>
      <c r="BRA59" s="36"/>
      <c r="BRB59" s="36"/>
      <c r="BRC59" s="61"/>
      <c r="BRD59" s="36"/>
      <c r="BRE59" s="36"/>
      <c r="BRF59" s="36"/>
      <c r="BRG59" s="36"/>
      <c r="BRH59" s="36"/>
      <c r="BRI59" s="122"/>
      <c r="BRJ59" s="36"/>
      <c r="BRK59" s="36"/>
      <c r="BRL59" s="36"/>
      <c r="BRM59" s="36"/>
      <c r="BRN59" s="36"/>
      <c r="BRO59" s="61"/>
      <c r="BRP59" s="36"/>
      <c r="BRQ59" s="36"/>
      <c r="BRR59" s="36"/>
      <c r="BRS59" s="36"/>
      <c r="BRT59" s="36"/>
      <c r="BRU59" s="122"/>
      <c r="BRV59" s="36"/>
      <c r="BRW59" s="36"/>
      <c r="BRX59" s="36"/>
      <c r="BRY59" s="36"/>
      <c r="BRZ59" s="36"/>
      <c r="BSA59" s="61"/>
      <c r="BSB59" s="36"/>
      <c r="BSC59" s="36"/>
      <c r="BSD59" s="36"/>
      <c r="BSE59" s="36"/>
      <c r="BSF59" s="36"/>
      <c r="BSG59" s="122"/>
      <c r="BSH59" s="36"/>
      <c r="BSI59" s="36"/>
      <c r="BSJ59" s="36"/>
      <c r="BSK59" s="36"/>
      <c r="BSL59" s="36"/>
      <c r="BSM59" s="61"/>
      <c r="BSN59" s="36"/>
      <c r="BSO59" s="36"/>
      <c r="BSP59" s="36"/>
      <c r="BSQ59" s="36"/>
      <c r="BSR59" s="36"/>
      <c r="BSS59" s="37"/>
      <c r="BST59" s="35"/>
      <c r="BSU59" s="36"/>
      <c r="BSV59" s="36"/>
      <c r="BSW59" s="36"/>
      <c r="BSX59" s="36"/>
      <c r="BSY59" s="117"/>
      <c r="BSZ59" s="36"/>
      <c r="BTA59" s="36"/>
      <c r="BTB59" s="36"/>
      <c r="BTC59" s="36"/>
      <c r="BTD59" s="36"/>
      <c r="BTE59" s="122"/>
      <c r="BTF59" s="36"/>
      <c r="BTG59" s="36"/>
      <c r="BTH59" s="36"/>
      <c r="BTI59" s="36"/>
      <c r="BTJ59" s="36"/>
      <c r="BTK59" s="61"/>
      <c r="BTL59" s="36"/>
      <c r="BTM59" s="36"/>
      <c r="BTN59" s="36"/>
      <c r="BTO59" s="36"/>
      <c r="BTP59" s="36"/>
      <c r="BTQ59" s="122"/>
      <c r="BTR59" s="36"/>
      <c r="BTS59" s="36"/>
      <c r="BTT59" s="36"/>
      <c r="BTU59" s="36"/>
      <c r="BTV59" s="36"/>
      <c r="BTW59" s="61"/>
      <c r="BTX59" s="36"/>
      <c r="BTY59" s="36"/>
      <c r="BTZ59" s="36"/>
      <c r="BUA59" s="36"/>
      <c r="BUB59" s="36"/>
      <c r="BUC59" s="122"/>
      <c r="BUD59" s="36"/>
      <c r="BUE59" s="36"/>
      <c r="BUF59" s="36"/>
      <c r="BUG59" s="36"/>
      <c r="BUH59" s="36"/>
      <c r="BUI59" s="61"/>
      <c r="BUJ59" s="36"/>
      <c r="BUK59" s="36"/>
      <c r="BUL59" s="36"/>
      <c r="BUM59" s="36"/>
      <c r="BUN59" s="36"/>
      <c r="BUO59" s="122"/>
      <c r="BUP59" s="36"/>
      <c r="BUQ59" s="36"/>
      <c r="BUR59" s="36"/>
      <c r="BUS59" s="36"/>
      <c r="BUT59" s="36"/>
      <c r="BUU59" s="61"/>
      <c r="BUV59" s="36"/>
      <c r="BUW59" s="36"/>
      <c r="BUX59" s="36"/>
      <c r="BUY59" s="36"/>
      <c r="BUZ59" s="36"/>
      <c r="BVA59" s="37"/>
      <c r="BVB59" s="75"/>
    </row>
    <row r="60" spans="1:1926" ht="20.100000000000001" customHeight="1" x14ac:dyDescent="0.3">
      <c r="A60" s="84" t="s">
        <v>21</v>
      </c>
      <c r="B60" s="53"/>
      <c r="C60" s="182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14"/>
      <c r="BHL60" s="24"/>
      <c r="BHM60" s="24"/>
      <c r="BHN60" s="24"/>
      <c r="BHO60" s="24"/>
      <c r="BHP60" s="24"/>
      <c r="BHQ60" s="119"/>
      <c r="BHR60" s="24"/>
      <c r="BHS60" s="24"/>
      <c r="BHT60" s="24"/>
      <c r="BHU60" s="24"/>
      <c r="BHV60" s="24"/>
      <c r="BHW60" s="58"/>
      <c r="BHX60" s="24"/>
      <c r="BHY60" s="24"/>
      <c r="BHZ60" s="24"/>
      <c r="BIA60" s="24"/>
      <c r="BIB60" s="24"/>
      <c r="BIC60" s="119"/>
      <c r="BID60" s="24"/>
      <c r="BIE60" s="24"/>
      <c r="BIF60" s="24"/>
      <c r="BIG60" s="24"/>
      <c r="BIH60" s="24"/>
      <c r="BII60" s="58"/>
      <c r="BIJ60" s="24"/>
      <c r="BIK60" s="24"/>
      <c r="BIL60" s="24"/>
      <c r="BIM60" s="24"/>
      <c r="BIN60" s="24"/>
      <c r="BIO60" s="119"/>
      <c r="BIP60" s="24"/>
      <c r="BIQ60" s="24"/>
      <c r="BIR60" s="24"/>
      <c r="BIS60" s="24"/>
      <c r="BIT60" s="24"/>
      <c r="BIU60" s="58"/>
      <c r="BIV60" s="24"/>
      <c r="BIW60" s="24"/>
      <c r="BIX60" s="24"/>
      <c r="BIY60" s="24"/>
      <c r="BIZ60" s="24"/>
      <c r="BJA60" s="119"/>
      <c r="BJB60" s="24"/>
      <c r="BJC60" s="24"/>
      <c r="BJD60" s="24"/>
      <c r="BJE60" s="24"/>
      <c r="BJF60" s="24"/>
      <c r="BJG60" s="58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14"/>
      <c r="BJT60" s="24"/>
      <c r="BJU60" s="24"/>
      <c r="BJV60" s="24"/>
      <c r="BJW60" s="24"/>
      <c r="BJX60" s="24"/>
      <c r="BJY60" s="119"/>
      <c r="BJZ60" s="24"/>
      <c r="BKA60" s="24"/>
      <c r="BKB60" s="24"/>
      <c r="BKC60" s="24"/>
      <c r="BKD60" s="24"/>
      <c r="BKE60" s="58"/>
      <c r="BKF60" s="24"/>
      <c r="BKG60" s="24"/>
      <c r="BKH60" s="24"/>
      <c r="BKI60" s="24"/>
      <c r="BKJ60" s="24"/>
      <c r="BKK60" s="119"/>
      <c r="BKL60" s="24"/>
      <c r="BKM60" s="24"/>
      <c r="BKN60" s="24"/>
      <c r="BKO60" s="24"/>
      <c r="BKP60" s="24"/>
      <c r="BKQ60" s="58"/>
      <c r="BKR60" s="24"/>
      <c r="BKS60" s="24"/>
      <c r="BKT60" s="24"/>
      <c r="BKU60" s="24"/>
      <c r="BKV60" s="24"/>
      <c r="BKW60" s="119"/>
      <c r="BKX60" s="24"/>
      <c r="BKY60" s="24"/>
      <c r="BKZ60" s="24"/>
      <c r="BLA60" s="24"/>
      <c r="BLB60" s="24"/>
      <c r="BLC60" s="58"/>
      <c r="BLD60" s="24"/>
      <c r="BLE60" s="24"/>
      <c r="BLF60" s="24"/>
      <c r="BLG60" s="24"/>
      <c r="BLH60" s="24"/>
      <c r="BLI60" s="119"/>
      <c r="BLJ60" s="24"/>
      <c r="BLK60" s="24"/>
      <c r="BLL60" s="24"/>
      <c r="BLM60" s="24"/>
      <c r="BLN60" s="24"/>
      <c r="BLO60" s="58"/>
      <c r="BLP60" s="24"/>
      <c r="BLQ60" s="24"/>
      <c r="BLR60" s="24"/>
      <c r="BLS60" s="24"/>
      <c r="BLT60" s="24"/>
      <c r="BLU60" s="25"/>
      <c r="BLV60" s="23"/>
      <c r="BLW60" s="24"/>
      <c r="BLX60" s="24"/>
      <c r="BLY60" s="24"/>
      <c r="BLZ60" s="24"/>
      <c r="BMA60" s="114"/>
      <c r="BMB60" s="24"/>
      <c r="BMC60" s="24"/>
      <c r="BMD60" s="24"/>
      <c r="BME60" s="24"/>
      <c r="BMF60" s="24"/>
      <c r="BMG60" s="119"/>
      <c r="BMH60" s="24"/>
      <c r="BMI60" s="24"/>
      <c r="BMJ60" s="24"/>
      <c r="BMK60" s="24"/>
      <c r="BML60" s="24"/>
      <c r="BMM60" s="58"/>
      <c r="BMN60" s="24"/>
      <c r="BMO60" s="24"/>
      <c r="BMP60" s="24"/>
      <c r="BMQ60" s="24"/>
      <c r="BMR60" s="24"/>
      <c r="BMS60" s="119"/>
      <c r="BMT60" s="24"/>
      <c r="BMU60" s="24"/>
      <c r="BMV60" s="24"/>
      <c r="BMW60" s="24"/>
      <c r="BMX60" s="24"/>
      <c r="BMY60" s="58"/>
      <c r="BMZ60" s="24"/>
      <c r="BNA60" s="24"/>
      <c r="BNB60" s="24"/>
      <c r="BNC60" s="24"/>
      <c r="BND60" s="24"/>
      <c r="BNE60" s="119"/>
      <c r="BNF60" s="24"/>
      <c r="BNG60" s="24"/>
      <c r="BNH60" s="24"/>
      <c r="BNI60" s="24"/>
      <c r="BNJ60" s="24"/>
      <c r="BNK60" s="58"/>
      <c r="BNL60" s="24"/>
      <c r="BNM60" s="24"/>
      <c r="BNN60" s="24"/>
      <c r="BNO60" s="24"/>
      <c r="BNP60" s="24"/>
      <c r="BNQ60" s="119"/>
      <c r="BNR60" s="24"/>
      <c r="BNS60" s="24"/>
      <c r="BNT60" s="24"/>
      <c r="BNU60" s="24"/>
      <c r="BNV60" s="24"/>
      <c r="BNW60" s="58"/>
      <c r="BNX60" s="24"/>
      <c r="BNY60" s="24"/>
      <c r="BNZ60" s="24"/>
      <c r="BOA60" s="24"/>
      <c r="BOB60" s="24"/>
      <c r="BOC60" s="25"/>
      <c r="BOD60" s="23"/>
      <c r="BOE60" s="24"/>
      <c r="BOF60" s="24"/>
      <c r="BOG60" s="24"/>
      <c r="BOH60" s="24"/>
      <c r="BOI60" s="114"/>
      <c r="BOJ60" s="24"/>
      <c r="BOK60" s="24"/>
      <c r="BOL60" s="24"/>
      <c r="BOM60" s="24"/>
      <c r="BON60" s="24"/>
      <c r="BOO60" s="119"/>
      <c r="BOP60" s="24"/>
      <c r="BOQ60" s="24"/>
      <c r="BOR60" s="24"/>
      <c r="BOS60" s="24"/>
      <c r="BOT60" s="24"/>
      <c r="BOU60" s="58"/>
      <c r="BOV60" s="24"/>
      <c r="BOW60" s="24"/>
      <c r="BOX60" s="24"/>
      <c r="BOY60" s="24"/>
      <c r="BOZ60" s="24"/>
      <c r="BPA60" s="119"/>
      <c r="BPB60" s="24"/>
      <c r="BPC60" s="24"/>
      <c r="BPD60" s="24"/>
      <c r="BPE60" s="24"/>
      <c r="BPF60" s="24"/>
      <c r="BPG60" s="58"/>
      <c r="BPH60" s="24"/>
      <c r="BPI60" s="24"/>
      <c r="BPJ60" s="24"/>
      <c r="BPK60" s="24"/>
      <c r="BPL60" s="24"/>
      <c r="BPM60" s="119"/>
      <c r="BPN60" s="24"/>
      <c r="BPO60" s="24"/>
      <c r="BPP60" s="24"/>
      <c r="BPQ60" s="24"/>
      <c r="BPR60" s="24"/>
      <c r="BPS60" s="58"/>
      <c r="BPT60" s="24"/>
      <c r="BPU60" s="24"/>
      <c r="BPV60" s="24"/>
      <c r="BPW60" s="24"/>
      <c r="BPX60" s="24"/>
      <c r="BPY60" s="119"/>
      <c r="BPZ60" s="24"/>
      <c r="BQA60" s="24"/>
      <c r="BQB60" s="24"/>
      <c r="BQC60" s="24"/>
      <c r="BQD60" s="24"/>
      <c r="BQE60" s="58"/>
      <c r="BQF60" s="24"/>
      <c r="BQG60" s="24"/>
      <c r="BQH60" s="24"/>
      <c r="BQI60" s="24"/>
      <c r="BQJ60" s="24"/>
      <c r="BQK60" s="25"/>
      <c r="BQL60" s="23"/>
      <c r="BQM60" s="24"/>
      <c r="BQN60" s="24"/>
      <c r="BQO60" s="24"/>
      <c r="BQP60" s="24"/>
      <c r="BQQ60" s="114"/>
      <c r="BQR60" s="24"/>
      <c r="BQS60" s="24"/>
      <c r="BQT60" s="24"/>
      <c r="BQU60" s="24"/>
      <c r="BQV60" s="24"/>
      <c r="BQW60" s="119"/>
      <c r="BQX60" s="24"/>
      <c r="BQY60" s="24"/>
      <c r="BQZ60" s="24"/>
      <c r="BRA60" s="24"/>
      <c r="BRB60" s="24"/>
      <c r="BRC60" s="58"/>
      <c r="BRD60" s="24"/>
      <c r="BRE60" s="24"/>
      <c r="BRF60" s="24"/>
      <c r="BRG60" s="24"/>
      <c r="BRH60" s="24"/>
      <c r="BRI60" s="119"/>
      <c r="BRJ60" s="24"/>
      <c r="BRK60" s="24"/>
      <c r="BRL60" s="24"/>
      <c r="BRM60" s="24"/>
      <c r="BRN60" s="24"/>
      <c r="BRO60" s="58"/>
      <c r="BRP60" s="24"/>
      <c r="BRQ60" s="24"/>
      <c r="BRR60" s="24"/>
      <c r="BRS60" s="24"/>
      <c r="BRT60" s="24"/>
      <c r="BRU60" s="119"/>
      <c r="BRV60" s="24"/>
      <c r="BRW60" s="24"/>
      <c r="BRX60" s="24"/>
      <c r="BRY60" s="24"/>
      <c r="BRZ60" s="24"/>
      <c r="BSA60" s="58"/>
      <c r="BSB60" s="24"/>
      <c r="BSC60" s="24"/>
      <c r="BSD60" s="24"/>
      <c r="BSE60" s="24"/>
      <c r="BSF60" s="24"/>
      <c r="BSG60" s="119"/>
      <c r="BSH60" s="24"/>
      <c r="BSI60" s="24"/>
      <c r="BSJ60" s="24"/>
      <c r="BSK60" s="24"/>
      <c r="BSL60" s="24"/>
      <c r="BSM60" s="58"/>
      <c r="BSN60" s="24"/>
      <c r="BSO60" s="24"/>
      <c r="BSP60" s="24"/>
      <c r="BSQ60" s="24"/>
      <c r="BSR60" s="24"/>
      <c r="BSS60" s="25"/>
      <c r="BST60" s="23"/>
      <c r="BSU60" s="24"/>
      <c r="BSV60" s="24"/>
      <c r="BSW60" s="24"/>
      <c r="BSX60" s="24"/>
      <c r="BSY60" s="114"/>
      <c r="BSZ60" s="24"/>
      <c r="BTA60" s="24"/>
      <c r="BTB60" s="24"/>
      <c r="BTC60" s="24"/>
      <c r="BTD60" s="24"/>
      <c r="BTE60" s="119"/>
      <c r="BTF60" s="24"/>
      <c r="BTG60" s="24"/>
      <c r="BTH60" s="24"/>
      <c r="BTI60" s="24"/>
      <c r="BTJ60" s="24"/>
      <c r="BTK60" s="58"/>
      <c r="BTL60" s="24"/>
      <c r="BTM60" s="24"/>
      <c r="BTN60" s="24"/>
      <c r="BTO60" s="24"/>
      <c r="BTP60" s="24"/>
      <c r="BTQ60" s="119"/>
      <c r="BTR60" s="24"/>
      <c r="BTS60" s="24"/>
      <c r="BTT60" s="24"/>
      <c r="BTU60" s="24"/>
      <c r="BTV60" s="24"/>
      <c r="BTW60" s="58"/>
      <c r="BTX60" s="24"/>
      <c r="BTY60" s="24"/>
      <c r="BTZ60" s="24"/>
      <c r="BUA60" s="24"/>
      <c r="BUB60" s="24"/>
      <c r="BUC60" s="119"/>
      <c r="BUD60" s="24"/>
      <c r="BUE60" s="24"/>
      <c r="BUF60" s="24"/>
      <c r="BUG60" s="24"/>
      <c r="BUH60" s="24"/>
      <c r="BUI60" s="58"/>
      <c r="BUJ60" s="24"/>
      <c r="BUK60" s="24"/>
      <c r="BUL60" s="24"/>
      <c r="BUM60" s="24"/>
      <c r="BUN60" s="24"/>
      <c r="BUO60" s="119"/>
      <c r="BUP60" s="24"/>
      <c r="BUQ60" s="24"/>
      <c r="BUR60" s="24"/>
      <c r="BUS60" s="24"/>
      <c r="BUT60" s="24"/>
      <c r="BUU60" s="58"/>
      <c r="BUV60" s="24"/>
      <c r="BUW60" s="24"/>
      <c r="BUX60" s="24"/>
      <c r="BUY60" s="24"/>
      <c r="BUZ60" s="24"/>
      <c r="BVA60" s="25"/>
      <c r="BVB60" s="75"/>
    </row>
    <row r="61" spans="1:1926" ht="20.100000000000001" customHeight="1" x14ac:dyDescent="0.25">
      <c r="A61" s="84" t="s">
        <v>20</v>
      </c>
      <c r="B61" s="53"/>
      <c r="C61" s="17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15"/>
      <c r="BJT61" s="28"/>
      <c r="BJU61" s="28"/>
      <c r="BJV61" s="28"/>
      <c r="BJW61" s="28"/>
      <c r="BJX61" s="28"/>
      <c r="BJY61" s="120"/>
      <c r="BJZ61" s="28"/>
      <c r="BKA61" s="28"/>
      <c r="BKB61" s="28"/>
      <c r="BKC61" s="28"/>
      <c r="BKD61" s="28"/>
      <c r="BKE61" s="59"/>
      <c r="BKF61" s="28"/>
      <c r="BKG61" s="28"/>
      <c r="BKH61" s="28"/>
      <c r="BKI61" s="28"/>
      <c r="BKJ61" s="28"/>
      <c r="BKK61" s="120"/>
      <c r="BKL61" s="28"/>
      <c r="BKM61" s="28"/>
      <c r="BKN61" s="28"/>
      <c r="BKO61" s="28"/>
      <c r="BKP61" s="28"/>
      <c r="BKQ61" s="59"/>
      <c r="BKR61" s="28"/>
      <c r="BKS61" s="28"/>
      <c r="BKT61" s="28"/>
      <c r="BKU61" s="28"/>
      <c r="BKV61" s="28"/>
      <c r="BKW61" s="120"/>
      <c r="BKX61" s="28"/>
      <c r="BKY61" s="28"/>
      <c r="BKZ61" s="28"/>
      <c r="BLA61" s="28"/>
      <c r="BLB61" s="28"/>
      <c r="BLC61" s="59"/>
      <c r="BLD61" s="28"/>
      <c r="BLE61" s="28"/>
      <c r="BLF61" s="28"/>
      <c r="BLG61" s="28"/>
      <c r="BLH61" s="28"/>
      <c r="BLI61" s="120"/>
      <c r="BLJ61" s="28"/>
      <c r="BLK61" s="28"/>
      <c r="BLL61" s="28"/>
      <c r="BLM61" s="28"/>
      <c r="BLN61" s="28"/>
      <c r="BLO61" s="59"/>
      <c r="BLP61" s="28"/>
      <c r="BLQ61" s="28"/>
      <c r="BLR61" s="28"/>
      <c r="BLS61" s="28"/>
      <c r="BLT61" s="28"/>
      <c r="BLU61" s="29"/>
      <c r="BLV61" s="27"/>
      <c r="BLW61" s="28"/>
      <c r="BLX61" s="28"/>
      <c r="BLY61" s="28"/>
      <c r="BLZ61" s="28"/>
      <c r="BMA61" s="115"/>
      <c r="BMB61" s="28"/>
      <c r="BMC61" s="28"/>
      <c r="BMD61" s="28"/>
      <c r="BME61" s="28"/>
      <c r="BMF61" s="28"/>
      <c r="BMG61" s="120"/>
      <c r="BMH61" s="28"/>
      <c r="BMI61" s="28"/>
      <c r="BMJ61" s="28"/>
      <c r="BMK61" s="28"/>
      <c r="BML61" s="28"/>
      <c r="BMM61" s="59"/>
      <c r="BMN61" s="28"/>
      <c r="BMO61" s="28"/>
      <c r="BMP61" s="28"/>
      <c r="BMQ61" s="28"/>
      <c r="BMR61" s="28"/>
      <c r="BMS61" s="120"/>
      <c r="BMT61" s="28"/>
      <c r="BMU61" s="28"/>
      <c r="BMV61" s="28"/>
      <c r="BMW61" s="28"/>
      <c r="BMX61" s="28"/>
      <c r="BMY61" s="59"/>
      <c r="BMZ61" s="28"/>
      <c r="BNA61" s="28"/>
      <c r="BNB61" s="28"/>
      <c r="BNC61" s="28"/>
      <c r="BND61" s="28"/>
      <c r="BNE61" s="120"/>
      <c r="BNF61" s="28"/>
      <c r="BNG61" s="28"/>
      <c r="BNH61" s="28"/>
      <c r="BNI61" s="28"/>
      <c r="BNJ61" s="28"/>
      <c r="BNK61" s="59"/>
      <c r="BNL61" s="28"/>
      <c r="BNM61" s="28"/>
      <c r="BNN61" s="28"/>
      <c r="BNO61" s="28"/>
      <c r="BNP61" s="28"/>
      <c r="BNQ61" s="120"/>
      <c r="BNR61" s="28"/>
      <c r="BNS61" s="28"/>
      <c r="BNT61" s="28"/>
      <c r="BNU61" s="28"/>
      <c r="BNV61" s="28"/>
      <c r="BNW61" s="59"/>
      <c r="BNX61" s="28"/>
      <c r="BNY61" s="28"/>
      <c r="BNZ61" s="28"/>
      <c r="BOA61" s="28"/>
      <c r="BOB61" s="28"/>
      <c r="BOC61" s="29"/>
      <c r="BOD61" s="27"/>
      <c r="BOE61" s="28"/>
      <c r="BOF61" s="28"/>
      <c r="BOG61" s="28"/>
      <c r="BOH61" s="28"/>
      <c r="BOI61" s="115"/>
      <c r="BOJ61" s="28"/>
      <c r="BOK61" s="28"/>
      <c r="BOL61" s="28"/>
      <c r="BOM61" s="28"/>
      <c r="BON61" s="28"/>
      <c r="BOO61" s="120"/>
      <c r="BOP61" s="28"/>
      <c r="BOQ61" s="28"/>
      <c r="BOR61" s="28"/>
      <c r="BOS61" s="28"/>
      <c r="BOT61" s="28"/>
      <c r="BOU61" s="59"/>
      <c r="BOV61" s="28"/>
      <c r="BOW61" s="28"/>
      <c r="BOX61" s="28"/>
      <c r="BOY61" s="28"/>
      <c r="BOZ61" s="28"/>
      <c r="BPA61" s="120"/>
      <c r="BPB61" s="28"/>
      <c r="BPC61" s="28"/>
      <c r="BPD61" s="28"/>
      <c r="BPE61" s="28"/>
      <c r="BPF61" s="28"/>
      <c r="BPG61" s="59"/>
      <c r="BPH61" s="28"/>
      <c r="BPI61" s="28"/>
      <c r="BPJ61" s="28"/>
      <c r="BPK61" s="28"/>
      <c r="BPL61" s="28"/>
      <c r="BPM61" s="120"/>
      <c r="BPN61" s="28"/>
      <c r="BPO61" s="28"/>
      <c r="BPP61" s="28"/>
      <c r="BPQ61" s="28"/>
      <c r="BPR61" s="28"/>
      <c r="BPS61" s="59"/>
      <c r="BPT61" s="28"/>
      <c r="BPU61" s="28"/>
      <c r="BPV61" s="28"/>
      <c r="BPW61" s="28"/>
      <c r="BPX61" s="28"/>
      <c r="BPY61" s="120"/>
      <c r="BPZ61" s="28"/>
      <c r="BQA61" s="28"/>
      <c r="BQB61" s="28"/>
      <c r="BQC61" s="28"/>
      <c r="BQD61" s="28"/>
      <c r="BQE61" s="59"/>
      <c r="BQF61" s="28"/>
      <c r="BQG61" s="28"/>
      <c r="BQH61" s="28"/>
      <c r="BQI61" s="28"/>
      <c r="BQJ61" s="28"/>
      <c r="BQK61" s="29"/>
      <c r="BQL61" s="27"/>
      <c r="BQM61" s="28"/>
      <c r="BQN61" s="28"/>
      <c r="BQO61" s="28"/>
      <c r="BQP61" s="28"/>
      <c r="BQQ61" s="115"/>
      <c r="BQR61" s="28"/>
      <c r="BQS61" s="28"/>
      <c r="BQT61" s="28"/>
      <c r="BQU61" s="28"/>
      <c r="BQV61" s="28"/>
      <c r="BQW61" s="120"/>
      <c r="BQX61" s="28"/>
      <c r="BQY61" s="28"/>
      <c r="BQZ61" s="28"/>
      <c r="BRA61" s="28"/>
      <c r="BRB61" s="28"/>
      <c r="BRC61" s="59"/>
      <c r="BRD61" s="28"/>
      <c r="BRE61" s="28"/>
      <c r="BRF61" s="28"/>
      <c r="BRG61" s="28"/>
      <c r="BRH61" s="28"/>
      <c r="BRI61" s="120"/>
      <c r="BRJ61" s="28"/>
      <c r="BRK61" s="28"/>
      <c r="BRL61" s="28"/>
      <c r="BRM61" s="28"/>
      <c r="BRN61" s="28"/>
      <c r="BRO61" s="59"/>
      <c r="BRP61" s="28"/>
      <c r="BRQ61" s="28"/>
      <c r="BRR61" s="28"/>
      <c r="BRS61" s="28"/>
      <c r="BRT61" s="28"/>
      <c r="BRU61" s="120"/>
      <c r="BRV61" s="28"/>
      <c r="BRW61" s="28"/>
      <c r="BRX61" s="28"/>
      <c r="BRY61" s="28"/>
      <c r="BRZ61" s="28"/>
      <c r="BSA61" s="59"/>
      <c r="BSB61" s="28"/>
      <c r="BSC61" s="28"/>
      <c r="BSD61" s="28"/>
      <c r="BSE61" s="28"/>
      <c r="BSF61" s="28"/>
      <c r="BSG61" s="120"/>
      <c r="BSH61" s="28"/>
      <c r="BSI61" s="28"/>
      <c r="BSJ61" s="28"/>
      <c r="BSK61" s="28"/>
      <c r="BSL61" s="28"/>
      <c r="BSM61" s="59"/>
      <c r="BSN61" s="28"/>
      <c r="BSO61" s="28"/>
      <c r="BSP61" s="28"/>
      <c r="BSQ61" s="28"/>
      <c r="BSR61" s="28"/>
      <c r="BSS61" s="29"/>
      <c r="BST61" s="27"/>
      <c r="BSU61" s="28"/>
      <c r="BSV61" s="28"/>
      <c r="BSW61" s="28"/>
      <c r="BSX61" s="28"/>
      <c r="BSY61" s="115"/>
      <c r="BSZ61" s="28"/>
      <c r="BTA61" s="28"/>
      <c r="BTB61" s="28"/>
      <c r="BTC61" s="28"/>
      <c r="BTD61" s="28"/>
      <c r="BTE61" s="120"/>
      <c r="BTF61" s="28"/>
      <c r="BTG61" s="28"/>
      <c r="BTH61" s="28"/>
      <c r="BTI61" s="28"/>
      <c r="BTJ61" s="28"/>
      <c r="BTK61" s="59"/>
      <c r="BTL61" s="28"/>
      <c r="BTM61" s="28"/>
      <c r="BTN61" s="28"/>
      <c r="BTO61" s="28"/>
      <c r="BTP61" s="28"/>
      <c r="BTQ61" s="120"/>
      <c r="BTR61" s="28"/>
      <c r="BTS61" s="28"/>
      <c r="BTT61" s="28"/>
      <c r="BTU61" s="28"/>
      <c r="BTV61" s="28"/>
      <c r="BTW61" s="59"/>
      <c r="BTX61" s="28"/>
      <c r="BTY61" s="28"/>
      <c r="BTZ61" s="28"/>
      <c r="BUA61" s="28"/>
      <c r="BUB61" s="28"/>
      <c r="BUC61" s="120"/>
      <c r="BUD61" s="28"/>
      <c r="BUE61" s="28"/>
      <c r="BUF61" s="28"/>
      <c r="BUG61" s="28"/>
      <c r="BUH61" s="28"/>
      <c r="BUI61" s="59"/>
      <c r="BUJ61" s="28"/>
      <c r="BUK61" s="28"/>
      <c r="BUL61" s="28"/>
      <c r="BUM61" s="28"/>
      <c r="BUN61" s="28"/>
      <c r="BUO61" s="120"/>
      <c r="BUP61" s="28"/>
      <c r="BUQ61" s="28"/>
      <c r="BUR61" s="28"/>
      <c r="BUS61" s="28"/>
      <c r="BUT61" s="28"/>
      <c r="BUU61" s="59"/>
      <c r="BUV61" s="28"/>
      <c r="BUW61" s="28"/>
      <c r="BUX61" s="28"/>
      <c r="BUY61" s="28"/>
      <c r="BUZ61" s="28"/>
      <c r="BVA61" s="29"/>
      <c r="BVB61" s="75"/>
    </row>
    <row r="62" spans="1:1926" ht="20.100000000000001" customHeight="1" x14ac:dyDescent="0.25">
      <c r="A62" s="84" t="s">
        <v>21</v>
      </c>
      <c r="B62" s="53"/>
      <c r="C62" s="175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16"/>
      <c r="BHL62" s="32"/>
      <c r="BHM62" s="32"/>
      <c r="BHN62" s="32"/>
      <c r="BHO62" s="32"/>
      <c r="BHP62" s="32"/>
      <c r="BHQ62" s="121"/>
      <c r="BHR62" s="32"/>
      <c r="BHS62" s="32"/>
      <c r="BHT62" s="32"/>
      <c r="BHU62" s="32"/>
      <c r="BHV62" s="32"/>
      <c r="BHW62" s="60"/>
      <c r="BHX62" s="32"/>
      <c r="BHY62" s="32"/>
      <c r="BHZ62" s="32"/>
      <c r="BIA62" s="32"/>
      <c r="BIB62" s="32"/>
      <c r="BIC62" s="121"/>
      <c r="BID62" s="32"/>
      <c r="BIE62" s="32"/>
      <c r="BIF62" s="32"/>
      <c r="BIG62" s="32"/>
      <c r="BIH62" s="32"/>
      <c r="BII62" s="60"/>
      <c r="BIJ62" s="32"/>
      <c r="BIK62" s="32"/>
      <c r="BIL62" s="32"/>
      <c r="BIM62" s="32"/>
      <c r="BIN62" s="32"/>
      <c r="BIO62" s="121"/>
      <c r="BIP62" s="32"/>
      <c r="BIQ62" s="32"/>
      <c r="BIR62" s="32"/>
      <c r="BIS62" s="32"/>
      <c r="BIT62" s="32"/>
      <c r="BIU62" s="60"/>
      <c r="BIV62" s="32"/>
      <c r="BIW62" s="32"/>
      <c r="BIX62" s="32"/>
      <c r="BIY62" s="32"/>
      <c r="BIZ62" s="32"/>
      <c r="BJA62" s="121"/>
      <c r="BJB62" s="32"/>
      <c r="BJC62" s="32"/>
      <c r="BJD62" s="32"/>
      <c r="BJE62" s="32"/>
      <c r="BJF62" s="32"/>
      <c r="BJG62" s="60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16"/>
      <c r="BJT62" s="32"/>
      <c r="BJU62" s="32"/>
      <c r="BJV62" s="32"/>
      <c r="BJW62" s="32"/>
      <c r="BJX62" s="32"/>
      <c r="BJY62" s="121"/>
      <c r="BJZ62" s="32"/>
      <c r="BKA62" s="32"/>
      <c r="BKB62" s="32"/>
      <c r="BKC62" s="32"/>
      <c r="BKD62" s="32"/>
      <c r="BKE62" s="60"/>
      <c r="BKF62" s="32"/>
      <c r="BKG62" s="32"/>
      <c r="BKH62" s="32"/>
      <c r="BKI62" s="32"/>
      <c r="BKJ62" s="32"/>
      <c r="BKK62" s="121"/>
      <c r="BKL62" s="32"/>
      <c r="BKM62" s="32"/>
      <c r="BKN62" s="32"/>
      <c r="BKO62" s="32"/>
      <c r="BKP62" s="32"/>
      <c r="BKQ62" s="60"/>
      <c r="BKR62" s="32"/>
      <c r="BKS62" s="32"/>
      <c r="BKT62" s="32"/>
      <c r="BKU62" s="32"/>
      <c r="BKV62" s="32"/>
      <c r="BKW62" s="121"/>
      <c r="BKX62" s="32"/>
      <c r="BKY62" s="32"/>
      <c r="BKZ62" s="32"/>
      <c r="BLA62" s="32"/>
      <c r="BLB62" s="32"/>
      <c r="BLC62" s="60"/>
      <c r="BLD62" s="32"/>
      <c r="BLE62" s="32"/>
      <c r="BLF62" s="32"/>
      <c r="BLG62" s="32"/>
      <c r="BLH62" s="32"/>
      <c r="BLI62" s="121"/>
      <c r="BLJ62" s="32"/>
      <c r="BLK62" s="32"/>
      <c r="BLL62" s="32"/>
      <c r="BLM62" s="32"/>
      <c r="BLN62" s="32"/>
      <c r="BLO62" s="60"/>
      <c r="BLP62" s="32"/>
      <c r="BLQ62" s="32"/>
      <c r="BLR62" s="32"/>
      <c r="BLS62" s="32"/>
      <c r="BLT62" s="32"/>
      <c r="BLU62" s="33"/>
      <c r="BLV62" s="31"/>
      <c r="BLW62" s="32"/>
      <c r="BLX62" s="32"/>
      <c r="BLY62" s="32"/>
      <c r="BLZ62" s="32"/>
      <c r="BMA62" s="116"/>
      <c r="BMB62" s="32"/>
      <c r="BMC62" s="32"/>
      <c r="BMD62" s="32"/>
      <c r="BME62" s="32"/>
      <c r="BMF62" s="32"/>
      <c r="BMG62" s="121"/>
      <c r="BMH62" s="32"/>
      <c r="BMI62" s="32"/>
      <c r="BMJ62" s="32"/>
      <c r="BMK62" s="32"/>
      <c r="BML62" s="32"/>
      <c r="BMM62" s="60"/>
      <c r="BMN62" s="32"/>
      <c r="BMO62" s="32"/>
      <c r="BMP62" s="32"/>
      <c r="BMQ62" s="32"/>
      <c r="BMR62" s="32"/>
      <c r="BMS62" s="121"/>
      <c r="BMT62" s="32"/>
      <c r="BMU62" s="32"/>
      <c r="BMV62" s="32"/>
      <c r="BMW62" s="32"/>
      <c r="BMX62" s="32"/>
      <c r="BMY62" s="60"/>
      <c r="BMZ62" s="32"/>
      <c r="BNA62" s="32"/>
      <c r="BNB62" s="32"/>
      <c r="BNC62" s="32"/>
      <c r="BND62" s="32"/>
      <c r="BNE62" s="121"/>
      <c r="BNF62" s="32"/>
      <c r="BNG62" s="32"/>
      <c r="BNH62" s="32"/>
      <c r="BNI62" s="32"/>
      <c r="BNJ62" s="32"/>
      <c r="BNK62" s="60"/>
      <c r="BNL62" s="32"/>
      <c r="BNM62" s="32"/>
      <c r="BNN62" s="32"/>
      <c r="BNO62" s="32"/>
      <c r="BNP62" s="32"/>
      <c r="BNQ62" s="121"/>
      <c r="BNR62" s="32"/>
      <c r="BNS62" s="32"/>
      <c r="BNT62" s="32"/>
      <c r="BNU62" s="32"/>
      <c r="BNV62" s="32"/>
      <c r="BNW62" s="60"/>
      <c r="BNX62" s="32"/>
      <c r="BNY62" s="32"/>
      <c r="BNZ62" s="32"/>
      <c r="BOA62" s="32"/>
      <c r="BOB62" s="32"/>
      <c r="BOC62" s="33"/>
      <c r="BOD62" s="31"/>
      <c r="BOE62" s="32"/>
      <c r="BOF62" s="32"/>
      <c r="BOG62" s="32"/>
      <c r="BOH62" s="32"/>
      <c r="BOI62" s="116"/>
      <c r="BOJ62" s="32"/>
      <c r="BOK62" s="32"/>
      <c r="BOL62" s="32"/>
      <c r="BOM62" s="32"/>
      <c r="BON62" s="32"/>
      <c r="BOO62" s="121"/>
      <c r="BOP62" s="32"/>
      <c r="BOQ62" s="32"/>
      <c r="BOR62" s="32"/>
      <c r="BOS62" s="32"/>
      <c r="BOT62" s="32"/>
      <c r="BOU62" s="60"/>
      <c r="BOV62" s="32"/>
      <c r="BOW62" s="32"/>
      <c r="BOX62" s="32"/>
      <c r="BOY62" s="32"/>
      <c r="BOZ62" s="32"/>
      <c r="BPA62" s="121"/>
      <c r="BPB62" s="32"/>
      <c r="BPC62" s="32"/>
      <c r="BPD62" s="32"/>
      <c r="BPE62" s="32"/>
      <c r="BPF62" s="32"/>
      <c r="BPG62" s="60"/>
      <c r="BPH62" s="32"/>
      <c r="BPI62" s="32"/>
      <c r="BPJ62" s="32"/>
      <c r="BPK62" s="32"/>
      <c r="BPL62" s="32"/>
      <c r="BPM62" s="121"/>
      <c r="BPN62" s="32"/>
      <c r="BPO62" s="32"/>
      <c r="BPP62" s="32"/>
      <c r="BPQ62" s="32"/>
      <c r="BPR62" s="32"/>
      <c r="BPS62" s="60"/>
      <c r="BPT62" s="32"/>
      <c r="BPU62" s="32"/>
      <c r="BPV62" s="32"/>
      <c r="BPW62" s="32"/>
      <c r="BPX62" s="32"/>
      <c r="BPY62" s="121"/>
      <c r="BPZ62" s="32"/>
      <c r="BQA62" s="32"/>
      <c r="BQB62" s="32"/>
      <c r="BQC62" s="32"/>
      <c r="BQD62" s="32"/>
      <c r="BQE62" s="60"/>
      <c r="BQF62" s="32"/>
      <c r="BQG62" s="32"/>
      <c r="BQH62" s="32"/>
      <c r="BQI62" s="32"/>
      <c r="BQJ62" s="32"/>
      <c r="BQK62" s="33"/>
      <c r="BQL62" s="31"/>
      <c r="BQM62" s="32"/>
      <c r="BQN62" s="32"/>
      <c r="BQO62" s="32"/>
      <c r="BQP62" s="32"/>
      <c r="BQQ62" s="116"/>
      <c r="BQR62" s="32"/>
      <c r="BQS62" s="32"/>
      <c r="BQT62" s="32"/>
      <c r="BQU62" s="32"/>
      <c r="BQV62" s="32"/>
      <c r="BQW62" s="121"/>
      <c r="BQX62" s="32"/>
      <c r="BQY62" s="32"/>
      <c r="BQZ62" s="32"/>
      <c r="BRA62" s="32"/>
      <c r="BRB62" s="32"/>
      <c r="BRC62" s="60"/>
      <c r="BRD62" s="32"/>
      <c r="BRE62" s="32"/>
      <c r="BRF62" s="32"/>
      <c r="BRG62" s="32"/>
      <c r="BRH62" s="32"/>
      <c r="BRI62" s="121"/>
      <c r="BRJ62" s="32"/>
      <c r="BRK62" s="32"/>
      <c r="BRL62" s="32"/>
      <c r="BRM62" s="32"/>
      <c r="BRN62" s="32"/>
      <c r="BRO62" s="60"/>
      <c r="BRP62" s="32"/>
      <c r="BRQ62" s="32"/>
      <c r="BRR62" s="32"/>
      <c r="BRS62" s="32"/>
      <c r="BRT62" s="32"/>
      <c r="BRU62" s="121"/>
      <c r="BRV62" s="32"/>
      <c r="BRW62" s="32"/>
      <c r="BRX62" s="32"/>
      <c r="BRY62" s="32"/>
      <c r="BRZ62" s="32"/>
      <c r="BSA62" s="60"/>
      <c r="BSB62" s="32"/>
      <c r="BSC62" s="32"/>
      <c r="BSD62" s="32"/>
      <c r="BSE62" s="32"/>
      <c r="BSF62" s="32"/>
      <c r="BSG62" s="121"/>
      <c r="BSH62" s="32"/>
      <c r="BSI62" s="32"/>
      <c r="BSJ62" s="32"/>
      <c r="BSK62" s="32"/>
      <c r="BSL62" s="32"/>
      <c r="BSM62" s="60"/>
      <c r="BSN62" s="32"/>
      <c r="BSO62" s="32"/>
      <c r="BSP62" s="32"/>
      <c r="BSQ62" s="32"/>
      <c r="BSR62" s="32"/>
      <c r="BSS62" s="33"/>
      <c r="BST62" s="31"/>
      <c r="BSU62" s="32"/>
      <c r="BSV62" s="32"/>
      <c r="BSW62" s="32"/>
      <c r="BSX62" s="32"/>
      <c r="BSY62" s="116"/>
      <c r="BSZ62" s="32"/>
      <c r="BTA62" s="32"/>
      <c r="BTB62" s="32"/>
      <c r="BTC62" s="32"/>
      <c r="BTD62" s="32"/>
      <c r="BTE62" s="121"/>
      <c r="BTF62" s="32"/>
      <c r="BTG62" s="32"/>
      <c r="BTH62" s="32"/>
      <c r="BTI62" s="32"/>
      <c r="BTJ62" s="32"/>
      <c r="BTK62" s="60"/>
      <c r="BTL62" s="32"/>
      <c r="BTM62" s="32"/>
      <c r="BTN62" s="32"/>
      <c r="BTO62" s="32"/>
      <c r="BTP62" s="32"/>
      <c r="BTQ62" s="121"/>
      <c r="BTR62" s="32"/>
      <c r="BTS62" s="32"/>
      <c r="BTT62" s="32"/>
      <c r="BTU62" s="32"/>
      <c r="BTV62" s="32"/>
      <c r="BTW62" s="60"/>
      <c r="BTX62" s="32"/>
      <c r="BTY62" s="32"/>
      <c r="BTZ62" s="32"/>
      <c r="BUA62" s="32"/>
      <c r="BUB62" s="32"/>
      <c r="BUC62" s="121"/>
      <c r="BUD62" s="32"/>
      <c r="BUE62" s="32"/>
      <c r="BUF62" s="32"/>
      <c r="BUG62" s="32"/>
      <c r="BUH62" s="32"/>
      <c r="BUI62" s="60"/>
      <c r="BUJ62" s="32"/>
      <c r="BUK62" s="32"/>
      <c r="BUL62" s="32"/>
      <c r="BUM62" s="32"/>
      <c r="BUN62" s="32"/>
      <c r="BUO62" s="121"/>
      <c r="BUP62" s="32"/>
      <c r="BUQ62" s="32"/>
      <c r="BUR62" s="32"/>
      <c r="BUS62" s="32"/>
      <c r="BUT62" s="32"/>
      <c r="BUU62" s="60"/>
      <c r="BUV62" s="32"/>
      <c r="BUW62" s="32"/>
      <c r="BUX62" s="32"/>
      <c r="BUY62" s="32"/>
      <c r="BUZ62" s="32"/>
      <c r="BVA62" s="33"/>
      <c r="BVB62" s="75"/>
    </row>
    <row r="63" spans="1:1926" ht="20.100000000000001" customHeight="1" x14ac:dyDescent="0.25">
      <c r="A63" s="84" t="s">
        <v>20</v>
      </c>
      <c r="B63" s="53"/>
      <c r="C63" s="17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17"/>
      <c r="BJT63" s="36"/>
      <c r="BJU63" s="36"/>
      <c r="BJV63" s="36"/>
      <c r="BJW63" s="36"/>
      <c r="BJX63" s="36"/>
      <c r="BJY63" s="122"/>
      <c r="BJZ63" s="36"/>
      <c r="BKA63" s="36"/>
      <c r="BKB63" s="36"/>
      <c r="BKC63" s="36"/>
      <c r="BKD63" s="36"/>
      <c r="BKE63" s="61"/>
      <c r="BKF63" s="36"/>
      <c r="BKG63" s="36"/>
      <c r="BKH63" s="36"/>
      <c r="BKI63" s="36"/>
      <c r="BKJ63" s="36"/>
      <c r="BKK63" s="122"/>
      <c r="BKL63" s="36"/>
      <c r="BKM63" s="36"/>
      <c r="BKN63" s="36"/>
      <c r="BKO63" s="36"/>
      <c r="BKP63" s="36"/>
      <c r="BKQ63" s="61"/>
      <c r="BKR63" s="36"/>
      <c r="BKS63" s="36"/>
      <c r="BKT63" s="36"/>
      <c r="BKU63" s="36"/>
      <c r="BKV63" s="36"/>
      <c r="BKW63" s="122"/>
      <c r="BKX63" s="36"/>
      <c r="BKY63" s="36"/>
      <c r="BKZ63" s="36"/>
      <c r="BLA63" s="36"/>
      <c r="BLB63" s="36"/>
      <c r="BLC63" s="61"/>
      <c r="BLD63" s="36"/>
      <c r="BLE63" s="36"/>
      <c r="BLF63" s="36"/>
      <c r="BLG63" s="36"/>
      <c r="BLH63" s="36"/>
      <c r="BLI63" s="122"/>
      <c r="BLJ63" s="36"/>
      <c r="BLK63" s="36"/>
      <c r="BLL63" s="36"/>
      <c r="BLM63" s="36"/>
      <c r="BLN63" s="36"/>
      <c r="BLO63" s="61"/>
      <c r="BLP63" s="36"/>
      <c r="BLQ63" s="36"/>
      <c r="BLR63" s="36"/>
      <c r="BLS63" s="36"/>
      <c r="BLT63" s="36"/>
      <c r="BLU63" s="37"/>
      <c r="BLV63" s="35"/>
      <c r="BLW63" s="36"/>
      <c r="BLX63" s="36"/>
      <c r="BLY63" s="36"/>
      <c r="BLZ63" s="36"/>
      <c r="BMA63" s="117"/>
      <c r="BMB63" s="36"/>
      <c r="BMC63" s="36"/>
      <c r="BMD63" s="36"/>
      <c r="BME63" s="36"/>
      <c r="BMF63" s="36"/>
      <c r="BMG63" s="122"/>
      <c r="BMH63" s="36"/>
      <c r="BMI63" s="36"/>
      <c r="BMJ63" s="36"/>
      <c r="BMK63" s="36"/>
      <c r="BML63" s="36"/>
      <c r="BMM63" s="61"/>
      <c r="BMN63" s="36"/>
      <c r="BMO63" s="36"/>
      <c r="BMP63" s="36"/>
      <c r="BMQ63" s="36"/>
      <c r="BMR63" s="36"/>
      <c r="BMS63" s="122"/>
      <c r="BMT63" s="36"/>
      <c r="BMU63" s="36"/>
      <c r="BMV63" s="36"/>
      <c r="BMW63" s="36"/>
      <c r="BMX63" s="36"/>
      <c r="BMY63" s="61"/>
      <c r="BMZ63" s="36"/>
      <c r="BNA63" s="36"/>
      <c r="BNB63" s="36"/>
      <c r="BNC63" s="36"/>
      <c r="BND63" s="36"/>
      <c r="BNE63" s="122"/>
      <c r="BNF63" s="36"/>
      <c r="BNG63" s="36"/>
      <c r="BNH63" s="36"/>
      <c r="BNI63" s="36"/>
      <c r="BNJ63" s="36"/>
      <c r="BNK63" s="61"/>
      <c r="BNL63" s="36"/>
      <c r="BNM63" s="36"/>
      <c r="BNN63" s="36"/>
      <c r="BNO63" s="36"/>
      <c r="BNP63" s="36"/>
      <c r="BNQ63" s="122"/>
      <c r="BNR63" s="36"/>
      <c r="BNS63" s="36"/>
      <c r="BNT63" s="36"/>
      <c r="BNU63" s="36"/>
      <c r="BNV63" s="36"/>
      <c r="BNW63" s="61"/>
      <c r="BNX63" s="36"/>
      <c r="BNY63" s="36"/>
      <c r="BNZ63" s="36"/>
      <c r="BOA63" s="36"/>
      <c r="BOB63" s="36"/>
      <c r="BOC63" s="37"/>
      <c r="BOD63" s="35"/>
      <c r="BOE63" s="36"/>
      <c r="BOF63" s="36"/>
      <c r="BOG63" s="36"/>
      <c r="BOH63" s="36"/>
      <c r="BOI63" s="117"/>
      <c r="BOJ63" s="36"/>
      <c r="BOK63" s="36"/>
      <c r="BOL63" s="36"/>
      <c r="BOM63" s="36"/>
      <c r="BON63" s="36"/>
      <c r="BOO63" s="122"/>
      <c r="BOP63" s="36"/>
      <c r="BOQ63" s="36"/>
      <c r="BOR63" s="36"/>
      <c r="BOS63" s="36"/>
      <c r="BOT63" s="36"/>
      <c r="BOU63" s="61"/>
      <c r="BOV63" s="36"/>
      <c r="BOW63" s="36"/>
      <c r="BOX63" s="36"/>
      <c r="BOY63" s="36"/>
      <c r="BOZ63" s="36"/>
      <c r="BPA63" s="122"/>
      <c r="BPB63" s="36"/>
      <c r="BPC63" s="36"/>
      <c r="BPD63" s="36"/>
      <c r="BPE63" s="36"/>
      <c r="BPF63" s="36"/>
      <c r="BPG63" s="61"/>
      <c r="BPH63" s="36"/>
      <c r="BPI63" s="36"/>
      <c r="BPJ63" s="36"/>
      <c r="BPK63" s="36"/>
      <c r="BPL63" s="36"/>
      <c r="BPM63" s="122"/>
      <c r="BPN63" s="36"/>
      <c r="BPO63" s="36"/>
      <c r="BPP63" s="36"/>
      <c r="BPQ63" s="36"/>
      <c r="BPR63" s="36"/>
      <c r="BPS63" s="61"/>
      <c r="BPT63" s="36"/>
      <c r="BPU63" s="36"/>
      <c r="BPV63" s="36"/>
      <c r="BPW63" s="36"/>
      <c r="BPX63" s="36"/>
      <c r="BPY63" s="122"/>
      <c r="BPZ63" s="36"/>
      <c r="BQA63" s="36"/>
      <c r="BQB63" s="36"/>
      <c r="BQC63" s="36"/>
      <c r="BQD63" s="36"/>
      <c r="BQE63" s="61"/>
      <c r="BQF63" s="36"/>
      <c r="BQG63" s="36"/>
      <c r="BQH63" s="36"/>
      <c r="BQI63" s="36"/>
      <c r="BQJ63" s="36"/>
      <c r="BQK63" s="37"/>
      <c r="BQL63" s="35"/>
      <c r="BQM63" s="36"/>
      <c r="BQN63" s="36"/>
      <c r="BQO63" s="36"/>
      <c r="BQP63" s="36"/>
      <c r="BQQ63" s="117"/>
      <c r="BQR63" s="36"/>
      <c r="BQS63" s="36"/>
      <c r="BQT63" s="36"/>
      <c r="BQU63" s="36"/>
      <c r="BQV63" s="36"/>
      <c r="BQW63" s="122"/>
      <c r="BQX63" s="36"/>
      <c r="BQY63" s="36"/>
      <c r="BQZ63" s="36"/>
      <c r="BRA63" s="36"/>
      <c r="BRB63" s="36"/>
      <c r="BRC63" s="61"/>
      <c r="BRD63" s="36"/>
      <c r="BRE63" s="36"/>
      <c r="BRF63" s="36"/>
      <c r="BRG63" s="36"/>
      <c r="BRH63" s="36"/>
      <c r="BRI63" s="122"/>
      <c r="BRJ63" s="36"/>
      <c r="BRK63" s="36"/>
      <c r="BRL63" s="36"/>
      <c r="BRM63" s="36"/>
      <c r="BRN63" s="36"/>
      <c r="BRO63" s="61"/>
      <c r="BRP63" s="36"/>
      <c r="BRQ63" s="36"/>
      <c r="BRR63" s="36"/>
      <c r="BRS63" s="36"/>
      <c r="BRT63" s="36"/>
      <c r="BRU63" s="122"/>
      <c r="BRV63" s="36"/>
      <c r="BRW63" s="36"/>
      <c r="BRX63" s="36"/>
      <c r="BRY63" s="36"/>
      <c r="BRZ63" s="36"/>
      <c r="BSA63" s="61"/>
      <c r="BSB63" s="36"/>
      <c r="BSC63" s="36"/>
      <c r="BSD63" s="36"/>
      <c r="BSE63" s="36"/>
      <c r="BSF63" s="36"/>
      <c r="BSG63" s="122"/>
      <c r="BSH63" s="36"/>
      <c r="BSI63" s="36"/>
      <c r="BSJ63" s="36"/>
      <c r="BSK63" s="36"/>
      <c r="BSL63" s="36"/>
      <c r="BSM63" s="61"/>
      <c r="BSN63" s="36"/>
      <c r="BSO63" s="36"/>
      <c r="BSP63" s="36"/>
      <c r="BSQ63" s="36"/>
      <c r="BSR63" s="36"/>
      <c r="BSS63" s="37"/>
      <c r="BST63" s="35"/>
      <c r="BSU63" s="36"/>
      <c r="BSV63" s="36"/>
      <c r="BSW63" s="36"/>
      <c r="BSX63" s="36"/>
      <c r="BSY63" s="117"/>
      <c r="BSZ63" s="36"/>
      <c r="BTA63" s="36"/>
      <c r="BTB63" s="36"/>
      <c r="BTC63" s="36"/>
      <c r="BTD63" s="36"/>
      <c r="BTE63" s="122"/>
      <c r="BTF63" s="36"/>
      <c r="BTG63" s="36"/>
      <c r="BTH63" s="36"/>
      <c r="BTI63" s="36"/>
      <c r="BTJ63" s="36"/>
      <c r="BTK63" s="61"/>
      <c r="BTL63" s="36"/>
      <c r="BTM63" s="36"/>
      <c r="BTN63" s="36"/>
      <c r="BTO63" s="36"/>
      <c r="BTP63" s="36"/>
      <c r="BTQ63" s="122"/>
      <c r="BTR63" s="36"/>
      <c r="BTS63" s="36"/>
      <c r="BTT63" s="36"/>
      <c r="BTU63" s="36"/>
      <c r="BTV63" s="36"/>
      <c r="BTW63" s="61"/>
      <c r="BTX63" s="36"/>
      <c r="BTY63" s="36"/>
      <c r="BTZ63" s="36"/>
      <c r="BUA63" s="36"/>
      <c r="BUB63" s="36"/>
      <c r="BUC63" s="122"/>
      <c r="BUD63" s="36"/>
      <c r="BUE63" s="36"/>
      <c r="BUF63" s="36"/>
      <c r="BUG63" s="36"/>
      <c r="BUH63" s="36"/>
      <c r="BUI63" s="61"/>
      <c r="BUJ63" s="36"/>
      <c r="BUK63" s="36"/>
      <c r="BUL63" s="36"/>
      <c r="BUM63" s="36"/>
      <c r="BUN63" s="36"/>
      <c r="BUO63" s="122"/>
      <c r="BUP63" s="36"/>
      <c r="BUQ63" s="36"/>
      <c r="BUR63" s="36"/>
      <c r="BUS63" s="36"/>
      <c r="BUT63" s="36"/>
      <c r="BUU63" s="61"/>
      <c r="BUV63" s="36"/>
      <c r="BUW63" s="36"/>
      <c r="BUX63" s="36"/>
      <c r="BUY63" s="36"/>
      <c r="BUZ63" s="36"/>
      <c r="BVA63" s="37"/>
      <c r="BVB63" s="75"/>
    </row>
    <row r="64" spans="1:1926" ht="20.100000000000001" customHeight="1" x14ac:dyDescent="0.3">
      <c r="A64" s="84" t="s">
        <v>21</v>
      </c>
      <c r="B64" s="53"/>
      <c r="C64" s="182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14"/>
      <c r="BHL64" s="24"/>
      <c r="BHM64" s="24"/>
      <c r="BHN64" s="24"/>
      <c r="BHO64" s="24"/>
      <c r="BHP64" s="24"/>
      <c r="BHQ64" s="119"/>
      <c r="BHR64" s="24"/>
      <c r="BHS64" s="24"/>
      <c r="BHT64" s="24"/>
      <c r="BHU64" s="24"/>
      <c r="BHV64" s="24"/>
      <c r="BHW64" s="58"/>
      <c r="BHX64" s="24"/>
      <c r="BHY64" s="24"/>
      <c r="BHZ64" s="24"/>
      <c r="BIA64" s="24"/>
      <c r="BIB64" s="24"/>
      <c r="BIC64" s="119"/>
      <c r="BID64" s="24"/>
      <c r="BIE64" s="24"/>
      <c r="BIF64" s="24"/>
      <c r="BIG64" s="24"/>
      <c r="BIH64" s="24"/>
      <c r="BII64" s="58"/>
      <c r="BIJ64" s="24"/>
      <c r="BIK64" s="24"/>
      <c r="BIL64" s="24"/>
      <c r="BIM64" s="24"/>
      <c r="BIN64" s="24"/>
      <c r="BIO64" s="119"/>
      <c r="BIP64" s="24"/>
      <c r="BIQ64" s="24"/>
      <c r="BIR64" s="24"/>
      <c r="BIS64" s="24"/>
      <c r="BIT64" s="24"/>
      <c r="BIU64" s="58"/>
      <c r="BIV64" s="24"/>
      <c r="BIW64" s="24"/>
      <c r="BIX64" s="24"/>
      <c r="BIY64" s="24"/>
      <c r="BIZ64" s="24"/>
      <c r="BJA64" s="119"/>
      <c r="BJB64" s="24"/>
      <c r="BJC64" s="24"/>
      <c r="BJD64" s="24"/>
      <c r="BJE64" s="24"/>
      <c r="BJF64" s="24"/>
      <c r="BJG64" s="58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14"/>
      <c r="BJT64" s="24"/>
      <c r="BJU64" s="24"/>
      <c r="BJV64" s="24"/>
      <c r="BJW64" s="24"/>
      <c r="BJX64" s="24"/>
      <c r="BJY64" s="119"/>
      <c r="BJZ64" s="24"/>
      <c r="BKA64" s="24"/>
      <c r="BKB64" s="24"/>
      <c r="BKC64" s="24"/>
      <c r="BKD64" s="24"/>
      <c r="BKE64" s="58"/>
      <c r="BKF64" s="24"/>
      <c r="BKG64" s="24"/>
      <c r="BKH64" s="24"/>
      <c r="BKI64" s="24"/>
      <c r="BKJ64" s="24"/>
      <c r="BKK64" s="119"/>
      <c r="BKL64" s="24"/>
      <c r="BKM64" s="24"/>
      <c r="BKN64" s="24"/>
      <c r="BKO64" s="24"/>
      <c r="BKP64" s="24"/>
      <c r="BKQ64" s="58"/>
      <c r="BKR64" s="24"/>
      <c r="BKS64" s="24"/>
      <c r="BKT64" s="24"/>
      <c r="BKU64" s="24"/>
      <c r="BKV64" s="24"/>
      <c r="BKW64" s="119"/>
      <c r="BKX64" s="24"/>
      <c r="BKY64" s="24"/>
      <c r="BKZ64" s="24"/>
      <c r="BLA64" s="24"/>
      <c r="BLB64" s="24"/>
      <c r="BLC64" s="58"/>
      <c r="BLD64" s="24"/>
      <c r="BLE64" s="24"/>
      <c r="BLF64" s="24"/>
      <c r="BLG64" s="24"/>
      <c r="BLH64" s="24"/>
      <c r="BLI64" s="119"/>
      <c r="BLJ64" s="24"/>
      <c r="BLK64" s="24"/>
      <c r="BLL64" s="24"/>
      <c r="BLM64" s="24"/>
      <c r="BLN64" s="24"/>
      <c r="BLO64" s="58"/>
      <c r="BLP64" s="24"/>
      <c r="BLQ64" s="24"/>
      <c r="BLR64" s="24"/>
      <c r="BLS64" s="24"/>
      <c r="BLT64" s="24"/>
      <c r="BLU64" s="25"/>
      <c r="BLV64" s="23"/>
      <c r="BLW64" s="24"/>
      <c r="BLX64" s="24"/>
      <c r="BLY64" s="24"/>
      <c r="BLZ64" s="24"/>
      <c r="BMA64" s="114"/>
      <c r="BMB64" s="24"/>
      <c r="BMC64" s="24"/>
      <c r="BMD64" s="24"/>
      <c r="BME64" s="24"/>
      <c r="BMF64" s="24"/>
      <c r="BMG64" s="119"/>
      <c r="BMH64" s="24"/>
      <c r="BMI64" s="24"/>
      <c r="BMJ64" s="24"/>
      <c r="BMK64" s="24"/>
      <c r="BML64" s="24"/>
      <c r="BMM64" s="58"/>
      <c r="BMN64" s="24"/>
      <c r="BMO64" s="24"/>
      <c r="BMP64" s="24"/>
      <c r="BMQ64" s="24"/>
      <c r="BMR64" s="24"/>
      <c r="BMS64" s="119"/>
      <c r="BMT64" s="24"/>
      <c r="BMU64" s="24"/>
      <c r="BMV64" s="24"/>
      <c r="BMW64" s="24"/>
      <c r="BMX64" s="24"/>
      <c r="BMY64" s="58"/>
      <c r="BMZ64" s="24"/>
      <c r="BNA64" s="24"/>
      <c r="BNB64" s="24"/>
      <c r="BNC64" s="24"/>
      <c r="BND64" s="24"/>
      <c r="BNE64" s="119"/>
      <c r="BNF64" s="24"/>
      <c r="BNG64" s="24"/>
      <c r="BNH64" s="24"/>
      <c r="BNI64" s="24"/>
      <c r="BNJ64" s="24"/>
      <c r="BNK64" s="58"/>
      <c r="BNL64" s="24"/>
      <c r="BNM64" s="24"/>
      <c r="BNN64" s="24"/>
      <c r="BNO64" s="24"/>
      <c r="BNP64" s="24"/>
      <c r="BNQ64" s="119"/>
      <c r="BNR64" s="24"/>
      <c r="BNS64" s="24"/>
      <c r="BNT64" s="24"/>
      <c r="BNU64" s="24"/>
      <c r="BNV64" s="24"/>
      <c r="BNW64" s="58"/>
      <c r="BNX64" s="24"/>
      <c r="BNY64" s="24"/>
      <c r="BNZ64" s="24"/>
      <c r="BOA64" s="24"/>
      <c r="BOB64" s="24"/>
      <c r="BOC64" s="25"/>
      <c r="BOD64" s="23"/>
      <c r="BOE64" s="24"/>
      <c r="BOF64" s="24"/>
      <c r="BOG64" s="24"/>
      <c r="BOH64" s="24"/>
      <c r="BOI64" s="114"/>
      <c r="BOJ64" s="24"/>
      <c r="BOK64" s="24"/>
      <c r="BOL64" s="24"/>
      <c r="BOM64" s="24"/>
      <c r="BON64" s="24"/>
      <c r="BOO64" s="119"/>
      <c r="BOP64" s="24"/>
      <c r="BOQ64" s="24"/>
      <c r="BOR64" s="24"/>
      <c r="BOS64" s="24"/>
      <c r="BOT64" s="24"/>
      <c r="BOU64" s="58"/>
      <c r="BOV64" s="24"/>
      <c r="BOW64" s="24"/>
      <c r="BOX64" s="24"/>
      <c r="BOY64" s="24"/>
      <c r="BOZ64" s="24"/>
      <c r="BPA64" s="119"/>
      <c r="BPB64" s="24"/>
      <c r="BPC64" s="24"/>
      <c r="BPD64" s="24"/>
      <c r="BPE64" s="24"/>
      <c r="BPF64" s="24"/>
      <c r="BPG64" s="58"/>
      <c r="BPH64" s="24"/>
      <c r="BPI64" s="24"/>
      <c r="BPJ64" s="24"/>
      <c r="BPK64" s="24"/>
      <c r="BPL64" s="24"/>
      <c r="BPM64" s="119"/>
      <c r="BPN64" s="24"/>
      <c r="BPO64" s="24"/>
      <c r="BPP64" s="24"/>
      <c r="BPQ64" s="24"/>
      <c r="BPR64" s="24"/>
      <c r="BPS64" s="58"/>
      <c r="BPT64" s="24"/>
      <c r="BPU64" s="24"/>
      <c r="BPV64" s="24"/>
      <c r="BPW64" s="24"/>
      <c r="BPX64" s="24"/>
      <c r="BPY64" s="119"/>
      <c r="BPZ64" s="24"/>
      <c r="BQA64" s="24"/>
      <c r="BQB64" s="24"/>
      <c r="BQC64" s="24"/>
      <c r="BQD64" s="24"/>
      <c r="BQE64" s="58"/>
      <c r="BQF64" s="24"/>
      <c r="BQG64" s="24"/>
      <c r="BQH64" s="24"/>
      <c r="BQI64" s="24"/>
      <c r="BQJ64" s="24"/>
      <c r="BQK64" s="25"/>
      <c r="BQL64" s="23"/>
      <c r="BQM64" s="24"/>
      <c r="BQN64" s="24"/>
      <c r="BQO64" s="24"/>
      <c r="BQP64" s="24"/>
      <c r="BQQ64" s="114"/>
      <c r="BQR64" s="24"/>
      <c r="BQS64" s="24"/>
      <c r="BQT64" s="24"/>
      <c r="BQU64" s="24"/>
      <c r="BQV64" s="24"/>
      <c r="BQW64" s="119"/>
      <c r="BQX64" s="24"/>
      <c r="BQY64" s="24"/>
      <c r="BQZ64" s="24"/>
      <c r="BRA64" s="24"/>
      <c r="BRB64" s="24"/>
      <c r="BRC64" s="58"/>
      <c r="BRD64" s="24"/>
      <c r="BRE64" s="24"/>
      <c r="BRF64" s="24"/>
      <c r="BRG64" s="24"/>
      <c r="BRH64" s="24"/>
      <c r="BRI64" s="119"/>
      <c r="BRJ64" s="24"/>
      <c r="BRK64" s="24"/>
      <c r="BRL64" s="24"/>
      <c r="BRM64" s="24"/>
      <c r="BRN64" s="24"/>
      <c r="BRO64" s="58"/>
      <c r="BRP64" s="24"/>
      <c r="BRQ64" s="24"/>
      <c r="BRR64" s="24"/>
      <c r="BRS64" s="24"/>
      <c r="BRT64" s="24"/>
      <c r="BRU64" s="119"/>
      <c r="BRV64" s="24"/>
      <c r="BRW64" s="24"/>
      <c r="BRX64" s="24"/>
      <c r="BRY64" s="24"/>
      <c r="BRZ64" s="24"/>
      <c r="BSA64" s="58"/>
      <c r="BSB64" s="24"/>
      <c r="BSC64" s="24"/>
      <c r="BSD64" s="24"/>
      <c r="BSE64" s="24"/>
      <c r="BSF64" s="24"/>
      <c r="BSG64" s="119"/>
      <c r="BSH64" s="24"/>
      <c r="BSI64" s="24"/>
      <c r="BSJ64" s="24"/>
      <c r="BSK64" s="24"/>
      <c r="BSL64" s="24"/>
      <c r="BSM64" s="58"/>
      <c r="BSN64" s="24"/>
      <c r="BSO64" s="24"/>
      <c r="BSP64" s="24"/>
      <c r="BSQ64" s="24"/>
      <c r="BSR64" s="24"/>
      <c r="BSS64" s="25"/>
      <c r="BST64" s="23"/>
      <c r="BSU64" s="24"/>
      <c r="BSV64" s="24"/>
      <c r="BSW64" s="24"/>
      <c r="BSX64" s="24"/>
      <c r="BSY64" s="114"/>
      <c r="BSZ64" s="24"/>
      <c r="BTA64" s="24"/>
      <c r="BTB64" s="24"/>
      <c r="BTC64" s="24"/>
      <c r="BTD64" s="24"/>
      <c r="BTE64" s="119"/>
      <c r="BTF64" s="24"/>
      <c r="BTG64" s="24"/>
      <c r="BTH64" s="24"/>
      <c r="BTI64" s="24"/>
      <c r="BTJ64" s="24"/>
      <c r="BTK64" s="58"/>
      <c r="BTL64" s="24"/>
      <c r="BTM64" s="24"/>
      <c r="BTN64" s="24"/>
      <c r="BTO64" s="24"/>
      <c r="BTP64" s="24"/>
      <c r="BTQ64" s="119"/>
      <c r="BTR64" s="24"/>
      <c r="BTS64" s="24"/>
      <c r="BTT64" s="24"/>
      <c r="BTU64" s="24"/>
      <c r="BTV64" s="24"/>
      <c r="BTW64" s="58"/>
      <c r="BTX64" s="24"/>
      <c r="BTY64" s="24"/>
      <c r="BTZ64" s="24"/>
      <c r="BUA64" s="24"/>
      <c r="BUB64" s="24"/>
      <c r="BUC64" s="119"/>
      <c r="BUD64" s="24"/>
      <c r="BUE64" s="24"/>
      <c r="BUF64" s="24"/>
      <c r="BUG64" s="24"/>
      <c r="BUH64" s="24"/>
      <c r="BUI64" s="58"/>
      <c r="BUJ64" s="24"/>
      <c r="BUK64" s="24"/>
      <c r="BUL64" s="24"/>
      <c r="BUM64" s="24"/>
      <c r="BUN64" s="24"/>
      <c r="BUO64" s="119"/>
      <c r="BUP64" s="24"/>
      <c r="BUQ64" s="24"/>
      <c r="BUR64" s="24"/>
      <c r="BUS64" s="24"/>
      <c r="BUT64" s="24"/>
      <c r="BUU64" s="58"/>
      <c r="BUV64" s="24"/>
      <c r="BUW64" s="24"/>
      <c r="BUX64" s="24"/>
      <c r="BUY64" s="24"/>
      <c r="BUZ64" s="24"/>
      <c r="BVA64" s="25"/>
      <c r="BVB64" s="75"/>
    </row>
    <row r="65" spans="1:1926" ht="20.100000000000001" customHeight="1" x14ac:dyDescent="0.25">
      <c r="A65" s="84" t="s">
        <v>20</v>
      </c>
      <c r="B65" s="53"/>
      <c r="C65" s="17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27"/>
      <c r="BJO65" s="28"/>
      <c r="BJP65" s="28"/>
      <c r="BJQ65" s="28"/>
      <c r="BJR65" s="28"/>
      <c r="BJS65" s="115"/>
      <c r="BJT65" s="28"/>
      <c r="BJU65" s="28"/>
      <c r="BJV65" s="28"/>
      <c r="BJW65" s="28"/>
      <c r="BJX65" s="28"/>
      <c r="BJY65" s="120"/>
      <c r="BJZ65" s="28"/>
      <c r="BKA65" s="28"/>
      <c r="BKB65" s="28"/>
      <c r="BKC65" s="28"/>
      <c r="BKD65" s="28"/>
      <c r="BKE65" s="59"/>
      <c r="BKF65" s="28"/>
      <c r="BKG65" s="28"/>
      <c r="BKH65" s="28"/>
      <c r="BKI65" s="28"/>
      <c r="BKJ65" s="28"/>
      <c r="BKK65" s="120"/>
      <c r="BKL65" s="28"/>
      <c r="BKM65" s="28"/>
      <c r="BKN65" s="28"/>
      <c r="BKO65" s="28"/>
      <c r="BKP65" s="28"/>
      <c r="BKQ65" s="59"/>
      <c r="BKR65" s="28"/>
      <c r="BKS65" s="28"/>
      <c r="BKT65" s="28"/>
      <c r="BKU65" s="28"/>
      <c r="BKV65" s="28"/>
      <c r="BKW65" s="120"/>
      <c r="BKX65" s="28"/>
      <c r="BKY65" s="28"/>
      <c r="BKZ65" s="28"/>
      <c r="BLA65" s="28"/>
      <c r="BLB65" s="28"/>
      <c r="BLC65" s="59"/>
      <c r="BLD65" s="28"/>
      <c r="BLE65" s="28"/>
      <c r="BLF65" s="28"/>
      <c r="BLG65" s="28"/>
      <c r="BLH65" s="28"/>
      <c r="BLI65" s="120"/>
      <c r="BLJ65" s="28"/>
      <c r="BLK65" s="28"/>
      <c r="BLL65" s="28"/>
      <c r="BLM65" s="28"/>
      <c r="BLN65" s="28"/>
      <c r="BLO65" s="59"/>
      <c r="BLP65" s="28"/>
      <c r="BLQ65" s="28"/>
      <c r="BLR65" s="28"/>
      <c r="BLS65" s="28"/>
      <c r="BLT65" s="28"/>
      <c r="BLU65" s="29"/>
      <c r="BLV65" s="27"/>
      <c r="BLW65" s="28"/>
      <c r="BLX65" s="28"/>
      <c r="BLY65" s="28"/>
      <c r="BLZ65" s="28"/>
      <c r="BMA65" s="115"/>
      <c r="BMB65" s="28"/>
      <c r="BMC65" s="28"/>
      <c r="BMD65" s="28"/>
      <c r="BME65" s="28"/>
      <c r="BMF65" s="28"/>
      <c r="BMG65" s="120"/>
      <c r="BMH65" s="28"/>
      <c r="BMI65" s="28"/>
      <c r="BMJ65" s="28"/>
      <c r="BMK65" s="28"/>
      <c r="BML65" s="28"/>
      <c r="BMM65" s="59"/>
      <c r="BMN65" s="28"/>
      <c r="BMO65" s="28"/>
      <c r="BMP65" s="28"/>
      <c r="BMQ65" s="28"/>
      <c r="BMR65" s="28"/>
      <c r="BMS65" s="120"/>
      <c r="BMT65" s="28"/>
      <c r="BMU65" s="28"/>
      <c r="BMV65" s="28"/>
      <c r="BMW65" s="28"/>
      <c r="BMX65" s="28"/>
      <c r="BMY65" s="59"/>
      <c r="BMZ65" s="28"/>
      <c r="BNA65" s="28"/>
      <c r="BNB65" s="28"/>
      <c r="BNC65" s="28"/>
      <c r="BND65" s="28"/>
      <c r="BNE65" s="120"/>
      <c r="BNF65" s="28"/>
      <c r="BNG65" s="28"/>
      <c r="BNH65" s="28"/>
      <c r="BNI65" s="28"/>
      <c r="BNJ65" s="28"/>
      <c r="BNK65" s="59"/>
      <c r="BNL65" s="28"/>
      <c r="BNM65" s="28"/>
      <c r="BNN65" s="28"/>
      <c r="BNO65" s="28"/>
      <c r="BNP65" s="28"/>
      <c r="BNQ65" s="120"/>
      <c r="BNR65" s="28"/>
      <c r="BNS65" s="28"/>
      <c r="BNT65" s="28"/>
      <c r="BNU65" s="28"/>
      <c r="BNV65" s="28"/>
      <c r="BNW65" s="59"/>
      <c r="BNX65" s="28"/>
      <c r="BNY65" s="28"/>
      <c r="BNZ65" s="28"/>
      <c r="BOA65" s="28"/>
      <c r="BOB65" s="28"/>
      <c r="BOC65" s="29"/>
      <c r="BOD65" s="27"/>
      <c r="BOE65" s="28"/>
      <c r="BOF65" s="28"/>
      <c r="BOG65" s="28"/>
      <c r="BOH65" s="28"/>
      <c r="BOI65" s="115"/>
      <c r="BOJ65" s="28"/>
      <c r="BOK65" s="28"/>
      <c r="BOL65" s="28"/>
      <c r="BOM65" s="28"/>
      <c r="BON65" s="28"/>
      <c r="BOO65" s="120"/>
      <c r="BOP65" s="28"/>
      <c r="BOQ65" s="28"/>
      <c r="BOR65" s="28"/>
      <c r="BOS65" s="28"/>
      <c r="BOT65" s="28"/>
      <c r="BOU65" s="59"/>
      <c r="BOV65" s="28"/>
      <c r="BOW65" s="28"/>
      <c r="BOX65" s="28"/>
      <c r="BOY65" s="28"/>
      <c r="BOZ65" s="28"/>
      <c r="BPA65" s="120"/>
      <c r="BPB65" s="28"/>
      <c r="BPC65" s="28"/>
      <c r="BPD65" s="28"/>
      <c r="BPE65" s="28"/>
      <c r="BPF65" s="28"/>
      <c r="BPG65" s="59"/>
      <c r="BPH65" s="28"/>
      <c r="BPI65" s="28"/>
      <c r="BPJ65" s="28"/>
      <c r="BPK65" s="28"/>
      <c r="BPL65" s="28"/>
      <c r="BPM65" s="120"/>
      <c r="BPN65" s="28"/>
      <c r="BPO65" s="28"/>
      <c r="BPP65" s="28"/>
      <c r="BPQ65" s="28"/>
      <c r="BPR65" s="28"/>
      <c r="BPS65" s="59"/>
      <c r="BPT65" s="28"/>
      <c r="BPU65" s="28"/>
      <c r="BPV65" s="28"/>
      <c r="BPW65" s="28"/>
      <c r="BPX65" s="28"/>
      <c r="BPY65" s="120"/>
      <c r="BPZ65" s="28"/>
      <c r="BQA65" s="28"/>
      <c r="BQB65" s="28"/>
      <c r="BQC65" s="28"/>
      <c r="BQD65" s="28"/>
      <c r="BQE65" s="59"/>
      <c r="BQF65" s="28"/>
      <c r="BQG65" s="28"/>
      <c r="BQH65" s="28"/>
      <c r="BQI65" s="28"/>
      <c r="BQJ65" s="28"/>
      <c r="BQK65" s="29"/>
      <c r="BQL65" s="27"/>
      <c r="BQM65" s="28"/>
      <c r="BQN65" s="28"/>
      <c r="BQO65" s="28"/>
      <c r="BQP65" s="28"/>
      <c r="BQQ65" s="115"/>
      <c r="BQR65" s="28"/>
      <c r="BQS65" s="28"/>
      <c r="BQT65" s="28"/>
      <c r="BQU65" s="28"/>
      <c r="BQV65" s="28"/>
      <c r="BQW65" s="120"/>
      <c r="BQX65" s="28"/>
      <c r="BQY65" s="28"/>
      <c r="BQZ65" s="28"/>
      <c r="BRA65" s="28"/>
      <c r="BRB65" s="28"/>
      <c r="BRC65" s="59"/>
      <c r="BRD65" s="28"/>
      <c r="BRE65" s="28"/>
      <c r="BRF65" s="28"/>
      <c r="BRG65" s="28"/>
      <c r="BRH65" s="28"/>
      <c r="BRI65" s="120"/>
      <c r="BRJ65" s="28"/>
      <c r="BRK65" s="28"/>
      <c r="BRL65" s="28"/>
      <c r="BRM65" s="28"/>
      <c r="BRN65" s="28"/>
      <c r="BRO65" s="59"/>
      <c r="BRP65" s="28"/>
      <c r="BRQ65" s="28"/>
      <c r="BRR65" s="28"/>
      <c r="BRS65" s="28"/>
      <c r="BRT65" s="28"/>
      <c r="BRU65" s="120"/>
      <c r="BRV65" s="28"/>
      <c r="BRW65" s="28"/>
      <c r="BRX65" s="28"/>
      <c r="BRY65" s="28"/>
      <c r="BRZ65" s="28"/>
      <c r="BSA65" s="59"/>
      <c r="BSB65" s="28"/>
      <c r="BSC65" s="28"/>
      <c r="BSD65" s="28"/>
      <c r="BSE65" s="28"/>
      <c r="BSF65" s="28"/>
      <c r="BSG65" s="120"/>
      <c r="BSH65" s="28"/>
      <c r="BSI65" s="28"/>
      <c r="BSJ65" s="28"/>
      <c r="BSK65" s="28"/>
      <c r="BSL65" s="28"/>
      <c r="BSM65" s="59"/>
      <c r="BSN65" s="28"/>
      <c r="BSO65" s="28"/>
      <c r="BSP65" s="28"/>
      <c r="BSQ65" s="28"/>
      <c r="BSR65" s="28"/>
      <c r="BSS65" s="29"/>
      <c r="BST65" s="27"/>
      <c r="BSU65" s="28"/>
      <c r="BSV65" s="28"/>
      <c r="BSW65" s="28"/>
      <c r="BSX65" s="28"/>
      <c r="BSY65" s="115"/>
      <c r="BSZ65" s="28"/>
      <c r="BTA65" s="28"/>
      <c r="BTB65" s="28"/>
      <c r="BTC65" s="28"/>
      <c r="BTD65" s="28"/>
      <c r="BTE65" s="120"/>
      <c r="BTF65" s="28"/>
      <c r="BTG65" s="28"/>
      <c r="BTH65" s="28"/>
      <c r="BTI65" s="28"/>
      <c r="BTJ65" s="28"/>
      <c r="BTK65" s="59"/>
      <c r="BTL65" s="28"/>
      <c r="BTM65" s="28"/>
      <c r="BTN65" s="28"/>
      <c r="BTO65" s="28"/>
      <c r="BTP65" s="28"/>
      <c r="BTQ65" s="120"/>
      <c r="BTR65" s="28"/>
      <c r="BTS65" s="28"/>
      <c r="BTT65" s="28"/>
      <c r="BTU65" s="28"/>
      <c r="BTV65" s="28"/>
      <c r="BTW65" s="59"/>
      <c r="BTX65" s="28"/>
      <c r="BTY65" s="28"/>
      <c r="BTZ65" s="28"/>
      <c r="BUA65" s="28"/>
      <c r="BUB65" s="28"/>
      <c r="BUC65" s="120"/>
      <c r="BUD65" s="28"/>
      <c r="BUE65" s="28"/>
      <c r="BUF65" s="28"/>
      <c r="BUG65" s="28"/>
      <c r="BUH65" s="28"/>
      <c r="BUI65" s="59"/>
      <c r="BUJ65" s="28"/>
      <c r="BUK65" s="28"/>
      <c r="BUL65" s="28"/>
      <c r="BUM65" s="28"/>
      <c r="BUN65" s="28"/>
      <c r="BUO65" s="120"/>
      <c r="BUP65" s="28"/>
      <c r="BUQ65" s="28"/>
      <c r="BUR65" s="28"/>
      <c r="BUS65" s="28"/>
      <c r="BUT65" s="28"/>
      <c r="BUU65" s="59"/>
      <c r="BUV65" s="28"/>
      <c r="BUW65" s="28"/>
      <c r="BUX65" s="28"/>
      <c r="BUY65" s="28"/>
      <c r="BUZ65" s="28"/>
      <c r="BVA65" s="29"/>
      <c r="BVB65" s="75"/>
    </row>
    <row r="66" spans="1:1926" ht="20.100000000000001" customHeight="1" x14ac:dyDescent="0.3">
      <c r="A66" s="84" t="s">
        <v>21</v>
      </c>
      <c r="B66" s="53"/>
      <c r="C66" s="182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16"/>
      <c r="BHL66" s="32"/>
      <c r="BHM66" s="32"/>
      <c r="BHN66" s="32"/>
      <c r="BHO66" s="32"/>
      <c r="BHP66" s="32"/>
      <c r="BHQ66" s="121"/>
      <c r="BHR66" s="32"/>
      <c r="BHS66" s="32"/>
      <c r="BHT66" s="32"/>
      <c r="BHU66" s="32"/>
      <c r="BHV66" s="32"/>
      <c r="BHW66" s="60"/>
      <c r="BHX66" s="32"/>
      <c r="BHY66" s="32"/>
      <c r="BHZ66" s="32"/>
      <c r="BIA66" s="32"/>
      <c r="BIB66" s="32"/>
      <c r="BIC66" s="121"/>
      <c r="BID66" s="32"/>
      <c r="BIE66" s="32"/>
      <c r="BIF66" s="32"/>
      <c r="BIG66" s="32"/>
      <c r="BIH66" s="32"/>
      <c r="BII66" s="60"/>
      <c r="BIJ66" s="32"/>
      <c r="BIK66" s="32"/>
      <c r="BIL66" s="32"/>
      <c r="BIM66" s="32"/>
      <c r="BIN66" s="32"/>
      <c r="BIO66" s="121"/>
      <c r="BIP66" s="32"/>
      <c r="BIQ66" s="32"/>
      <c r="BIR66" s="32"/>
      <c r="BIS66" s="32"/>
      <c r="BIT66" s="32"/>
      <c r="BIU66" s="60"/>
      <c r="BIV66" s="32"/>
      <c r="BIW66" s="32"/>
      <c r="BIX66" s="32"/>
      <c r="BIY66" s="32"/>
      <c r="BIZ66" s="32"/>
      <c r="BJA66" s="121"/>
      <c r="BJB66" s="32"/>
      <c r="BJC66" s="32"/>
      <c r="BJD66" s="32"/>
      <c r="BJE66" s="32"/>
      <c r="BJF66" s="32"/>
      <c r="BJG66" s="60"/>
      <c r="BJH66" s="32"/>
      <c r="BJI66" s="32"/>
      <c r="BJJ66" s="32"/>
      <c r="BJK66" s="32"/>
      <c r="BJL66" s="32"/>
      <c r="BJM66" s="33"/>
      <c r="BJN66" s="31"/>
      <c r="BJO66" s="32"/>
      <c r="BJP66" s="32"/>
      <c r="BJQ66" s="32"/>
      <c r="BJR66" s="32"/>
      <c r="BJS66" s="116"/>
      <c r="BJT66" s="32"/>
      <c r="BJU66" s="32"/>
      <c r="BJV66" s="32"/>
      <c r="BJW66" s="32"/>
      <c r="BJX66" s="32"/>
      <c r="BJY66" s="121"/>
      <c r="BJZ66" s="32"/>
      <c r="BKA66" s="32"/>
      <c r="BKB66" s="32"/>
      <c r="BKC66" s="32"/>
      <c r="BKD66" s="32"/>
      <c r="BKE66" s="60"/>
      <c r="BKF66" s="32"/>
      <c r="BKG66" s="32"/>
      <c r="BKH66" s="32"/>
      <c r="BKI66" s="32"/>
      <c r="BKJ66" s="32"/>
      <c r="BKK66" s="121"/>
      <c r="BKL66" s="32"/>
      <c r="BKM66" s="32"/>
      <c r="BKN66" s="32"/>
      <c r="BKO66" s="32"/>
      <c r="BKP66" s="32"/>
      <c r="BKQ66" s="60"/>
      <c r="BKR66" s="32"/>
      <c r="BKS66" s="32"/>
      <c r="BKT66" s="32"/>
      <c r="BKU66" s="32"/>
      <c r="BKV66" s="32"/>
      <c r="BKW66" s="121"/>
      <c r="BKX66" s="32"/>
      <c r="BKY66" s="32"/>
      <c r="BKZ66" s="32"/>
      <c r="BLA66" s="32"/>
      <c r="BLB66" s="32"/>
      <c r="BLC66" s="60"/>
      <c r="BLD66" s="32"/>
      <c r="BLE66" s="32"/>
      <c r="BLF66" s="32"/>
      <c r="BLG66" s="32"/>
      <c r="BLH66" s="32"/>
      <c r="BLI66" s="121"/>
      <c r="BLJ66" s="32"/>
      <c r="BLK66" s="32"/>
      <c r="BLL66" s="32"/>
      <c r="BLM66" s="32"/>
      <c r="BLN66" s="32"/>
      <c r="BLO66" s="60"/>
      <c r="BLP66" s="32"/>
      <c r="BLQ66" s="32"/>
      <c r="BLR66" s="32"/>
      <c r="BLS66" s="32"/>
      <c r="BLT66" s="32"/>
      <c r="BLU66" s="33"/>
      <c r="BLV66" s="31"/>
      <c r="BLW66" s="32"/>
      <c r="BLX66" s="32"/>
      <c r="BLY66" s="32"/>
      <c r="BLZ66" s="32"/>
      <c r="BMA66" s="116"/>
      <c r="BMB66" s="32"/>
      <c r="BMC66" s="32"/>
      <c r="BMD66" s="32"/>
      <c r="BME66" s="32"/>
      <c r="BMF66" s="32"/>
      <c r="BMG66" s="121"/>
      <c r="BMH66" s="32"/>
      <c r="BMI66" s="32"/>
      <c r="BMJ66" s="32"/>
      <c r="BMK66" s="32"/>
      <c r="BML66" s="32"/>
      <c r="BMM66" s="60"/>
      <c r="BMN66" s="32"/>
      <c r="BMO66" s="32"/>
      <c r="BMP66" s="32"/>
      <c r="BMQ66" s="32"/>
      <c r="BMR66" s="32"/>
      <c r="BMS66" s="121"/>
      <c r="BMT66" s="32"/>
      <c r="BMU66" s="32"/>
      <c r="BMV66" s="32"/>
      <c r="BMW66" s="32"/>
      <c r="BMX66" s="32"/>
      <c r="BMY66" s="60"/>
      <c r="BMZ66" s="32"/>
      <c r="BNA66" s="32"/>
      <c r="BNB66" s="32"/>
      <c r="BNC66" s="32"/>
      <c r="BND66" s="32"/>
      <c r="BNE66" s="121"/>
      <c r="BNF66" s="32"/>
      <c r="BNG66" s="32"/>
      <c r="BNH66" s="32"/>
      <c r="BNI66" s="32"/>
      <c r="BNJ66" s="32"/>
      <c r="BNK66" s="60"/>
      <c r="BNL66" s="32"/>
      <c r="BNM66" s="32"/>
      <c r="BNN66" s="32"/>
      <c r="BNO66" s="32"/>
      <c r="BNP66" s="32"/>
      <c r="BNQ66" s="121"/>
      <c r="BNR66" s="32"/>
      <c r="BNS66" s="32"/>
      <c r="BNT66" s="32"/>
      <c r="BNU66" s="32"/>
      <c r="BNV66" s="32"/>
      <c r="BNW66" s="60"/>
      <c r="BNX66" s="32"/>
      <c r="BNY66" s="32"/>
      <c r="BNZ66" s="32"/>
      <c r="BOA66" s="32"/>
      <c r="BOB66" s="32"/>
      <c r="BOC66" s="33"/>
      <c r="BOD66" s="31"/>
      <c r="BOE66" s="32"/>
      <c r="BOF66" s="32"/>
      <c r="BOG66" s="32"/>
      <c r="BOH66" s="32"/>
      <c r="BOI66" s="116"/>
      <c r="BOJ66" s="32"/>
      <c r="BOK66" s="32"/>
      <c r="BOL66" s="32"/>
      <c r="BOM66" s="32"/>
      <c r="BON66" s="32"/>
      <c r="BOO66" s="121"/>
      <c r="BOP66" s="32"/>
      <c r="BOQ66" s="32"/>
      <c r="BOR66" s="32"/>
      <c r="BOS66" s="32"/>
      <c r="BOT66" s="32"/>
      <c r="BOU66" s="60"/>
      <c r="BOV66" s="32"/>
      <c r="BOW66" s="32"/>
      <c r="BOX66" s="32"/>
      <c r="BOY66" s="32"/>
      <c r="BOZ66" s="32"/>
      <c r="BPA66" s="121"/>
      <c r="BPB66" s="32"/>
      <c r="BPC66" s="32"/>
      <c r="BPD66" s="32"/>
      <c r="BPE66" s="32"/>
      <c r="BPF66" s="32"/>
      <c r="BPG66" s="60"/>
      <c r="BPH66" s="32"/>
      <c r="BPI66" s="32"/>
      <c r="BPJ66" s="32"/>
      <c r="BPK66" s="32"/>
      <c r="BPL66" s="32"/>
      <c r="BPM66" s="121"/>
      <c r="BPN66" s="32"/>
      <c r="BPO66" s="32"/>
      <c r="BPP66" s="32"/>
      <c r="BPQ66" s="32"/>
      <c r="BPR66" s="32"/>
      <c r="BPS66" s="60"/>
      <c r="BPT66" s="32"/>
      <c r="BPU66" s="32"/>
      <c r="BPV66" s="32"/>
      <c r="BPW66" s="32"/>
      <c r="BPX66" s="32"/>
      <c r="BPY66" s="121"/>
      <c r="BPZ66" s="32"/>
      <c r="BQA66" s="32"/>
      <c r="BQB66" s="32"/>
      <c r="BQC66" s="32"/>
      <c r="BQD66" s="32"/>
      <c r="BQE66" s="60"/>
      <c r="BQF66" s="32"/>
      <c r="BQG66" s="32"/>
      <c r="BQH66" s="32"/>
      <c r="BQI66" s="32"/>
      <c r="BQJ66" s="32"/>
      <c r="BQK66" s="33"/>
      <c r="BQL66" s="31"/>
      <c r="BQM66" s="32"/>
      <c r="BQN66" s="32"/>
      <c r="BQO66" s="32"/>
      <c r="BQP66" s="32"/>
      <c r="BQQ66" s="116"/>
      <c r="BQR66" s="32"/>
      <c r="BQS66" s="32"/>
      <c r="BQT66" s="32"/>
      <c r="BQU66" s="32"/>
      <c r="BQV66" s="32"/>
      <c r="BQW66" s="121"/>
      <c r="BQX66" s="32"/>
      <c r="BQY66" s="32"/>
      <c r="BQZ66" s="32"/>
      <c r="BRA66" s="32"/>
      <c r="BRB66" s="32"/>
      <c r="BRC66" s="60"/>
      <c r="BRD66" s="32"/>
      <c r="BRE66" s="32"/>
      <c r="BRF66" s="32"/>
      <c r="BRG66" s="32"/>
      <c r="BRH66" s="32"/>
      <c r="BRI66" s="121"/>
      <c r="BRJ66" s="32"/>
      <c r="BRK66" s="32"/>
      <c r="BRL66" s="32"/>
      <c r="BRM66" s="32"/>
      <c r="BRN66" s="32"/>
      <c r="BRO66" s="60"/>
      <c r="BRP66" s="32"/>
      <c r="BRQ66" s="32"/>
      <c r="BRR66" s="32"/>
      <c r="BRS66" s="32"/>
      <c r="BRT66" s="32"/>
      <c r="BRU66" s="121"/>
      <c r="BRV66" s="32"/>
      <c r="BRW66" s="32"/>
      <c r="BRX66" s="32"/>
      <c r="BRY66" s="32"/>
      <c r="BRZ66" s="32"/>
      <c r="BSA66" s="60"/>
      <c r="BSB66" s="32"/>
      <c r="BSC66" s="32"/>
      <c r="BSD66" s="32"/>
      <c r="BSE66" s="32"/>
      <c r="BSF66" s="32"/>
      <c r="BSG66" s="121"/>
      <c r="BSH66" s="32"/>
      <c r="BSI66" s="32"/>
      <c r="BSJ66" s="32"/>
      <c r="BSK66" s="32"/>
      <c r="BSL66" s="32"/>
      <c r="BSM66" s="60"/>
      <c r="BSN66" s="32"/>
      <c r="BSO66" s="32"/>
      <c r="BSP66" s="32"/>
      <c r="BSQ66" s="32"/>
      <c r="BSR66" s="32"/>
      <c r="BSS66" s="33"/>
      <c r="BST66" s="31"/>
      <c r="BSU66" s="32"/>
      <c r="BSV66" s="32"/>
      <c r="BSW66" s="32"/>
      <c r="BSX66" s="32"/>
      <c r="BSY66" s="116"/>
      <c r="BSZ66" s="32"/>
      <c r="BTA66" s="32"/>
      <c r="BTB66" s="32"/>
      <c r="BTC66" s="32"/>
      <c r="BTD66" s="32"/>
      <c r="BTE66" s="121"/>
      <c r="BTF66" s="32"/>
      <c r="BTG66" s="32"/>
      <c r="BTH66" s="32"/>
      <c r="BTI66" s="32"/>
      <c r="BTJ66" s="32"/>
      <c r="BTK66" s="60"/>
      <c r="BTL66" s="32"/>
      <c r="BTM66" s="32"/>
      <c r="BTN66" s="32"/>
      <c r="BTO66" s="32"/>
      <c r="BTP66" s="32"/>
      <c r="BTQ66" s="121"/>
      <c r="BTR66" s="32"/>
      <c r="BTS66" s="32"/>
      <c r="BTT66" s="32"/>
      <c r="BTU66" s="32"/>
      <c r="BTV66" s="32"/>
      <c r="BTW66" s="60"/>
      <c r="BTX66" s="32"/>
      <c r="BTY66" s="32"/>
      <c r="BTZ66" s="32"/>
      <c r="BUA66" s="32"/>
      <c r="BUB66" s="32"/>
      <c r="BUC66" s="121"/>
      <c r="BUD66" s="32"/>
      <c r="BUE66" s="32"/>
      <c r="BUF66" s="32"/>
      <c r="BUG66" s="32"/>
      <c r="BUH66" s="32"/>
      <c r="BUI66" s="60"/>
      <c r="BUJ66" s="32"/>
      <c r="BUK66" s="32"/>
      <c r="BUL66" s="32"/>
      <c r="BUM66" s="32"/>
      <c r="BUN66" s="32"/>
      <c r="BUO66" s="121"/>
      <c r="BUP66" s="32"/>
      <c r="BUQ66" s="32"/>
      <c r="BUR66" s="32"/>
      <c r="BUS66" s="32"/>
      <c r="BUT66" s="32"/>
      <c r="BUU66" s="60"/>
      <c r="BUV66" s="32"/>
      <c r="BUW66" s="32"/>
      <c r="BUX66" s="32"/>
      <c r="BUY66" s="32"/>
      <c r="BUZ66" s="32"/>
      <c r="BVA66" s="33"/>
      <c r="BVB66" s="75"/>
    </row>
    <row r="67" spans="1:1926" ht="20.100000000000001" customHeight="1" x14ac:dyDescent="0.25">
      <c r="A67" s="84" t="s">
        <v>20</v>
      </c>
      <c r="B67" s="53"/>
      <c r="C67" s="17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35"/>
      <c r="BJO67" s="36"/>
      <c r="BJP67" s="36"/>
      <c r="BJQ67" s="36"/>
      <c r="BJR67" s="36"/>
      <c r="BJS67" s="117"/>
      <c r="BJT67" s="36"/>
      <c r="BJU67" s="36"/>
      <c r="BJV67" s="36"/>
      <c r="BJW67" s="36"/>
      <c r="BJX67" s="36"/>
      <c r="BJY67" s="122"/>
      <c r="BJZ67" s="36"/>
      <c r="BKA67" s="36"/>
      <c r="BKB67" s="36"/>
      <c r="BKC67" s="36"/>
      <c r="BKD67" s="36"/>
      <c r="BKE67" s="61"/>
      <c r="BKF67" s="36"/>
      <c r="BKG67" s="36"/>
      <c r="BKH67" s="36"/>
      <c r="BKI67" s="36"/>
      <c r="BKJ67" s="36"/>
      <c r="BKK67" s="122"/>
      <c r="BKL67" s="36"/>
      <c r="BKM67" s="36"/>
      <c r="BKN67" s="36"/>
      <c r="BKO67" s="36"/>
      <c r="BKP67" s="36"/>
      <c r="BKQ67" s="61"/>
      <c r="BKR67" s="36"/>
      <c r="BKS67" s="36"/>
      <c r="BKT67" s="36"/>
      <c r="BKU67" s="36"/>
      <c r="BKV67" s="36"/>
      <c r="BKW67" s="122"/>
      <c r="BKX67" s="36"/>
      <c r="BKY67" s="36"/>
      <c r="BKZ67" s="36"/>
      <c r="BLA67" s="36"/>
      <c r="BLB67" s="36"/>
      <c r="BLC67" s="61"/>
      <c r="BLD67" s="36"/>
      <c r="BLE67" s="36"/>
      <c r="BLF67" s="36"/>
      <c r="BLG67" s="36"/>
      <c r="BLH67" s="36"/>
      <c r="BLI67" s="122"/>
      <c r="BLJ67" s="36"/>
      <c r="BLK67" s="36"/>
      <c r="BLL67" s="36"/>
      <c r="BLM67" s="36"/>
      <c r="BLN67" s="36"/>
      <c r="BLO67" s="61"/>
      <c r="BLP67" s="36"/>
      <c r="BLQ67" s="36"/>
      <c r="BLR67" s="36"/>
      <c r="BLS67" s="36"/>
      <c r="BLT67" s="36"/>
      <c r="BLU67" s="37"/>
      <c r="BLV67" s="35"/>
      <c r="BLW67" s="36"/>
      <c r="BLX67" s="36"/>
      <c r="BLY67" s="36"/>
      <c r="BLZ67" s="36"/>
      <c r="BMA67" s="117"/>
      <c r="BMB67" s="36"/>
      <c r="BMC67" s="36"/>
      <c r="BMD67" s="36"/>
      <c r="BME67" s="36"/>
      <c r="BMF67" s="36"/>
      <c r="BMG67" s="122"/>
      <c r="BMH67" s="36"/>
      <c r="BMI67" s="36"/>
      <c r="BMJ67" s="36"/>
      <c r="BMK67" s="36"/>
      <c r="BML67" s="36"/>
      <c r="BMM67" s="61"/>
      <c r="BMN67" s="36"/>
      <c r="BMO67" s="36"/>
      <c r="BMP67" s="36"/>
      <c r="BMQ67" s="36"/>
      <c r="BMR67" s="36"/>
      <c r="BMS67" s="122"/>
      <c r="BMT67" s="36"/>
      <c r="BMU67" s="36"/>
      <c r="BMV67" s="36"/>
      <c r="BMW67" s="36"/>
      <c r="BMX67" s="36"/>
      <c r="BMY67" s="61"/>
      <c r="BMZ67" s="36"/>
      <c r="BNA67" s="36"/>
      <c r="BNB67" s="36"/>
      <c r="BNC67" s="36"/>
      <c r="BND67" s="36"/>
      <c r="BNE67" s="122"/>
      <c r="BNF67" s="36"/>
      <c r="BNG67" s="36"/>
      <c r="BNH67" s="36"/>
      <c r="BNI67" s="36"/>
      <c r="BNJ67" s="36"/>
      <c r="BNK67" s="61"/>
      <c r="BNL67" s="36"/>
      <c r="BNM67" s="36"/>
      <c r="BNN67" s="36"/>
      <c r="BNO67" s="36"/>
      <c r="BNP67" s="36"/>
      <c r="BNQ67" s="122"/>
      <c r="BNR67" s="36"/>
      <c r="BNS67" s="36"/>
      <c r="BNT67" s="36"/>
      <c r="BNU67" s="36"/>
      <c r="BNV67" s="36"/>
      <c r="BNW67" s="61"/>
      <c r="BNX67" s="36"/>
      <c r="BNY67" s="36"/>
      <c r="BNZ67" s="36"/>
      <c r="BOA67" s="36"/>
      <c r="BOB67" s="36"/>
      <c r="BOC67" s="37"/>
      <c r="BOD67" s="35"/>
      <c r="BOE67" s="36"/>
      <c r="BOF67" s="36"/>
      <c r="BOG67" s="36"/>
      <c r="BOH67" s="36"/>
      <c r="BOI67" s="117"/>
      <c r="BOJ67" s="36"/>
      <c r="BOK67" s="36"/>
      <c r="BOL67" s="36"/>
      <c r="BOM67" s="36"/>
      <c r="BON67" s="36"/>
      <c r="BOO67" s="122"/>
      <c r="BOP67" s="36"/>
      <c r="BOQ67" s="36"/>
      <c r="BOR67" s="36"/>
      <c r="BOS67" s="36"/>
      <c r="BOT67" s="36"/>
      <c r="BOU67" s="61"/>
      <c r="BOV67" s="36"/>
      <c r="BOW67" s="36"/>
      <c r="BOX67" s="36"/>
      <c r="BOY67" s="36"/>
      <c r="BOZ67" s="36"/>
      <c r="BPA67" s="122"/>
      <c r="BPB67" s="36"/>
      <c r="BPC67" s="36"/>
      <c r="BPD67" s="36"/>
      <c r="BPE67" s="36"/>
      <c r="BPF67" s="36"/>
      <c r="BPG67" s="61"/>
      <c r="BPH67" s="36"/>
      <c r="BPI67" s="36"/>
      <c r="BPJ67" s="36"/>
      <c r="BPK67" s="36"/>
      <c r="BPL67" s="36"/>
      <c r="BPM67" s="122"/>
      <c r="BPN67" s="36"/>
      <c r="BPO67" s="36"/>
      <c r="BPP67" s="36"/>
      <c r="BPQ67" s="36"/>
      <c r="BPR67" s="36"/>
      <c r="BPS67" s="61"/>
      <c r="BPT67" s="36"/>
      <c r="BPU67" s="36"/>
      <c r="BPV67" s="36"/>
      <c r="BPW67" s="36"/>
      <c r="BPX67" s="36"/>
      <c r="BPY67" s="122"/>
      <c r="BPZ67" s="36"/>
      <c r="BQA67" s="36"/>
      <c r="BQB67" s="36"/>
      <c r="BQC67" s="36"/>
      <c r="BQD67" s="36"/>
      <c r="BQE67" s="61"/>
      <c r="BQF67" s="36"/>
      <c r="BQG67" s="36"/>
      <c r="BQH67" s="36"/>
      <c r="BQI67" s="36"/>
      <c r="BQJ67" s="36"/>
      <c r="BQK67" s="37"/>
      <c r="BQL67" s="35"/>
      <c r="BQM67" s="36"/>
      <c r="BQN67" s="36"/>
      <c r="BQO67" s="36"/>
      <c r="BQP67" s="36"/>
      <c r="BQQ67" s="117"/>
      <c r="BQR67" s="36"/>
      <c r="BQS67" s="36"/>
      <c r="BQT67" s="36"/>
      <c r="BQU67" s="36"/>
      <c r="BQV67" s="36"/>
      <c r="BQW67" s="122"/>
      <c r="BQX67" s="36"/>
      <c r="BQY67" s="36"/>
      <c r="BQZ67" s="36"/>
      <c r="BRA67" s="36"/>
      <c r="BRB67" s="36"/>
      <c r="BRC67" s="61"/>
      <c r="BRD67" s="36"/>
      <c r="BRE67" s="36"/>
      <c r="BRF67" s="36"/>
      <c r="BRG67" s="36"/>
      <c r="BRH67" s="36"/>
      <c r="BRI67" s="122"/>
      <c r="BRJ67" s="36"/>
      <c r="BRK67" s="36"/>
      <c r="BRL67" s="36"/>
      <c r="BRM67" s="36"/>
      <c r="BRN67" s="36"/>
      <c r="BRO67" s="61"/>
      <c r="BRP67" s="36"/>
      <c r="BRQ67" s="36"/>
      <c r="BRR67" s="36"/>
      <c r="BRS67" s="36"/>
      <c r="BRT67" s="36"/>
      <c r="BRU67" s="122"/>
      <c r="BRV67" s="36"/>
      <c r="BRW67" s="36"/>
      <c r="BRX67" s="36"/>
      <c r="BRY67" s="36"/>
      <c r="BRZ67" s="36"/>
      <c r="BSA67" s="61"/>
      <c r="BSB67" s="36"/>
      <c r="BSC67" s="36"/>
      <c r="BSD67" s="36"/>
      <c r="BSE67" s="36"/>
      <c r="BSF67" s="36"/>
      <c r="BSG67" s="122"/>
      <c r="BSH67" s="36"/>
      <c r="BSI67" s="36"/>
      <c r="BSJ67" s="36"/>
      <c r="BSK67" s="36"/>
      <c r="BSL67" s="36"/>
      <c r="BSM67" s="61"/>
      <c r="BSN67" s="36"/>
      <c r="BSO67" s="36"/>
      <c r="BSP67" s="36"/>
      <c r="BSQ67" s="36"/>
      <c r="BSR67" s="36"/>
      <c r="BSS67" s="37"/>
      <c r="BST67" s="35"/>
      <c r="BSU67" s="36"/>
      <c r="BSV67" s="36"/>
      <c r="BSW67" s="36"/>
      <c r="BSX67" s="36"/>
      <c r="BSY67" s="117"/>
      <c r="BSZ67" s="36"/>
      <c r="BTA67" s="36"/>
      <c r="BTB67" s="36"/>
      <c r="BTC67" s="36"/>
      <c r="BTD67" s="36"/>
      <c r="BTE67" s="122"/>
      <c r="BTF67" s="36"/>
      <c r="BTG67" s="36"/>
      <c r="BTH67" s="36"/>
      <c r="BTI67" s="36"/>
      <c r="BTJ67" s="36"/>
      <c r="BTK67" s="61"/>
      <c r="BTL67" s="36"/>
      <c r="BTM67" s="36"/>
      <c r="BTN67" s="36"/>
      <c r="BTO67" s="36"/>
      <c r="BTP67" s="36"/>
      <c r="BTQ67" s="122"/>
      <c r="BTR67" s="36"/>
      <c r="BTS67" s="36"/>
      <c r="BTT67" s="36"/>
      <c r="BTU67" s="36"/>
      <c r="BTV67" s="36"/>
      <c r="BTW67" s="61"/>
      <c r="BTX67" s="36"/>
      <c r="BTY67" s="36"/>
      <c r="BTZ67" s="36"/>
      <c r="BUA67" s="36"/>
      <c r="BUB67" s="36"/>
      <c r="BUC67" s="122"/>
      <c r="BUD67" s="36"/>
      <c r="BUE67" s="36"/>
      <c r="BUF67" s="36"/>
      <c r="BUG67" s="36"/>
      <c r="BUH67" s="36"/>
      <c r="BUI67" s="61"/>
      <c r="BUJ67" s="36"/>
      <c r="BUK67" s="36"/>
      <c r="BUL67" s="36"/>
      <c r="BUM67" s="36"/>
      <c r="BUN67" s="36"/>
      <c r="BUO67" s="122"/>
      <c r="BUP67" s="36"/>
      <c r="BUQ67" s="36"/>
      <c r="BUR67" s="36"/>
      <c r="BUS67" s="36"/>
      <c r="BUT67" s="36"/>
      <c r="BUU67" s="61"/>
      <c r="BUV67" s="36"/>
      <c r="BUW67" s="36"/>
      <c r="BUX67" s="36"/>
      <c r="BUY67" s="36"/>
      <c r="BUZ67" s="36"/>
      <c r="BVA67" s="37"/>
      <c r="BVB67" s="75"/>
    </row>
    <row r="68" spans="1:1926" ht="20.100000000000001" customHeight="1" x14ac:dyDescent="0.25">
      <c r="A68" s="84" t="s">
        <v>21</v>
      </c>
      <c r="B68" s="53"/>
      <c r="C68" s="175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14"/>
      <c r="BHL68" s="24"/>
      <c r="BHM68" s="24"/>
      <c r="BHN68" s="24"/>
      <c r="BHO68" s="24"/>
      <c r="BHP68" s="24"/>
      <c r="BHQ68" s="119"/>
      <c r="BHR68" s="24"/>
      <c r="BHS68" s="24"/>
      <c r="BHT68" s="24"/>
      <c r="BHU68" s="24"/>
      <c r="BHV68" s="24"/>
      <c r="BHW68" s="58"/>
      <c r="BHX68" s="24"/>
      <c r="BHY68" s="24"/>
      <c r="BHZ68" s="24"/>
      <c r="BIA68" s="24"/>
      <c r="BIB68" s="24"/>
      <c r="BIC68" s="119"/>
      <c r="BID68" s="24"/>
      <c r="BIE68" s="24"/>
      <c r="BIF68" s="24"/>
      <c r="BIG68" s="24"/>
      <c r="BIH68" s="24"/>
      <c r="BII68" s="58"/>
      <c r="BIJ68" s="24"/>
      <c r="BIK68" s="24"/>
      <c r="BIL68" s="24"/>
      <c r="BIM68" s="24"/>
      <c r="BIN68" s="24"/>
      <c r="BIO68" s="119"/>
      <c r="BIP68" s="24"/>
      <c r="BIQ68" s="24"/>
      <c r="BIR68" s="24"/>
      <c r="BIS68" s="24"/>
      <c r="BIT68" s="24"/>
      <c r="BIU68" s="58"/>
      <c r="BIV68" s="24"/>
      <c r="BIW68" s="24"/>
      <c r="BIX68" s="24"/>
      <c r="BIY68" s="24"/>
      <c r="BIZ68" s="24"/>
      <c r="BJA68" s="119"/>
      <c r="BJB68" s="24"/>
      <c r="BJC68" s="24"/>
      <c r="BJD68" s="24"/>
      <c r="BJE68" s="24"/>
      <c r="BJF68" s="24"/>
      <c r="BJG68" s="58"/>
      <c r="BJH68" s="24"/>
      <c r="BJI68" s="24"/>
      <c r="BJJ68" s="24"/>
      <c r="BJK68" s="24"/>
      <c r="BJL68" s="24"/>
      <c r="BJM68" s="25"/>
      <c r="BJN68" s="23"/>
      <c r="BJO68" s="24"/>
      <c r="BJP68" s="24"/>
      <c r="BJQ68" s="24"/>
      <c r="BJR68" s="24"/>
      <c r="BJS68" s="114"/>
      <c r="BJT68" s="24"/>
      <c r="BJU68" s="24"/>
      <c r="BJV68" s="24"/>
      <c r="BJW68" s="24"/>
      <c r="BJX68" s="24"/>
      <c r="BJY68" s="119"/>
      <c r="BJZ68" s="24"/>
      <c r="BKA68" s="24"/>
      <c r="BKB68" s="24"/>
      <c r="BKC68" s="24"/>
      <c r="BKD68" s="24"/>
      <c r="BKE68" s="58"/>
      <c r="BKF68" s="24"/>
      <c r="BKG68" s="24"/>
      <c r="BKH68" s="24"/>
      <c r="BKI68" s="24"/>
      <c r="BKJ68" s="24"/>
      <c r="BKK68" s="119"/>
      <c r="BKL68" s="24"/>
      <c r="BKM68" s="24"/>
      <c r="BKN68" s="24"/>
      <c r="BKO68" s="24"/>
      <c r="BKP68" s="24"/>
      <c r="BKQ68" s="58"/>
      <c r="BKR68" s="24"/>
      <c r="BKS68" s="24"/>
      <c r="BKT68" s="24"/>
      <c r="BKU68" s="24"/>
      <c r="BKV68" s="24"/>
      <c r="BKW68" s="119"/>
      <c r="BKX68" s="24"/>
      <c r="BKY68" s="24"/>
      <c r="BKZ68" s="24"/>
      <c r="BLA68" s="24"/>
      <c r="BLB68" s="24"/>
      <c r="BLC68" s="58"/>
      <c r="BLD68" s="24"/>
      <c r="BLE68" s="24"/>
      <c r="BLF68" s="24"/>
      <c r="BLG68" s="24"/>
      <c r="BLH68" s="24"/>
      <c r="BLI68" s="119"/>
      <c r="BLJ68" s="24"/>
      <c r="BLK68" s="24"/>
      <c r="BLL68" s="24"/>
      <c r="BLM68" s="24"/>
      <c r="BLN68" s="24"/>
      <c r="BLO68" s="58"/>
      <c r="BLP68" s="24"/>
      <c r="BLQ68" s="24"/>
      <c r="BLR68" s="24"/>
      <c r="BLS68" s="24"/>
      <c r="BLT68" s="24"/>
      <c r="BLU68" s="25"/>
      <c r="BLV68" s="23"/>
      <c r="BLW68" s="24"/>
      <c r="BLX68" s="24"/>
      <c r="BLY68" s="24"/>
      <c r="BLZ68" s="24"/>
      <c r="BMA68" s="114"/>
      <c r="BMB68" s="24"/>
      <c r="BMC68" s="24"/>
      <c r="BMD68" s="24"/>
      <c r="BME68" s="24"/>
      <c r="BMF68" s="24"/>
      <c r="BMG68" s="119"/>
      <c r="BMH68" s="24"/>
      <c r="BMI68" s="24"/>
      <c r="BMJ68" s="24"/>
      <c r="BMK68" s="24"/>
      <c r="BML68" s="24"/>
      <c r="BMM68" s="58"/>
      <c r="BMN68" s="24"/>
      <c r="BMO68" s="24"/>
      <c r="BMP68" s="24"/>
      <c r="BMQ68" s="24"/>
      <c r="BMR68" s="24"/>
      <c r="BMS68" s="119"/>
      <c r="BMT68" s="24"/>
      <c r="BMU68" s="24"/>
      <c r="BMV68" s="24"/>
      <c r="BMW68" s="24"/>
      <c r="BMX68" s="24"/>
      <c r="BMY68" s="58"/>
      <c r="BMZ68" s="24"/>
      <c r="BNA68" s="24"/>
      <c r="BNB68" s="24"/>
      <c r="BNC68" s="24"/>
      <c r="BND68" s="24"/>
      <c r="BNE68" s="119"/>
      <c r="BNF68" s="24"/>
      <c r="BNG68" s="24"/>
      <c r="BNH68" s="24"/>
      <c r="BNI68" s="24"/>
      <c r="BNJ68" s="24"/>
      <c r="BNK68" s="58"/>
      <c r="BNL68" s="24"/>
      <c r="BNM68" s="24"/>
      <c r="BNN68" s="24"/>
      <c r="BNO68" s="24"/>
      <c r="BNP68" s="24"/>
      <c r="BNQ68" s="119"/>
      <c r="BNR68" s="24"/>
      <c r="BNS68" s="24"/>
      <c r="BNT68" s="24"/>
      <c r="BNU68" s="24"/>
      <c r="BNV68" s="24"/>
      <c r="BNW68" s="58"/>
      <c r="BNX68" s="24"/>
      <c r="BNY68" s="24"/>
      <c r="BNZ68" s="24"/>
      <c r="BOA68" s="24"/>
      <c r="BOB68" s="24"/>
      <c r="BOC68" s="25"/>
      <c r="BOD68" s="23"/>
      <c r="BOE68" s="24"/>
      <c r="BOF68" s="24"/>
      <c r="BOG68" s="24"/>
      <c r="BOH68" s="24"/>
      <c r="BOI68" s="114"/>
      <c r="BOJ68" s="24"/>
      <c r="BOK68" s="24"/>
      <c r="BOL68" s="24"/>
      <c r="BOM68" s="24"/>
      <c r="BON68" s="24"/>
      <c r="BOO68" s="119"/>
      <c r="BOP68" s="24"/>
      <c r="BOQ68" s="24"/>
      <c r="BOR68" s="24"/>
      <c r="BOS68" s="24"/>
      <c r="BOT68" s="24"/>
      <c r="BOU68" s="58"/>
      <c r="BOV68" s="24"/>
      <c r="BOW68" s="24"/>
      <c r="BOX68" s="24"/>
      <c r="BOY68" s="24"/>
      <c r="BOZ68" s="24"/>
      <c r="BPA68" s="119"/>
      <c r="BPB68" s="24"/>
      <c r="BPC68" s="24"/>
      <c r="BPD68" s="24"/>
      <c r="BPE68" s="24"/>
      <c r="BPF68" s="24"/>
      <c r="BPG68" s="58"/>
      <c r="BPH68" s="24"/>
      <c r="BPI68" s="24"/>
      <c r="BPJ68" s="24"/>
      <c r="BPK68" s="24"/>
      <c r="BPL68" s="24"/>
      <c r="BPM68" s="119"/>
      <c r="BPN68" s="24"/>
      <c r="BPO68" s="24"/>
      <c r="BPP68" s="24"/>
      <c r="BPQ68" s="24"/>
      <c r="BPR68" s="24"/>
      <c r="BPS68" s="58"/>
      <c r="BPT68" s="24"/>
      <c r="BPU68" s="24"/>
      <c r="BPV68" s="24"/>
      <c r="BPW68" s="24"/>
      <c r="BPX68" s="24"/>
      <c r="BPY68" s="119"/>
      <c r="BPZ68" s="24"/>
      <c r="BQA68" s="24"/>
      <c r="BQB68" s="24"/>
      <c r="BQC68" s="24"/>
      <c r="BQD68" s="24"/>
      <c r="BQE68" s="58"/>
      <c r="BQF68" s="24"/>
      <c r="BQG68" s="24"/>
      <c r="BQH68" s="24"/>
      <c r="BQI68" s="24"/>
      <c r="BQJ68" s="24"/>
      <c r="BQK68" s="25"/>
      <c r="BQL68" s="23"/>
      <c r="BQM68" s="24"/>
      <c r="BQN68" s="24"/>
      <c r="BQO68" s="24"/>
      <c r="BQP68" s="24"/>
      <c r="BQQ68" s="114"/>
      <c r="BQR68" s="24"/>
      <c r="BQS68" s="24"/>
      <c r="BQT68" s="24"/>
      <c r="BQU68" s="24"/>
      <c r="BQV68" s="24"/>
      <c r="BQW68" s="119"/>
      <c r="BQX68" s="24"/>
      <c r="BQY68" s="24"/>
      <c r="BQZ68" s="24"/>
      <c r="BRA68" s="24"/>
      <c r="BRB68" s="24"/>
      <c r="BRC68" s="58"/>
      <c r="BRD68" s="24"/>
      <c r="BRE68" s="24"/>
      <c r="BRF68" s="24"/>
      <c r="BRG68" s="24"/>
      <c r="BRH68" s="24"/>
      <c r="BRI68" s="119"/>
      <c r="BRJ68" s="24"/>
      <c r="BRK68" s="24"/>
      <c r="BRL68" s="24"/>
      <c r="BRM68" s="24"/>
      <c r="BRN68" s="24"/>
      <c r="BRO68" s="58"/>
      <c r="BRP68" s="24"/>
      <c r="BRQ68" s="24"/>
      <c r="BRR68" s="24"/>
      <c r="BRS68" s="24"/>
      <c r="BRT68" s="24"/>
      <c r="BRU68" s="119"/>
      <c r="BRV68" s="24"/>
      <c r="BRW68" s="24"/>
      <c r="BRX68" s="24"/>
      <c r="BRY68" s="24"/>
      <c r="BRZ68" s="24"/>
      <c r="BSA68" s="58"/>
      <c r="BSB68" s="24"/>
      <c r="BSC68" s="24"/>
      <c r="BSD68" s="24"/>
      <c r="BSE68" s="24"/>
      <c r="BSF68" s="24"/>
      <c r="BSG68" s="119"/>
      <c r="BSH68" s="24"/>
      <c r="BSI68" s="24"/>
      <c r="BSJ68" s="24"/>
      <c r="BSK68" s="24"/>
      <c r="BSL68" s="24"/>
      <c r="BSM68" s="58"/>
      <c r="BSN68" s="24"/>
      <c r="BSO68" s="24"/>
      <c r="BSP68" s="24"/>
      <c r="BSQ68" s="24"/>
      <c r="BSR68" s="24"/>
      <c r="BSS68" s="25"/>
      <c r="BST68" s="23"/>
      <c r="BSU68" s="24"/>
      <c r="BSV68" s="24"/>
      <c r="BSW68" s="24"/>
      <c r="BSX68" s="24"/>
      <c r="BSY68" s="114"/>
      <c r="BSZ68" s="24"/>
      <c r="BTA68" s="24"/>
      <c r="BTB68" s="24"/>
      <c r="BTC68" s="24"/>
      <c r="BTD68" s="24"/>
      <c r="BTE68" s="119"/>
      <c r="BTF68" s="24"/>
      <c r="BTG68" s="24"/>
      <c r="BTH68" s="24"/>
      <c r="BTI68" s="24"/>
      <c r="BTJ68" s="24"/>
      <c r="BTK68" s="58"/>
      <c r="BTL68" s="24"/>
      <c r="BTM68" s="24"/>
      <c r="BTN68" s="24"/>
      <c r="BTO68" s="24"/>
      <c r="BTP68" s="24"/>
      <c r="BTQ68" s="119"/>
      <c r="BTR68" s="24"/>
      <c r="BTS68" s="24"/>
      <c r="BTT68" s="24"/>
      <c r="BTU68" s="24"/>
      <c r="BTV68" s="24"/>
      <c r="BTW68" s="58"/>
      <c r="BTX68" s="24"/>
      <c r="BTY68" s="24"/>
      <c r="BTZ68" s="24"/>
      <c r="BUA68" s="24"/>
      <c r="BUB68" s="24"/>
      <c r="BUC68" s="119"/>
      <c r="BUD68" s="24"/>
      <c r="BUE68" s="24"/>
      <c r="BUF68" s="24"/>
      <c r="BUG68" s="24"/>
      <c r="BUH68" s="24"/>
      <c r="BUI68" s="58"/>
      <c r="BUJ68" s="24"/>
      <c r="BUK68" s="24"/>
      <c r="BUL68" s="24"/>
      <c r="BUM68" s="24"/>
      <c r="BUN68" s="24"/>
      <c r="BUO68" s="119"/>
      <c r="BUP68" s="24"/>
      <c r="BUQ68" s="24"/>
      <c r="BUR68" s="24"/>
      <c r="BUS68" s="24"/>
      <c r="BUT68" s="24"/>
      <c r="BUU68" s="58"/>
      <c r="BUV68" s="24"/>
      <c r="BUW68" s="24"/>
      <c r="BUX68" s="24"/>
      <c r="BUY68" s="24"/>
      <c r="BUZ68" s="24"/>
      <c r="BVA68" s="25"/>
      <c r="BVB68" s="75"/>
    </row>
    <row r="69" spans="1:1926" ht="20.100000000000001" customHeight="1" x14ac:dyDescent="0.25">
      <c r="A69" s="84" t="s">
        <v>20</v>
      </c>
      <c r="B69" s="53"/>
      <c r="C69" s="17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x14ac:dyDescent="0.3">
      <c r="A70" s="84" t="s">
        <v>21</v>
      </c>
      <c r="B70" s="53"/>
      <c r="C70" s="182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A71" s="84" t="s">
        <v>20</v>
      </c>
      <c r="B71" s="53"/>
      <c r="C71" s="17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x14ac:dyDescent="0.25">
      <c r="A72" s="84" t="s">
        <v>21</v>
      </c>
      <c r="B72" s="53"/>
      <c r="C72" s="175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x14ac:dyDescent="0.25">
      <c r="A73" s="84" t="s">
        <v>20</v>
      </c>
      <c r="B73" s="53"/>
      <c r="C73" s="17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ht="20.100000000000001" customHeight="1" x14ac:dyDescent="0.3">
      <c r="A74" s="84" t="s">
        <v>21</v>
      </c>
      <c r="B74" s="53"/>
      <c r="C74" s="182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ht="20.100000000000001" customHeight="1" x14ac:dyDescent="0.25">
      <c r="A75" s="84" t="s">
        <v>20</v>
      </c>
      <c r="B75" s="53"/>
      <c r="C75" s="17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ht="20.100000000000001" customHeight="1" x14ac:dyDescent="0.3">
      <c r="A76" s="84" t="s">
        <v>21</v>
      </c>
      <c r="B76" s="53"/>
      <c r="C76" s="182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ht="20.100000000000001" customHeight="1" x14ac:dyDescent="0.25">
      <c r="A77" s="84" t="s">
        <v>20</v>
      </c>
      <c r="B77" s="53"/>
      <c r="C77" s="17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ht="20.100000000000001" customHeight="1" x14ac:dyDescent="0.25">
      <c r="A78" s="84" t="s">
        <v>21</v>
      </c>
      <c r="B78" s="53"/>
      <c r="C78" s="175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ht="20.100000000000001" customHeight="1" x14ac:dyDescent="0.25">
      <c r="A79" s="84" t="s">
        <v>20</v>
      </c>
      <c r="B79" s="53"/>
      <c r="C79" s="17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ht="20.100000000000001" customHeight="1" x14ac:dyDescent="0.3">
      <c r="A80" s="84" t="s">
        <v>21</v>
      </c>
      <c r="B80" s="53"/>
      <c r="C80" s="182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:1926" ht="20.100000000000001" customHeight="1" x14ac:dyDescent="0.25">
      <c r="A81" s="84" t="s">
        <v>20</v>
      </c>
      <c r="B81" s="53"/>
      <c r="C81" s="17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:1926" ht="20.100000000000001" customHeight="1" x14ac:dyDescent="0.3">
      <c r="A82" s="84" t="s">
        <v>21</v>
      </c>
      <c r="B82" s="53"/>
      <c r="C82" s="182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:1926" ht="20.100000000000001" customHeight="1" x14ac:dyDescent="0.25">
      <c r="A83" s="84" t="s">
        <v>20</v>
      </c>
      <c r="B83" s="53"/>
      <c r="C83" s="17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:1926" ht="20.100000000000001" customHeight="1" x14ac:dyDescent="0.25">
      <c r="A84" s="84" t="s">
        <v>21</v>
      </c>
      <c r="B84" s="53"/>
      <c r="C84" s="175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:1926" ht="20.100000000000001" customHeight="1" x14ac:dyDescent="0.25">
      <c r="A85" s="84" t="s">
        <v>20</v>
      </c>
      <c r="B85" s="53"/>
      <c r="C85" s="17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:1926" ht="20.100000000000001" customHeight="1" x14ac:dyDescent="0.3">
      <c r="A86" s="84" t="s">
        <v>21</v>
      </c>
      <c r="B86" s="53"/>
      <c r="C86" s="182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:1926" ht="20.100000000000001" customHeight="1" x14ac:dyDescent="0.25">
      <c r="A87" s="84" t="s">
        <v>20</v>
      </c>
      <c r="B87" s="53"/>
      <c r="C87" s="17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:1926" ht="20.100000000000001" customHeight="1" x14ac:dyDescent="0.25">
      <c r="A88" s="84" t="s">
        <v>21</v>
      </c>
      <c r="B88" s="53"/>
      <c r="C88" s="175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:1926" ht="20.100000000000001" customHeight="1" x14ac:dyDescent="0.25">
      <c r="A89" s="84" t="s">
        <v>20</v>
      </c>
      <c r="B89" s="53"/>
      <c r="C89" s="17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:1926" ht="20.100000000000001" customHeight="1" x14ac:dyDescent="0.3">
      <c r="A90" s="84" t="s">
        <v>21</v>
      </c>
      <c r="B90" s="53"/>
      <c r="C90" s="182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:1926" ht="20.100000000000001" customHeight="1" x14ac:dyDescent="0.25">
      <c r="A91" s="84" t="s">
        <v>20</v>
      </c>
      <c r="B91" s="53"/>
      <c r="C91" s="17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:1926" ht="20.100000000000001" customHeight="1" x14ac:dyDescent="0.3">
      <c r="A92" s="84" t="s">
        <v>21</v>
      </c>
      <c r="B92" s="53"/>
      <c r="C92" s="182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:1926" ht="20.100000000000001" customHeight="1" x14ac:dyDescent="0.25">
      <c r="A93" s="84" t="s">
        <v>20</v>
      </c>
      <c r="B93" s="53"/>
      <c r="C93" s="17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:1926" ht="20.100000000000001" customHeight="1" x14ac:dyDescent="0.25">
      <c r="A94" s="84" t="s">
        <v>21</v>
      </c>
      <c r="B94" s="53"/>
      <c r="C94" s="175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:1926" ht="20.100000000000001" customHeight="1" x14ac:dyDescent="0.25">
      <c r="B95" s="53"/>
      <c r="C95" s="183" t="s">
        <v>9</v>
      </c>
      <c r="D95" s="184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185"/>
      <c r="D96" s="186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76" t="s">
        <v>10</v>
      </c>
      <c r="D97" s="177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178"/>
      <c r="D98" s="179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55" activePane="bottomLeft" state="frozen"/>
      <selection activeCell="BC13" sqref="BC13"/>
      <selection pane="bottomLeft" activeCell="A272" sqref="A272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12" t="s">
        <v>14</v>
      </c>
      <c r="F3" s="213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14"/>
      <c r="F4" s="215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206"/>
      <c r="F5" s="207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142</v>
      </c>
      <c r="E6" s="206"/>
      <c r="F6" s="20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6"/>
      <c r="F10" s="20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8"/>
      <c r="F11" s="209"/>
      <c r="G11" s="3"/>
    </row>
    <row r="12" spans="1:7" s="44" customFormat="1" ht="1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10"/>
      <c r="F12" s="211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12" t="s">
        <v>14</v>
      </c>
      <c r="F15" s="213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14"/>
      <c r="F16" s="215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206"/>
      <c r="F17" s="20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6"/>
      <c r="F18" s="20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6"/>
      <c r="F19" s="20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6"/>
      <c r="F20" s="20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6"/>
      <c r="F21" s="20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6"/>
      <c r="F22" s="20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8"/>
      <c r="F23" s="209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10"/>
      <c r="F24" s="211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12" t="s">
        <v>14</v>
      </c>
      <c r="F27" s="213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14"/>
      <c r="F28" s="215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206"/>
      <c r="F29" s="20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6"/>
      <c r="F30" s="20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6"/>
      <c r="F31" s="20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6"/>
      <c r="F32" s="20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6"/>
      <c r="F33" s="20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6"/>
      <c r="F34" s="20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8"/>
      <c r="F35" s="209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10"/>
      <c r="F36" s="211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12" t="s">
        <v>14</v>
      </c>
      <c r="F39" s="213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14"/>
      <c r="F40" s="215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206"/>
      <c r="F41" s="20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6"/>
      <c r="F42" s="20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6"/>
      <c r="F43" s="20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6"/>
      <c r="F44" s="20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6"/>
      <c r="F45" s="20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6"/>
      <c r="F46" s="20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8"/>
      <c r="F47" s="209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10"/>
      <c r="F48" s="211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12" t="s">
        <v>14</v>
      </c>
      <c r="F51" s="213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14"/>
      <c r="F52" s="215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206"/>
      <c r="F53" s="20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6"/>
      <c r="F54" s="20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6"/>
      <c r="F55" s="20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6"/>
      <c r="F56" s="20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6"/>
      <c r="F57" s="20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6"/>
      <c r="F58" s="20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8"/>
      <c r="F59" s="209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10"/>
      <c r="F60" s="211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12" t="s">
        <v>14</v>
      </c>
      <c r="F63" s="213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14"/>
      <c r="F64" s="215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206"/>
      <c r="F65" s="20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6"/>
      <c r="F66" s="20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6"/>
      <c r="F67" s="20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6"/>
      <c r="F68" s="20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6"/>
      <c r="F69" s="20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6"/>
      <c r="F70" s="20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8"/>
      <c r="F71" s="209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10"/>
      <c r="F72" s="211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12" t="s">
        <v>14</v>
      </c>
      <c r="F75" s="213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14"/>
      <c r="F76" s="215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206"/>
      <c r="F77" s="20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6"/>
      <c r="F78" s="20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6"/>
      <c r="F79" s="20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6"/>
      <c r="F80" s="20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6"/>
      <c r="F81" s="20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6"/>
      <c r="F82" s="20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8"/>
      <c r="F83" s="209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10"/>
      <c r="F84" s="211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12" t="s">
        <v>14</v>
      </c>
      <c r="F87" s="213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139</v>
      </c>
      <c r="E88" s="214"/>
      <c r="F88" s="215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206"/>
      <c r="F89" s="20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6"/>
      <c r="F90" s="20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6"/>
      <c r="F91" s="20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6"/>
      <c r="F92" s="20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6"/>
      <c r="F93" s="20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6"/>
      <c r="F94" s="20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8"/>
      <c r="F95" s="209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10"/>
      <c r="F96" s="211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12" t="s">
        <v>14</v>
      </c>
      <c r="F99" s="213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141</v>
      </c>
      <c r="E100" s="214"/>
      <c r="F100" s="215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138</v>
      </c>
      <c r="E101" s="206"/>
      <c r="F101" s="207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206"/>
      <c r="F102" s="20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6"/>
      <c r="F103" s="20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6"/>
      <c r="F104" s="20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6"/>
      <c r="F105" s="20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6"/>
      <c r="F106" s="20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8"/>
      <c r="F107" s="209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10"/>
      <c r="F108" s="211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12" t="s">
        <v>14</v>
      </c>
      <c r="F111" s="213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137</v>
      </c>
      <c r="E112" s="214"/>
      <c r="F112" s="215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140</v>
      </c>
      <c r="E113" s="206"/>
      <c r="F113" s="207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206"/>
      <c r="F114" s="207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6"/>
      <c r="F115" s="207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6"/>
      <c r="F116" s="207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6"/>
      <c r="F117" s="207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6"/>
      <c r="F118" s="20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8"/>
      <c r="F119" s="209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10"/>
      <c r="F120" s="211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12" t="s">
        <v>14</v>
      </c>
      <c r="F123" s="213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136</v>
      </c>
      <c r="E124" s="214"/>
      <c r="F124" s="215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206"/>
      <c r="F125" s="207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6"/>
      <c r="F126" s="207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6"/>
      <c r="F127" s="207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6"/>
      <c r="F128" s="207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6"/>
      <c r="F129" s="207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6"/>
      <c r="F130" s="20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8"/>
      <c r="F131" s="209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10"/>
      <c r="F132" s="211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12" t="s">
        <v>14</v>
      </c>
      <c r="F135" s="213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14"/>
      <c r="F136" s="215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206"/>
      <c r="F137" s="207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206"/>
      <c r="F138" s="20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6"/>
      <c r="F139" s="20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6"/>
      <c r="F140" s="20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6"/>
      <c r="F141" s="20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6"/>
      <c r="F142" s="20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8"/>
      <c r="F143" s="209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10"/>
      <c r="F144" s="211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12" t="s">
        <v>14</v>
      </c>
      <c r="F147" s="213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135</v>
      </c>
      <c r="E148" s="214"/>
      <c r="F148" s="215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127</v>
      </c>
      <c r="E149" s="206"/>
      <c r="F149" s="207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206"/>
      <c r="F150" s="207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206"/>
      <c r="F151" s="207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6"/>
      <c r="F152" s="207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6"/>
      <c r="F153" s="207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6"/>
      <c r="F154" s="20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8"/>
      <c r="F155" s="209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10"/>
      <c r="F156" s="211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12" t="s">
        <v>14</v>
      </c>
      <c r="F159" s="213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133</v>
      </c>
      <c r="E160" s="214"/>
      <c r="F160" s="215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127</v>
      </c>
      <c r="E161" s="206"/>
      <c r="F161" s="207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134</v>
      </c>
      <c r="E162" s="206"/>
      <c r="F162" s="207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206"/>
      <c r="F163" s="207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6"/>
      <c r="F164" s="207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6"/>
      <c r="F165" s="20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6"/>
      <c r="F166" s="20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8"/>
      <c r="F167" s="209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10"/>
      <c r="F168" s="211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12" t="s">
        <v>14</v>
      </c>
      <c r="F171" s="213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130</v>
      </c>
      <c r="E172" s="214"/>
      <c r="F172" s="215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131</v>
      </c>
      <c r="E173" s="206"/>
      <c r="F173" s="207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132</v>
      </c>
      <c r="E174" s="206"/>
      <c r="F174" s="207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206"/>
      <c r="F175" s="20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6"/>
      <c r="F176" s="20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6"/>
      <c r="F177" s="20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6"/>
      <c r="F178" s="20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8"/>
      <c r="F179" s="209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10"/>
      <c r="F180" s="211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12" t="s">
        <v>14</v>
      </c>
      <c r="F183" s="213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129</v>
      </c>
      <c r="E184" s="214"/>
      <c r="F184" s="215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206"/>
      <c r="F185" s="207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206"/>
      <c r="F186" s="20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6"/>
      <c r="F187" s="20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6"/>
      <c r="F188" s="20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6"/>
      <c r="F189" s="20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6"/>
      <c r="F190" s="20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8"/>
      <c r="F191" s="209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10"/>
      <c r="F192" s="211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12" t="s">
        <v>14</v>
      </c>
      <c r="F195" s="213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126</v>
      </c>
      <c r="E196" s="214"/>
      <c r="F196" s="215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206"/>
      <c r="F197" s="207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6"/>
      <c r="F198" s="207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6"/>
      <c r="F199" s="207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6"/>
      <c r="F200" s="20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6"/>
      <c r="F201" s="20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6"/>
      <c r="F202" s="20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8"/>
      <c r="F203" s="209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10"/>
      <c r="F204" s="211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12" t="s">
        <v>14</v>
      </c>
      <c r="F207" s="213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128</v>
      </c>
      <c r="E208" s="214"/>
      <c r="F208" s="215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206"/>
      <c r="F209" s="207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206"/>
      <c r="F210" s="207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6"/>
      <c r="F211" s="20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6"/>
      <c r="F212" s="20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6"/>
      <c r="F213" s="20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6"/>
      <c r="F214" s="20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8"/>
      <c r="F215" s="209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10"/>
      <c r="F216" s="211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12" t="s">
        <v>14</v>
      </c>
      <c r="F219" s="213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14"/>
      <c r="F220" s="215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124</v>
      </c>
      <c r="E221" s="206"/>
      <c r="F221" s="207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125</v>
      </c>
      <c r="E222" s="206"/>
      <c r="F222" s="207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206"/>
      <c r="F223" s="20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6"/>
      <c r="F224" s="20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6"/>
      <c r="F225" s="20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6"/>
      <c r="F226" s="20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8"/>
      <c r="F227" s="209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10"/>
      <c r="F228" s="211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12" t="s">
        <v>14</v>
      </c>
      <c r="F231" s="213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123</v>
      </c>
      <c r="E232" s="214"/>
      <c r="F232" s="215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206"/>
      <c r="F233" s="207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206"/>
      <c r="F234" s="207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06"/>
      <c r="F235" s="207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06"/>
      <c r="F236" s="207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06"/>
      <c r="F237" s="20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6"/>
      <c r="F238" s="207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208"/>
      <c r="F239" s="209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10"/>
      <c r="F240" s="211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12" t="s">
        <v>14</v>
      </c>
      <c r="F243" s="213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14"/>
      <c r="F244" s="215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206"/>
      <c r="F245" s="207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118</v>
      </c>
      <c r="E246" s="206"/>
      <c r="F246" s="207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119</v>
      </c>
      <c r="E247" s="206"/>
      <c r="F247" s="207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206"/>
      <c r="F248" s="20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6"/>
      <c r="F249" s="20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6"/>
      <c r="F250" s="20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8"/>
      <c r="F251" s="209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10"/>
      <c r="F252" s="211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12" t="s">
        <v>14</v>
      </c>
      <c r="F255" s="213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116</v>
      </c>
      <c r="E256" s="214"/>
      <c r="F256" s="215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206"/>
      <c r="F257" s="207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117</v>
      </c>
      <c r="E258" s="206"/>
      <c r="F258" s="207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206"/>
      <c r="F259" s="207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206"/>
      <c r="F260" s="207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206"/>
      <c r="F261" s="207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06"/>
      <c r="F262" s="207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8"/>
      <c r="F263" s="209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10"/>
      <c r="F264" s="211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12" t="s">
        <v>14</v>
      </c>
      <c r="F267" s="213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14"/>
      <c r="F268" s="215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115</v>
      </c>
      <c r="E269" s="206"/>
      <c r="F269" s="207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122</v>
      </c>
      <c r="E270" s="206"/>
      <c r="F270" s="207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06"/>
      <c r="F271" s="207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06"/>
      <c r="F272" s="207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6"/>
      <c r="F273" s="207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6"/>
      <c r="F274" s="207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208"/>
      <c r="F275" s="209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10"/>
      <c r="F276" s="211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12" t="s">
        <v>14</v>
      </c>
      <c r="F279" s="213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14"/>
      <c r="F280" s="215"/>
      <c r="G280" s="3"/>
    </row>
    <row r="281" spans="1:7" s="44" customFormat="1" ht="27" x14ac:dyDescent="0.3">
      <c r="A281" s="45" t="s">
        <v>114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113</v>
      </c>
      <c r="E281" s="206"/>
      <c r="F281" s="207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206"/>
      <c r="F282" s="207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06"/>
      <c r="F283" s="207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06"/>
      <c r="F284" s="207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6"/>
      <c r="F285" s="207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6"/>
      <c r="F286" s="207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208"/>
      <c r="F287" s="209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10"/>
      <c r="F288" s="211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12" t="s">
        <v>14</v>
      </c>
      <c r="F291" s="213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120</v>
      </c>
      <c r="E292" s="214"/>
      <c r="F292" s="215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121</v>
      </c>
      <c r="E293" s="206"/>
      <c r="F293" s="207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206"/>
      <c r="F294" s="207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06"/>
      <c r="F295" s="207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06"/>
      <c r="F296" s="207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06"/>
      <c r="F297" s="207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06"/>
      <c r="F298" s="207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208"/>
      <c r="F299" s="209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10"/>
      <c r="F300" s="211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12" t="s">
        <v>14</v>
      </c>
      <c r="F303" s="213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14"/>
      <c r="F304" s="215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206"/>
      <c r="F305" s="207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06"/>
      <c r="F306" s="207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06"/>
      <c r="F307" s="207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6"/>
      <c r="F308" s="207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6"/>
      <c r="F309" s="207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6"/>
      <c r="F310" s="207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8"/>
      <c r="F311" s="209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10"/>
      <c r="F312" s="211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12" t="s">
        <v>14</v>
      </c>
      <c r="F315" s="213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14"/>
      <c r="F316" s="215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6"/>
      <c r="F317" s="207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206"/>
      <c r="F318" s="207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206"/>
      <c r="F319" s="207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206"/>
      <c r="F320" s="207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06"/>
      <c r="F321" s="207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6"/>
      <c r="F322" s="207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8"/>
      <c r="F323" s="209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10"/>
      <c r="F324" s="211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59" activePane="bottomLeft" state="frozen"/>
      <selection pane="bottomLeft" activeCell="D274" sqref="D27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2.28515625" style="50" customWidth="1"/>
    <col min="5" max="5" width="30.140625" style="109" customWidth="1"/>
    <col min="6" max="6" width="70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18" t="s">
        <v>14</v>
      </c>
      <c r="F3" s="219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14"/>
      <c r="F4" s="215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6"/>
      <c r="F10" s="20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8"/>
      <c r="F11" s="209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16"/>
      <c r="F12" s="217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18" t="s">
        <v>14</v>
      </c>
      <c r="F15" s="219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14"/>
      <c r="F16" s="215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06"/>
      <c r="F17" s="20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6"/>
      <c r="F18" s="20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6"/>
      <c r="F19" s="20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6"/>
      <c r="F20" s="20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6"/>
      <c r="F21" s="20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6"/>
      <c r="F22" s="20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8"/>
      <c r="F23" s="209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16"/>
      <c r="F24" s="217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18" t="s">
        <v>14</v>
      </c>
      <c r="F27" s="219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14"/>
      <c r="F28" s="215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06"/>
      <c r="F29" s="20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6"/>
      <c r="F30" s="20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6"/>
      <c r="F31" s="20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6"/>
      <c r="F32" s="20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6"/>
      <c r="F33" s="20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6"/>
      <c r="F34" s="20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8"/>
      <c r="F35" s="209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16"/>
      <c r="F36" s="217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18" t="s">
        <v>14</v>
      </c>
      <c r="F39" s="219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14"/>
      <c r="F40" s="215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06"/>
      <c r="F41" s="20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6"/>
      <c r="F42" s="20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6"/>
      <c r="F43" s="20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6"/>
      <c r="F44" s="20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6"/>
      <c r="F45" s="20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6"/>
      <c r="F46" s="20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8"/>
      <c r="F47" s="209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16"/>
      <c r="F48" s="217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18" t="s">
        <v>14</v>
      </c>
      <c r="F51" s="219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14"/>
      <c r="F52" s="215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06"/>
      <c r="F53" s="20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6"/>
      <c r="F54" s="20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6"/>
      <c r="F55" s="20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6"/>
      <c r="F56" s="20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6"/>
      <c r="F57" s="20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6"/>
      <c r="F58" s="20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8"/>
      <c r="F59" s="209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16"/>
      <c r="F60" s="217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18" t="s">
        <v>14</v>
      </c>
      <c r="F63" s="219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14"/>
      <c r="F64" s="215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06"/>
      <c r="F65" s="20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6"/>
      <c r="F66" s="20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6"/>
      <c r="F67" s="20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6"/>
      <c r="F68" s="20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6"/>
      <c r="F69" s="20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6"/>
      <c r="F70" s="20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8"/>
      <c r="F71" s="209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16"/>
      <c r="F72" s="217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18" t="s">
        <v>14</v>
      </c>
      <c r="F75" s="219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14"/>
      <c r="F76" s="215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06"/>
      <c r="F77" s="20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6"/>
      <c r="F78" s="20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6"/>
      <c r="F79" s="20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6"/>
      <c r="F80" s="20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6"/>
      <c r="F81" s="20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6"/>
      <c r="F82" s="20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8"/>
      <c r="F83" s="209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16"/>
      <c r="F84" s="217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18" t="s">
        <v>14</v>
      </c>
      <c r="F87" s="219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14"/>
      <c r="F88" s="215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06"/>
      <c r="F89" s="20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6"/>
      <c r="F90" s="20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6"/>
      <c r="F91" s="20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6"/>
      <c r="F92" s="20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6"/>
      <c r="F93" s="20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6"/>
      <c r="F94" s="20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8"/>
      <c r="F95" s="209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16"/>
      <c r="F96" s="217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18" t="s">
        <v>14</v>
      </c>
      <c r="F99" s="219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14"/>
      <c r="F100" s="215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06"/>
      <c r="F101" s="207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06"/>
      <c r="F102" s="20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6"/>
      <c r="F103" s="20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6"/>
      <c r="F104" s="20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6"/>
      <c r="F105" s="20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6"/>
      <c r="F106" s="20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8"/>
      <c r="F107" s="209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16"/>
      <c r="F108" s="217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18" t="s">
        <v>14</v>
      </c>
      <c r="F111" s="219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14"/>
      <c r="F112" s="215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06"/>
      <c r="F113" s="207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06"/>
      <c r="F114" s="207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6"/>
      <c r="F115" s="207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6"/>
      <c r="F116" s="207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6"/>
      <c r="F117" s="207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6"/>
      <c r="F118" s="20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8"/>
      <c r="F119" s="209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16"/>
      <c r="F120" s="217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18" t="s">
        <v>14</v>
      </c>
      <c r="F123" s="219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14"/>
      <c r="F124" s="215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06"/>
      <c r="F125" s="207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6"/>
      <c r="F126" s="207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6"/>
      <c r="F127" s="207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6"/>
      <c r="F128" s="207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6"/>
      <c r="F129" s="207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6"/>
      <c r="F130" s="20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8"/>
      <c r="F131" s="209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16"/>
      <c r="F132" s="217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18" t="s">
        <v>14</v>
      </c>
      <c r="F135" s="219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14"/>
      <c r="F136" s="215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206"/>
      <c r="F137" s="207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06"/>
      <c r="F138" s="20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6"/>
      <c r="F139" s="20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6"/>
      <c r="F140" s="20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6"/>
      <c r="F141" s="20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6"/>
      <c r="F142" s="20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8"/>
      <c r="F143" s="209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16"/>
      <c r="F144" s="217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18" t="s">
        <v>14</v>
      </c>
      <c r="F147" s="219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14"/>
      <c r="F148" s="215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06"/>
      <c r="F149" s="207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06"/>
      <c r="F150" s="207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06"/>
      <c r="F151" s="207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6"/>
      <c r="F152" s="207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6"/>
      <c r="F153" s="207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6"/>
      <c r="F154" s="20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8"/>
      <c r="F155" s="209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16"/>
      <c r="F156" s="217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18" t="s">
        <v>14</v>
      </c>
      <c r="F159" s="219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14"/>
      <c r="F160" s="215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206"/>
      <c r="F161" s="207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06"/>
      <c r="F162" s="207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06"/>
      <c r="F163" s="207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6"/>
      <c r="F164" s="207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6"/>
      <c r="F165" s="20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6"/>
      <c r="F166" s="20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8"/>
      <c r="F167" s="209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16"/>
      <c r="F168" s="217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18" t="s">
        <v>14</v>
      </c>
      <c r="F171" s="219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14"/>
      <c r="F172" s="215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206"/>
      <c r="F173" s="207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06"/>
      <c r="F174" s="207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06"/>
      <c r="F175" s="20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6"/>
      <c r="F176" s="20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6"/>
      <c r="F177" s="20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6"/>
      <c r="F178" s="20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8"/>
      <c r="F179" s="209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16"/>
      <c r="F180" s="217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18" t="s">
        <v>14</v>
      </c>
      <c r="F183" s="219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14"/>
      <c r="F184" s="215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206"/>
      <c r="F185" s="207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06"/>
      <c r="F186" s="20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6"/>
      <c r="F187" s="20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6"/>
      <c r="F188" s="20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6"/>
      <c r="F189" s="20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6"/>
      <c r="F190" s="20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8"/>
      <c r="F191" s="209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16"/>
      <c r="F192" s="217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18" t="s">
        <v>14</v>
      </c>
      <c r="F195" s="219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14"/>
      <c r="F196" s="215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206"/>
      <c r="F197" s="207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6"/>
      <c r="F198" s="207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6"/>
      <c r="F199" s="207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6"/>
      <c r="F200" s="20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6"/>
      <c r="F201" s="20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6"/>
      <c r="F202" s="20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8"/>
      <c r="F203" s="209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16"/>
      <c r="F204" s="217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18" t="s">
        <v>14</v>
      </c>
      <c r="F207" s="219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14"/>
      <c r="F208" s="215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06"/>
      <c r="F209" s="207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06"/>
      <c r="F210" s="207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6"/>
      <c r="F211" s="20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6"/>
      <c r="F212" s="20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6"/>
      <c r="F213" s="20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6"/>
      <c r="F214" s="20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8"/>
      <c r="F215" s="209"/>
      <c r="G215" s="3"/>
    </row>
    <row r="216" spans="1:7" s="44" customFormat="1" ht="15" thickBot="1" x14ac:dyDescent="0.35">
      <c r="A216" s="145" t="s">
        <v>29</v>
      </c>
      <c r="B216" s="68">
        <f>SUM(B208:B215)</f>
        <v>0</v>
      </c>
      <c r="C216" s="145" t="str">
        <f xml:space="preserve"> setValueToTime(B216)</f>
        <v>0h</v>
      </c>
      <c r="D216" s="105"/>
      <c r="E216" s="216"/>
      <c r="F216" s="217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18" t="s">
        <v>14</v>
      </c>
      <c r="F219" s="219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14"/>
      <c r="F220" s="215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06"/>
      <c r="F221" s="207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06"/>
      <c r="F222" s="207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06"/>
      <c r="F223" s="20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6"/>
      <c r="F224" s="20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6"/>
      <c r="F225" s="20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6"/>
      <c r="F226" s="20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8"/>
      <c r="F227" s="209"/>
      <c r="G227" s="3"/>
    </row>
    <row r="228" spans="1:7" s="44" customFormat="1" ht="15" thickBot="1" x14ac:dyDescent="0.35">
      <c r="A228" s="145" t="s">
        <v>29</v>
      </c>
      <c r="B228" s="68">
        <f>SUM(B220:B227)</f>
        <v>0</v>
      </c>
      <c r="C228" s="145" t="str">
        <f xml:space="preserve"> setValueToTime(B228)</f>
        <v>0h</v>
      </c>
      <c r="D228" s="105"/>
      <c r="E228" s="216"/>
      <c r="F228" s="217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18" t="s">
        <v>14</v>
      </c>
      <c r="F231" s="219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14"/>
      <c r="F232" s="215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06"/>
      <c r="F233" s="207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06"/>
      <c r="F234" s="207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06"/>
      <c r="F235" s="207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06"/>
      <c r="F236" s="207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06"/>
      <c r="F237" s="20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6"/>
      <c r="F238" s="207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08"/>
      <c r="F239" s="209"/>
      <c r="G239" s="3"/>
    </row>
    <row r="240" spans="1:7" s="44" customFormat="1" ht="15" thickBot="1" x14ac:dyDescent="0.35">
      <c r="A240" s="145" t="s">
        <v>29</v>
      </c>
      <c r="B240" s="68">
        <f>SUM(B232:B239)</f>
        <v>0</v>
      </c>
      <c r="C240" s="145" t="str">
        <f xml:space="preserve"> setValueToTime(B240)</f>
        <v>0h</v>
      </c>
      <c r="D240" s="105"/>
      <c r="E240" s="216"/>
      <c r="F240" s="217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18" t="s">
        <v>14</v>
      </c>
      <c r="F243" s="219"/>
      <c r="G243" s="39"/>
    </row>
    <row r="244" spans="1:7" s="44" customFormat="1" x14ac:dyDescent="0.3">
      <c r="A244" s="41"/>
      <c r="B244" s="42"/>
      <c r="C244" s="135" t="str">
        <f xml:space="preserve"> IF(B244="","",setValueToTime(B244))</f>
        <v/>
      </c>
      <c r="D244" s="43"/>
      <c r="E244" s="214"/>
      <c r="F244" s="215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206"/>
      <c r="F245" s="207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06"/>
      <c r="F246" s="207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06"/>
      <c r="F247" s="207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06"/>
      <c r="F248" s="20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6"/>
      <c r="F249" s="20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6"/>
      <c r="F250" s="20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8"/>
      <c r="F251" s="209"/>
      <c r="G251" s="3"/>
    </row>
    <row r="252" spans="1:7" s="44" customFormat="1" ht="15" thickBot="1" x14ac:dyDescent="0.35">
      <c r="A252" s="145" t="s">
        <v>29</v>
      </c>
      <c r="B252" s="68">
        <f>SUM(B244:B251)</f>
        <v>0</v>
      </c>
      <c r="C252" s="145" t="str">
        <f xml:space="preserve"> setValueToTime(B252)</f>
        <v>0h</v>
      </c>
      <c r="D252" s="105"/>
      <c r="E252" s="216"/>
      <c r="F252" s="217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18" t="s">
        <v>14</v>
      </c>
      <c r="F255" s="219"/>
      <c r="G255" s="39"/>
    </row>
    <row r="256" spans="1:7" s="44" customFormat="1" x14ac:dyDescent="0.3">
      <c r="A256" s="41"/>
      <c r="B256" s="42"/>
      <c r="C256" s="135" t="str">
        <f xml:space="preserve"> IF(B256="","",setValueToTime(B256))</f>
        <v/>
      </c>
      <c r="D256" s="43"/>
      <c r="E256" s="214"/>
      <c r="F256" s="215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206"/>
      <c r="F257" s="207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206"/>
      <c r="F258" s="207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206"/>
      <c r="F259" s="207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06"/>
      <c r="F260" s="207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06"/>
      <c r="F261" s="207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06"/>
      <c r="F262" s="207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8"/>
      <c r="F263" s="209"/>
      <c r="G263" s="3"/>
    </row>
    <row r="264" spans="1:7" s="44" customFormat="1" ht="15" thickBot="1" x14ac:dyDescent="0.35">
      <c r="A264" s="145" t="s">
        <v>29</v>
      </c>
      <c r="B264" s="68">
        <f>SUM(B256:B263)</f>
        <v>0</v>
      </c>
      <c r="C264" s="145" t="str">
        <f xml:space="preserve"> setValueToTime(B264)</f>
        <v>0h</v>
      </c>
      <c r="D264" s="105"/>
      <c r="E264" s="216"/>
      <c r="F264" s="217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18" t="s">
        <v>14</v>
      </c>
      <c r="F267" s="219"/>
      <c r="G267" s="39"/>
    </row>
    <row r="268" spans="1:7" s="44" customFormat="1" x14ac:dyDescent="0.3">
      <c r="A268" s="41" t="s">
        <v>16</v>
      </c>
      <c r="B268" s="42">
        <v>10</v>
      </c>
      <c r="C268" s="135" t="str">
        <f xml:space="preserve"> IF(B268="","",setValueToTime(B268))</f>
        <v>0h50min</v>
      </c>
      <c r="D268" s="170" t="s">
        <v>158</v>
      </c>
      <c r="E268" s="214"/>
      <c r="F268" s="215"/>
      <c r="G268" s="3"/>
    </row>
    <row r="269" spans="1:7" s="44" customFormat="1" x14ac:dyDescent="0.3">
      <c r="A269" s="45"/>
      <c r="B269" s="46"/>
      <c r="C269" s="136" t="str">
        <f t="shared" ref="C269:C275" si="22" xml:space="preserve"> IF(B269="","",setValueToTime(B269))</f>
        <v/>
      </c>
      <c r="D269" s="47"/>
      <c r="E269" s="206"/>
      <c r="F269" s="207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206"/>
      <c r="F270" s="207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06"/>
      <c r="F271" s="207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06"/>
      <c r="F272" s="207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6"/>
      <c r="F273" s="207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6"/>
      <c r="F274" s="207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08"/>
      <c r="F275" s="209"/>
      <c r="G275" s="3"/>
    </row>
    <row r="276" spans="1:7" s="44" customFormat="1" ht="15" thickBot="1" x14ac:dyDescent="0.35">
      <c r="A276" s="145" t="s">
        <v>29</v>
      </c>
      <c r="B276" s="68">
        <f>SUM(B268:B275)</f>
        <v>10</v>
      </c>
      <c r="C276" s="145" t="str">
        <f xml:space="preserve"> setValueToTime(B276)</f>
        <v>0h50min</v>
      </c>
      <c r="D276" s="105"/>
      <c r="E276" s="216"/>
      <c r="F276" s="217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18" t="s">
        <v>14</v>
      </c>
      <c r="F279" s="219"/>
      <c r="G279" s="39"/>
    </row>
    <row r="280" spans="1:7" s="44" customFormat="1" x14ac:dyDescent="0.3">
      <c r="A280" s="41" t="s">
        <v>4</v>
      </c>
      <c r="B280" s="46">
        <v>12</v>
      </c>
      <c r="C280" s="135" t="str">
        <f xml:space="preserve"> IF(B280="","",setValueToTime(B280))</f>
        <v>1h</v>
      </c>
      <c r="D280" s="170" t="s">
        <v>156</v>
      </c>
      <c r="E280" s="214"/>
      <c r="F280" s="215"/>
      <c r="G280" s="3"/>
    </row>
    <row r="281" spans="1:7" s="44" customFormat="1" x14ac:dyDescent="0.3">
      <c r="A281" s="45" t="s">
        <v>4</v>
      </c>
      <c r="B281" s="46">
        <v>3</v>
      </c>
      <c r="C281" s="136" t="str">
        <f t="shared" ref="C281:C287" si="23" xml:space="preserve"> IF(B281="","",setValueToTime(B281))</f>
        <v>0h15min</v>
      </c>
      <c r="D281" s="47" t="s">
        <v>150</v>
      </c>
      <c r="E281" s="206"/>
      <c r="F281" s="207"/>
      <c r="G281" s="3"/>
    </row>
    <row r="282" spans="1:7" s="44" customFormat="1" ht="27" x14ac:dyDescent="0.3">
      <c r="A282" s="45" t="s">
        <v>68</v>
      </c>
      <c r="B282" s="46">
        <v>6</v>
      </c>
      <c r="C282" s="136" t="str">
        <f t="shared" si="23"/>
        <v>0h30min</v>
      </c>
      <c r="D282" s="171" t="s">
        <v>151</v>
      </c>
      <c r="E282" s="206"/>
      <c r="F282" s="207"/>
      <c r="G282" s="3"/>
    </row>
    <row r="283" spans="1:7" s="44" customFormat="1" x14ac:dyDescent="0.3">
      <c r="A283" s="45" t="s">
        <v>16</v>
      </c>
      <c r="B283" s="46">
        <v>5</v>
      </c>
      <c r="C283" s="136" t="str">
        <f t="shared" si="23"/>
        <v>0h25min</v>
      </c>
      <c r="D283" s="171" t="s">
        <v>152</v>
      </c>
      <c r="E283" s="220" t="s">
        <v>153</v>
      </c>
      <c r="F283" s="221"/>
      <c r="G283" s="3"/>
    </row>
    <row r="284" spans="1:7" s="44" customFormat="1" ht="27" x14ac:dyDescent="0.3">
      <c r="A284" s="46" t="s">
        <v>17</v>
      </c>
      <c r="B284" s="46">
        <v>2</v>
      </c>
      <c r="C284" s="137" t="str">
        <f t="shared" si="23"/>
        <v>0h10min</v>
      </c>
      <c r="D284" s="171" t="s">
        <v>53</v>
      </c>
      <c r="E284" s="206"/>
      <c r="F284" s="207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6"/>
      <c r="F285" s="207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6"/>
      <c r="F286" s="207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08"/>
      <c r="F287" s="209"/>
      <c r="G287" s="3"/>
    </row>
    <row r="288" spans="1:7" s="44" customFormat="1" ht="15" thickBot="1" x14ac:dyDescent="0.35">
      <c r="A288" s="145" t="s">
        <v>29</v>
      </c>
      <c r="B288" s="68">
        <f>SUM(B280:B287)</f>
        <v>28</v>
      </c>
      <c r="C288" s="145" t="str">
        <f xml:space="preserve"> setValueToTime(B288)</f>
        <v>2h20min</v>
      </c>
      <c r="D288" s="105"/>
      <c r="E288" s="216"/>
      <c r="F288" s="217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18" t="s">
        <v>14</v>
      </c>
      <c r="F291" s="219"/>
      <c r="G291" s="39"/>
    </row>
    <row r="292" spans="1:7" s="44" customFormat="1" ht="40.5" x14ac:dyDescent="0.3">
      <c r="A292" s="41" t="s">
        <v>32</v>
      </c>
      <c r="B292" s="42">
        <v>18</v>
      </c>
      <c r="C292" s="135" t="str">
        <f xml:space="preserve"> IF(B292="","",setValueToTime(B292))</f>
        <v>1h30min</v>
      </c>
      <c r="D292" s="170" t="s">
        <v>154</v>
      </c>
      <c r="E292" s="214"/>
      <c r="F292" s="215"/>
      <c r="G292" s="3"/>
    </row>
    <row r="293" spans="1:7" s="44" customFormat="1" ht="40.5" x14ac:dyDescent="0.3">
      <c r="A293" s="45" t="s">
        <v>68</v>
      </c>
      <c r="B293" s="46">
        <v>13</v>
      </c>
      <c r="C293" s="136" t="str">
        <f t="shared" ref="C293:C299" si="24" xml:space="preserve"> IF(B293="","",setValueToTime(B293))</f>
        <v>1h5min</v>
      </c>
      <c r="D293" s="171" t="s">
        <v>157</v>
      </c>
      <c r="E293" s="206"/>
      <c r="F293" s="207"/>
      <c r="G293" s="3"/>
    </row>
    <row r="294" spans="1:7" s="44" customFormat="1" ht="27" x14ac:dyDescent="0.3">
      <c r="A294" s="45" t="s">
        <v>16</v>
      </c>
      <c r="B294" s="46">
        <v>12</v>
      </c>
      <c r="C294" s="136" t="str">
        <f t="shared" si="24"/>
        <v>1h</v>
      </c>
      <c r="D294" s="171" t="s">
        <v>149</v>
      </c>
      <c r="E294" s="206"/>
      <c r="F294" s="207"/>
      <c r="G294" s="3"/>
    </row>
    <row r="295" spans="1:7" s="44" customFormat="1" x14ac:dyDescent="0.3">
      <c r="A295" s="45" t="s">
        <v>66</v>
      </c>
      <c r="B295" s="46">
        <v>1</v>
      </c>
      <c r="C295" s="136" t="str">
        <f t="shared" si="24"/>
        <v>0h5min</v>
      </c>
      <c r="D295" s="171" t="s">
        <v>147</v>
      </c>
      <c r="E295" s="206"/>
      <c r="F295" s="207"/>
      <c r="G295" s="3"/>
    </row>
    <row r="296" spans="1:7" s="44" customFormat="1" x14ac:dyDescent="0.3">
      <c r="A296" s="46" t="s">
        <v>111</v>
      </c>
      <c r="B296" s="46">
        <v>2</v>
      </c>
      <c r="C296" s="137" t="str">
        <f t="shared" si="24"/>
        <v>0h10min</v>
      </c>
      <c r="D296" s="171" t="s">
        <v>148</v>
      </c>
      <c r="E296" s="206"/>
      <c r="F296" s="207"/>
      <c r="G296" s="3"/>
    </row>
    <row r="297" spans="1:7" s="44" customFormat="1" ht="27" x14ac:dyDescent="0.3">
      <c r="A297" s="46" t="s">
        <v>17</v>
      </c>
      <c r="B297" s="46">
        <v>2</v>
      </c>
      <c r="C297" s="137" t="str">
        <f t="shared" si="24"/>
        <v>0h10min</v>
      </c>
      <c r="D297" s="171" t="s">
        <v>53</v>
      </c>
      <c r="E297" s="206"/>
      <c r="F297" s="207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171"/>
      <c r="E298" s="206"/>
      <c r="F298" s="207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08"/>
      <c r="F299" s="209"/>
      <c r="G299" s="3"/>
    </row>
    <row r="300" spans="1:7" s="44" customFormat="1" ht="15" thickBot="1" x14ac:dyDescent="0.35">
      <c r="A300" s="145" t="s">
        <v>29</v>
      </c>
      <c r="B300" s="68">
        <f>SUM(B292:B299)</f>
        <v>48</v>
      </c>
      <c r="C300" s="145" t="str">
        <f xml:space="preserve"> setValueToTime(B300)</f>
        <v>4h</v>
      </c>
      <c r="D300" s="105"/>
      <c r="E300" s="216"/>
      <c r="F300" s="217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18" t="s">
        <v>14</v>
      </c>
      <c r="F303" s="219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170" t="s">
        <v>146</v>
      </c>
      <c r="E304" s="214"/>
      <c r="F304" s="215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206"/>
      <c r="F305" s="207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206"/>
      <c r="F306" s="207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171" t="s">
        <v>155</v>
      </c>
      <c r="E307" s="206"/>
      <c r="F307" s="207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6"/>
      <c r="F308" s="207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6"/>
      <c r="F309" s="207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6"/>
      <c r="F310" s="207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8"/>
      <c r="F311" s="209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16"/>
      <c r="F312" s="217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18" t="s">
        <v>14</v>
      </c>
      <c r="F315" s="219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14"/>
      <c r="F316" s="215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6"/>
      <c r="F317" s="207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206"/>
      <c r="F318" s="207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206"/>
      <c r="F319" s="207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206"/>
      <c r="F320" s="207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206"/>
      <c r="F321" s="207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6"/>
      <c r="F322" s="207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8"/>
      <c r="F323" s="209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16"/>
      <c r="F324" s="217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80:B287 B316:B323 B268:B275 B256:B263 B244:B251 B232:B239 B220:B227 B208:B215 B196:B203 B184:B191 B172:B179 B160:B167 B148:B155 B136:B143 B124:B131 B112:B119 B100:B107 B88:B95 B76:B83 B64:B71 B52:B59 B40:B47 B28:B35 B16:B23 B292:B299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hyperlinks>
    <hyperlink ref="E283:F283" r:id="rId1" display="6 pas" xr:uid="{814C00CE-9207-42E2-A519-BAD78DFD8073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75"/>
    </row>
    <row r="11" spans="1:61" ht="18" x14ac:dyDescent="0.25">
      <c r="A11" s="191"/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75"/>
    </row>
    <row r="12" spans="1:61" ht="18.75" thickBot="1" x14ac:dyDescent="0.3">
      <c r="A12" s="192"/>
      <c r="B12" s="192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75"/>
    </row>
    <row r="13" spans="1:61" ht="18.75" thickBot="1" x14ac:dyDescent="0.3">
      <c r="A13" s="193" t="s">
        <v>12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5"/>
      <c r="BI13" s="75"/>
    </row>
    <row r="14" spans="1:61" ht="15.75" thickBot="1" x14ac:dyDescent="0.35">
      <c r="A14" s="87"/>
      <c r="B14" s="88"/>
      <c r="C14" s="88"/>
      <c r="D14" s="88"/>
      <c r="E14" s="180" t="s">
        <v>35</v>
      </c>
      <c r="F14" s="180"/>
      <c r="G14" s="180"/>
      <c r="H14" s="180"/>
      <c r="I14" s="88"/>
      <c r="J14" s="88"/>
      <c r="K14" s="181" t="s">
        <v>24</v>
      </c>
      <c r="L14" s="181"/>
      <c r="M14" s="181"/>
      <c r="N14" s="181"/>
      <c r="O14" s="112"/>
      <c r="P14" s="112"/>
      <c r="Q14" s="180" t="s">
        <v>36</v>
      </c>
      <c r="R14" s="180"/>
      <c r="S14" s="180"/>
      <c r="T14" s="180"/>
      <c r="U14" s="88"/>
      <c r="V14" s="88"/>
      <c r="W14" s="181" t="s">
        <v>25</v>
      </c>
      <c r="X14" s="181"/>
      <c r="Y14" s="181"/>
      <c r="Z14" s="181"/>
      <c r="AA14" s="112"/>
      <c r="AB14" s="112"/>
      <c r="AC14" s="180" t="s">
        <v>37</v>
      </c>
      <c r="AD14" s="180"/>
      <c r="AE14" s="180"/>
      <c r="AF14" s="180"/>
      <c r="AG14" s="88"/>
      <c r="AH14" s="88"/>
      <c r="AI14" s="181" t="s">
        <v>26</v>
      </c>
      <c r="AJ14" s="181"/>
      <c r="AK14" s="181"/>
      <c r="AL14" s="181"/>
      <c r="AM14" s="112"/>
      <c r="AN14" s="112"/>
      <c r="AO14" s="180" t="s">
        <v>38</v>
      </c>
      <c r="AP14" s="180"/>
      <c r="AQ14" s="180"/>
      <c r="AR14" s="180"/>
      <c r="AS14" s="88"/>
      <c r="AT14" s="88"/>
      <c r="AU14" s="181" t="s">
        <v>27</v>
      </c>
      <c r="AV14" s="181"/>
      <c r="AW14" s="181"/>
      <c r="AX14" s="181"/>
      <c r="AY14" s="112"/>
      <c r="AZ14" s="112"/>
      <c r="BA14" s="180" t="s">
        <v>39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12" t="s">
        <v>14</v>
      </c>
      <c r="F2" s="21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4"/>
      <c r="F3" s="21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6"/>
      <c r="F4" s="20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8"/>
      <c r="F10" s="209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0"/>
      <c r="F11" s="211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18" t="s">
        <v>14</v>
      </c>
      <c r="F2" s="219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4"/>
      <c r="F3" s="21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6"/>
      <c r="F4" s="20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8"/>
      <c r="F10" s="209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16"/>
      <c r="F11" s="217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2024-05-14T07:55:10Z</cp:lastPrinted>
  <dcterms:created xsi:type="dcterms:W3CDTF">1996-10-21T11:03:58Z</dcterms:created>
  <dcterms:modified xsi:type="dcterms:W3CDTF">2024-05-15T07:53:52Z</dcterms:modified>
</cp:coreProperties>
</file>